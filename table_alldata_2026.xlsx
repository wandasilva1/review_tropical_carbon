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Users\Wanda\Documents\DOUTORADO\documents_UFZ\systematic review local\"/>
    </mc:Choice>
  </mc:AlternateContent>
  <xr:revisionPtr revIDLastSave="0" documentId="13_ncr:1_{DE113D7F-257E-4BCA-8218-596963D8F211}" xr6:coauthVersionLast="47" xr6:coauthVersionMax="47" xr10:uidLastSave="{00000000-0000-0000-0000-000000000000}"/>
  <bookViews>
    <workbookView xWindow="-120" yWindow="-120" windowWidth="20730" windowHeight="11160" xr2:uid="{2A825A4B-6A26-40E0-9EF9-46AF500AAEC7}"/>
  </bookViews>
  <sheets>
    <sheet name="all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144" i="1" l="1"/>
  <c r="AF144" i="1"/>
  <c r="AF140" i="1"/>
  <c r="AE140" i="1"/>
  <c r="AC140" i="1"/>
  <c r="AB140" i="1"/>
  <c r="AB132" i="1"/>
  <c r="AB145" i="1"/>
  <c r="AC145" i="1"/>
  <c r="AB146" i="1"/>
  <c r="AC146" i="1"/>
  <c r="AB147" i="1"/>
  <c r="AC147" i="1"/>
  <c r="AC148" i="1"/>
  <c r="AC149" i="1"/>
  <c r="AB150" i="1"/>
  <c r="AC150" i="1"/>
  <c r="AB151" i="1"/>
  <c r="AC151" i="1"/>
  <c r="AC144" i="1"/>
  <c r="AB144" i="1"/>
  <c r="AB152" i="1"/>
  <c r="AF160" i="1"/>
  <c r="AG160" i="1"/>
  <c r="AG159" i="1"/>
  <c r="AF159" i="1"/>
  <c r="AF151" i="1"/>
  <c r="AB135" i="1" l="1"/>
  <c r="AI138" i="1"/>
  <c r="AI137" i="1"/>
  <c r="AH138" i="1"/>
  <c r="AJ139" i="1"/>
  <c r="AK139" i="1" s="1"/>
  <c r="AI139" i="1"/>
  <c r="AJ137" i="1"/>
  <c r="AK137" i="1"/>
  <c r="AJ136" i="1"/>
  <c r="AK136" i="1" s="1"/>
  <c r="AI136" i="1"/>
  <c r="AI140" i="1"/>
  <c r="AH140" i="1"/>
  <c r="AF145" i="1"/>
  <c r="AF146" i="1"/>
  <c r="AF147" i="1"/>
  <c r="AF150" i="1"/>
  <c r="AG150" i="1"/>
  <c r="AG151" i="1"/>
  <c r="AG145" i="1"/>
  <c r="AG146" i="1"/>
  <c r="AG147" i="1"/>
  <c r="AG144" i="1"/>
  <c r="AG142" i="1"/>
  <c r="AG143" i="1"/>
  <c r="AF137" i="1"/>
  <c r="AG137" i="1"/>
  <c r="AF138" i="1"/>
  <c r="AG138" i="1"/>
  <c r="AF139" i="1"/>
  <c r="AG139" i="1"/>
  <c r="AG140" i="1"/>
  <c r="AG136" i="1"/>
  <c r="AF136" i="1"/>
  <c r="AG124" i="1"/>
  <c r="AG119" i="1"/>
  <c r="AG120" i="1"/>
  <c r="AG121" i="1"/>
  <c r="AG122" i="1"/>
  <c r="AG123" i="1"/>
  <c r="AG118" i="1"/>
  <c r="AF119" i="1"/>
  <c r="AF120" i="1"/>
  <c r="AF121" i="1"/>
  <c r="AF122" i="1"/>
  <c r="AF123" i="1"/>
  <c r="AF124" i="1"/>
  <c r="AF118" i="1"/>
  <c r="AG133" i="1"/>
  <c r="AG134" i="1"/>
  <c r="AG135" i="1"/>
  <c r="AG132" i="1"/>
  <c r="AF131" i="1"/>
  <c r="AG131" i="1"/>
  <c r="AG125" i="1"/>
  <c r="AF125" i="1"/>
  <c r="AF117" i="1"/>
  <c r="AB157" i="1"/>
  <c r="AB156" i="1"/>
  <c r="AB155" i="1"/>
  <c r="AB154" i="1"/>
  <c r="AB153" i="1"/>
  <c r="AC160" i="1"/>
  <c r="AB160" i="1"/>
  <c r="AC159" i="1"/>
  <c r="AB159" i="1"/>
  <c r="AC124" i="1"/>
  <c r="AB124" i="1"/>
  <c r="AC123" i="1"/>
  <c r="AB123" i="1"/>
  <c r="AC122" i="1"/>
  <c r="AB122" i="1"/>
  <c r="AC121" i="1"/>
  <c r="AB121" i="1"/>
  <c r="AC120" i="1"/>
  <c r="AB120" i="1"/>
  <c r="AC119" i="1"/>
  <c r="AB119" i="1"/>
  <c r="AC118" i="1"/>
  <c r="AB118" i="1"/>
  <c r="AI160" i="1"/>
  <c r="AH160" i="1"/>
  <c r="AJ160" i="1" s="1"/>
  <c r="AK160" i="1" s="1"/>
  <c r="AH159" i="1"/>
  <c r="AJ159" i="1" s="1"/>
  <c r="AK159" i="1" s="1"/>
  <c r="AH151" i="1"/>
  <c r="AJ151" i="1" s="1"/>
  <c r="AK151" i="1" s="1"/>
  <c r="AI150" i="1"/>
  <c r="AH150" i="1"/>
  <c r="AJ150" i="1" s="1"/>
  <c r="AK150" i="1" s="1"/>
  <c r="AH147" i="1"/>
  <c r="AJ147" i="1" s="1"/>
  <c r="AK147" i="1" s="1"/>
  <c r="AI147" i="1"/>
  <c r="AA148" i="1"/>
  <c r="AF158" i="1"/>
  <c r="AH143" i="1"/>
  <c r="AJ143" i="1"/>
  <c r="AK143" i="1"/>
  <c r="AH144" i="1"/>
  <c r="AI144" i="1" s="1"/>
  <c r="AJ144" i="1"/>
  <c r="AK144" i="1"/>
  <c r="AH145" i="1"/>
  <c r="AI145" i="1" s="1"/>
  <c r="AJ145" i="1"/>
  <c r="AK145" i="1"/>
  <c r="AH146" i="1"/>
  <c r="AI146" i="1" s="1"/>
  <c r="AJ146" i="1"/>
  <c r="AK146" i="1"/>
  <c r="AH142" i="1"/>
  <c r="AJ142" i="1" s="1"/>
  <c r="AK142" i="1" s="1"/>
  <c r="AJ140" i="1"/>
  <c r="AK140" i="1" s="1"/>
  <c r="AH132" i="1"/>
  <c r="AI132" i="1" s="1"/>
  <c r="AJ132" i="1"/>
  <c r="AK132" i="1"/>
  <c r="AH133" i="1"/>
  <c r="AI133" i="1" s="1"/>
  <c r="AJ133" i="1"/>
  <c r="AK133" i="1"/>
  <c r="AH134" i="1"/>
  <c r="AI134" i="1" s="1"/>
  <c r="AJ134" i="1"/>
  <c r="AK134" i="1"/>
  <c r="AH135" i="1"/>
  <c r="AI135" i="1" s="1"/>
  <c r="AJ135" i="1"/>
  <c r="AK135" i="1"/>
  <c r="AH131" i="1"/>
  <c r="AJ131" i="1" s="1"/>
  <c r="AK131" i="1" s="1"/>
  <c r="AH119" i="1"/>
  <c r="AI119" i="1" s="1"/>
  <c r="AH120" i="1"/>
  <c r="AI120" i="1"/>
  <c r="AJ120" i="1"/>
  <c r="AK120" i="1"/>
  <c r="AH121" i="1"/>
  <c r="AI121" i="1"/>
  <c r="AJ121" i="1"/>
  <c r="AK121" i="1"/>
  <c r="AH122" i="1"/>
  <c r="AI122" i="1"/>
  <c r="AJ122" i="1"/>
  <c r="AK122" i="1"/>
  <c r="AH123" i="1"/>
  <c r="AI123" i="1"/>
  <c r="AJ123" i="1"/>
  <c r="AK123" i="1"/>
  <c r="AH124" i="1"/>
  <c r="AI124" i="1"/>
  <c r="AJ124" i="1"/>
  <c r="AK124" i="1"/>
  <c r="AH118" i="1"/>
  <c r="AK118" i="1"/>
  <c r="AJ118" i="1"/>
  <c r="AI118" i="1"/>
  <c r="AA132" i="1"/>
  <c r="AC131" i="1"/>
  <c r="AB131" i="1"/>
  <c r="AC152" i="1"/>
  <c r="AE133" i="1"/>
  <c r="AE134" i="1"/>
  <c r="AE135" i="1"/>
  <c r="AE136" i="1"/>
  <c r="AE137" i="1"/>
  <c r="AE138" i="1"/>
  <c r="AE139" i="1"/>
  <c r="AE132" i="1"/>
  <c r="AE126" i="1"/>
  <c r="AC134" i="1"/>
  <c r="Z133" i="1"/>
  <c r="Z135" i="1"/>
  <c r="AL135" i="1"/>
  <c r="AL134" i="1"/>
  <c r="Z132" i="1"/>
  <c r="Z140" i="1"/>
  <c r="AA145" i="1"/>
  <c r="AA147" i="1"/>
  <c r="Z158" i="1"/>
  <c r="Z159" i="1"/>
  <c r="Z160" i="1"/>
  <c r="Z153" i="1"/>
  <c r="Z154" i="1"/>
  <c r="Z155" i="1"/>
  <c r="Z156" i="1"/>
  <c r="Z157" i="1"/>
  <c r="Z152" i="1"/>
  <c r="Z131" i="1"/>
  <c r="Z124" i="1"/>
  <c r="AB117" i="1"/>
  <c r="Z118" i="1"/>
  <c r="Z119" i="1"/>
  <c r="Z120" i="1"/>
  <c r="Z121" i="1"/>
  <c r="Z122" i="1"/>
  <c r="Z123" i="1"/>
  <c r="Z117" i="1"/>
  <c r="AG117" i="1"/>
  <c r="AE117" i="1"/>
  <c r="AI117" i="1"/>
  <c r="AH117" i="1"/>
  <c r="AA117" i="1"/>
  <c r="AA118" i="1"/>
  <c r="AL4" i="1"/>
  <c r="AJ4" i="1" s="1"/>
  <c r="AK161" i="1"/>
  <c r="AD161" i="1" s="1"/>
  <c r="AD160" i="1"/>
  <c r="AA160" i="1"/>
  <c r="AD159" i="1"/>
  <c r="AA159" i="1"/>
  <c r="AJ158" i="1"/>
  <c r="AK158" i="1" s="1"/>
  <c r="AI158" i="1"/>
  <c r="AC158" i="1"/>
  <c r="AA158" i="1" s="1"/>
  <c r="AC157" i="1"/>
  <c r="AA157" i="1" s="1"/>
  <c r="M157" i="1"/>
  <c r="AC156" i="1"/>
  <c r="AA156" i="1" s="1"/>
  <c r="M156" i="1"/>
  <c r="AC155" i="1"/>
  <c r="AA155" i="1" s="1"/>
  <c r="M155" i="1"/>
  <c r="AC154" i="1"/>
  <c r="AA154" i="1" s="1"/>
  <c r="M154" i="1"/>
  <c r="AC153" i="1"/>
  <c r="AA153" i="1" s="1"/>
  <c r="M153" i="1"/>
  <c r="AA152" i="1"/>
  <c r="M152" i="1"/>
  <c r="AL151" i="1"/>
  <c r="AE151" i="1"/>
  <c r="AD151" i="1"/>
  <c r="AA151" i="1"/>
  <c r="Z151" i="1"/>
  <c r="AL150" i="1"/>
  <c r="AE150" i="1"/>
  <c r="AD150" i="1"/>
  <c r="AA150" i="1"/>
  <c r="Z150" i="1"/>
  <c r="AA149" i="1"/>
  <c r="AD147" i="1"/>
  <c r="M147" i="1"/>
  <c r="AD146" i="1"/>
  <c r="AA146" i="1"/>
  <c r="M146" i="1"/>
  <c r="AD145" i="1"/>
  <c r="M145" i="1"/>
  <c r="AL144" i="1"/>
  <c r="AD144" i="1"/>
  <c r="AA144" i="1"/>
  <c r="Z144" i="1"/>
  <c r="M144" i="1"/>
  <c r="AD142" i="1"/>
  <c r="AJ141" i="1"/>
  <c r="AD139" i="1"/>
  <c r="AH139" i="1" s="1"/>
  <c r="AL138" i="1"/>
  <c r="AK138" i="1"/>
  <c r="AJ138" i="1"/>
  <c r="AH137" i="1"/>
  <c r="AD137" i="1"/>
  <c r="AD135" i="1"/>
  <c r="AC135" i="1"/>
  <c r="AA135" i="1" s="1"/>
  <c r="M135" i="1"/>
  <c r="AD134" i="1"/>
  <c r="AA134" i="1"/>
  <c r="Z134" i="1" s="1"/>
  <c r="AB134" i="1"/>
  <c r="M134" i="1"/>
  <c r="AL133" i="1"/>
  <c r="AD133" i="1"/>
  <c r="AC133" i="1"/>
  <c r="AA133" i="1" s="1"/>
  <c r="AB133" i="1"/>
  <c r="M133" i="1"/>
  <c r="AL132" i="1"/>
  <c r="AD132" i="1"/>
  <c r="AC132" i="1"/>
  <c r="M132" i="1"/>
  <c r="AE131" i="1"/>
  <c r="AD131" i="1"/>
  <c r="AA131" i="1"/>
  <c r="M131" i="1"/>
  <c r="AJ130" i="1"/>
  <c r="AI130" i="1"/>
  <c r="AF130" i="1"/>
  <c r="AJ129" i="1"/>
  <c r="AI129" i="1"/>
  <c r="AF129" i="1"/>
  <c r="AJ128" i="1"/>
  <c r="AI128" i="1"/>
  <c r="AF128" i="1"/>
  <c r="AJ127" i="1"/>
  <c r="AJ126" i="1"/>
  <c r="AK126" i="1" s="1"/>
  <c r="AJ125" i="1"/>
  <c r="AK125" i="1" s="1"/>
  <c r="AE124" i="1"/>
  <c r="AD124" i="1" s="1"/>
  <c r="AA124" i="1"/>
  <c r="AE123" i="1"/>
  <c r="AD123" i="1" s="1"/>
  <c r="AA123" i="1"/>
  <c r="AE122" i="1"/>
  <c r="AD122" i="1" s="1"/>
  <c r="AA122" i="1"/>
  <c r="AE121" i="1"/>
  <c r="AD121" i="1" s="1"/>
  <c r="AA121" i="1"/>
  <c r="L121" i="1"/>
  <c r="AE120" i="1"/>
  <c r="AD120" i="1" s="1"/>
  <c r="AA120" i="1"/>
  <c r="L120" i="1"/>
  <c r="AE119" i="1"/>
  <c r="AD119" i="1" s="1"/>
  <c r="AA119" i="1"/>
  <c r="L119" i="1"/>
  <c r="AE118" i="1"/>
  <c r="AD118" i="1" s="1"/>
  <c r="L118" i="1"/>
  <c r="AC117" i="1"/>
  <c r="AD117" i="1"/>
  <c r="AJ117" i="1" s="1"/>
  <c r="AK117" i="1" s="1"/>
  <c r="AI116" i="1"/>
  <c r="AG116" i="1"/>
  <c r="AD116" i="1"/>
  <c r="AH116" i="1" s="1"/>
  <c r="AJ116" i="1" s="1"/>
  <c r="AK116" i="1" s="1"/>
  <c r="AC116" i="1"/>
  <c r="AA116" i="1"/>
  <c r="AI115" i="1"/>
  <c r="AG115" i="1"/>
  <c r="AD115" i="1"/>
  <c r="AH115" i="1" s="1"/>
  <c r="AJ115" i="1" s="1"/>
  <c r="AK115" i="1" s="1"/>
  <c r="AC115" i="1"/>
  <c r="AA115" i="1"/>
  <c r="AI114" i="1"/>
  <c r="AG114" i="1"/>
  <c r="AD114" i="1"/>
  <c r="AH114" i="1" s="1"/>
  <c r="AJ114" i="1" s="1"/>
  <c r="AK114" i="1" s="1"/>
  <c r="AC114" i="1"/>
  <c r="AA114" i="1"/>
  <c r="AI113" i="1"/>
  <c r="AG113" i="1"/>
  <c r="AD113" i="1"/>
  <c r="AH113" i="1" s="1"/>
  <c r="AJ113" i="1" s="1"/>
  <c r="AK113" i="1" s="1"/>
  <c r="AC113" i="1"/>
  <c r="AA113" i="1"/>
  <c r="AI112" i="1"/>
  <c r="AG112" i="1"/>
  <c r="AD112" i="1"/>
  <c r="AH112" i="1" s="1"/>
  <c r="AJ112" i="1" s="1"/>
  <c r="AK112" i="1" s="1"/>
  <c r="AC112" i="1"/>
  <c r="AA112" i="1"/>
  <c r="AI111" i="1"/>
  <c r="AG111" i="1"/>
  <c r="AD111" i="1"/>
  <c r="AH111" i="1" s="1"/>
  <c r="AJ111" i="1" s="1"/>
  <c r="AK111" i="1" s="1"/>
  <c r="AC111" i="1"/>
  <c r="AA111" i="1"/>
  <c r="AI110" i="1"/>
  <c r="AG110" i="1"/>
  <c r="AD110" i="1"/>
  <c r="AH110" i="1" s="1"/>
  <c r="AJ110" i="1" s="1"/>
  <c r="AK110" i="1" s="1"/>
  <c r="AC110" i="1"/>
  <c r="AA110" i="1"/>
  <c r="AI109" i="1"/>
  <c r="AG109" i="1"/>
  <c r="AD109" i="1"/>
  <c r="AH109" i="1" s="1"/>
  <c r="AJ109" i="1" s="1"/>
  <c r="AK109" i="1" s="1"/>
  <c r="AC109" i="1"/>
  <c r="AA109" i="1"/>
  <c r="AI108" i="1"/>
  <c r="AG108" i="1"/>
  <c r="AD108" i="1"/>
  <c r="AH108" i="1" s="1"/>
  <c r="AJ108" i="1" s="1"/>
  <c r="AK108" i="1" s="1"/>
  <c r="AC108" i="1"/>
  <c r="AA108" i="1"/>
  <c r="AI107" i="1"/>
  <c r="AG107" i="1"/>
  <c r="AD107" i="1"/>
  <c r="AH107" i="1" s="1"/>
  <c r="AJ107" i="1" s="1"/>
  <c r="AK107" i="1" s="1"/>
  <c r="AC107" i="1"/>
  <c r="AA107" i="1"/>
  <c r="AI106" i="1"/>
  <c r="AG106" i="1"/>
  <c r="AD106" i="1"/>
  <c r="AH106" i="1" s="1"/>
  <c r="AJ106" i="1" s="1"/>
  <c r="AK106" i="1" s="1"/>
  <c r="AC106" i="1"/>
  <c r="AA106" i="1"/>
  <c r="AI105" i="1"/>
  <c r="AG105" i="1"/>
  <c r="AD105" i="1"/>
  <c r="AH105" i="1" s="1"/>
  <c r="AJ105" i="1" s="1"/>
  <c r="AK105" i="1" s="1"/>
  <c r="AC105" i="1"/>
  <c r="AA105" i="1"/>
  <c r="AI104" i="1"/>
  <c r="AG104" i="1"/>
  <c r="AD104" i="1"/>
  <c r="AH104" i="1" s="1"/>
  <c r="AJ104" i="1" s="1"/>
  <c r="AK104" i="1" s="1"/>
  <c r="AC104" i="1"/>
  <c r="AA104" i="1"/>
  <c r="AI103" i="1"/>
  <c r="AG103" i="1"/>
  <c r="AD103" i="1"/>
  <c r="AH103" i="1" s="1"/>
  <c r="AJ103" i="1" s="1"/>
  <c r="AK103" i="1" s="1"/>
  <c r="AC103" i="1"/>
  <c r="AA103" i="1"/>
  <c r="AI102" i="1"/>
  <c r="AG102" i="1"/>
  <c r="AD102" i="1"/>
  <c r="AH102" i="1" s="1"/>
  <c r="AJ102" i="1" s="1"/>
  <c r="AK102" i="1" s="1"/>
  <c r="AC102" i="1"/>
  <c r="AA102" i="1"/>
  <c r="AJ101" i="1"/>
  <c r="AK101" i="1" s="1"/>
  <c r="AD101" i="1"/>
  <c r="AG101" i="1" s="1"/>
  <c r="AJ100" i="1"/>
  <c r="AK100" i="1" s="1"/>
  <c r="AH100" i="1" s="1"/>
  <c r="AD100" i="1"/>
  <c r="AG100" i="1" s="1"/>
  <c r="AJ99" i="1"/>
  <c r="AK99" i="1" s="1"/>
  <c r="AD99" i="1"/>
  <c r="AG99" i="1" s="1"/>
  <c r="AK98" i="1"/>
  <c r="AH98" i="1" s="1"/>
  <c r="AG98" i="1"/>
  <c r="AK97" i="1"/>
  <c r="AJ97" i="1"/>
  <c r="AI97" i="1"/>
  <c r="AH97" i="1" s="1"/>
  <c r="AG97" i="1"/>
  <c r="AF97" i="1"/>
  <c r="AK96" i="1"/>
  <c r="AJ96" i="1"/>
  <c r="AI96" i="1"/>
  <c r="AH96" i="1" s="1"/>
  <c r="AG96" i="1"/>
  <c r="AF96" i="1"/>
  <c r="AK95" i="1"/>
  <c r="AH95" i="1" s="1"/>
  <c r="AD95" i="1"/>
  <c r="AK94" i="1"/>
  <c r="AH94" i="1" s="1"/>
  <c r="AD94" i="1"/>
  <c r="AK93" i="1"/>
  <c r="AH93" i="1" s="1"/>
  <c r="AD93" i="1"/>
  <c r="AK92" i="1"/>
  <c r="AH92" i="1" s="1"/>
  <c r="AI92" i="1"/>
  <c r="AE92" i="1"/>
  <c r="AF92" i="1" s="1"/>
  <c r="AD92" i="1"/>
  <c r="AG92" i="1" s="1"/>
  <c r="AA92" i="1"/>
  <c r="AJ91" i="1"/>
  <c r="AK91" i="1" s="1"/>
  <c r="AI91" i="1"/>
  <c r="AG91" i="1"/>
  <c r="AE91" i="1"/>
  <c r="AF91" i="1" s="1"/>
  <c r="AJ90" i="1"/>
  <c r="AK90" i="1" s="1"/>
  <c r="AI90" i="1"/>
  <c r="AG90" i="1"/>
  <c r="AE90" i="1"/>
  <c r="AF90" i="1" s="1"/>
  <c r="AJ89" i="1"/>
  <c r="AK89" i="1" s="1"/>
  <c r="AI89" i="1"/>
  <c r="AG89" i="1"/>
  <c r="AE89" i="1"/>
  <c r="AF89" i="1" s="1"/>
  <c r="AK88" i="1"/>
  <c r="AJ88" i="1"/>
  <c r="AH88" i="1"/>
  <c r="AE88" i="1"/>
  <c r="AI88" i="1" s="1"/>
  <c r="AD88" i="1"/>
  <c r="AG88" i="1" s="1"/>
  <c r="AK87" i="1"/>
  <c r="AJ87" i="1"/>
  <c r="AG87" i="1"/>
  <c r="AE87" i="1"/>
  <c r="AF87" i="1" s="1"/>
  <c r="AK86" i="1"/>
  <c r="AJ86" i="1"/>
  <c r="AI86" i="1"/>
  <c r="AG86" i="1"/>
  <c r="AF86" i="1"/>
  <c r="AK85" i="1"/>
  <c r="AJ85" i="1"/>
  <c r="AG85" i="1"/>
  <c r="AE85" i="1"/>
  <c r="AF85" i="1" s="1"/>
  <c r="AL84" i="1"/>
  <c r="AC84" i="1"/>
  <c r="AL83" i="1"/>
  <c r="AJ83" i="1" s="1"/>
  <c r="AK83" i="1" s="1"/>
  <c r="AJ82" i="1"/>
  <c r="AG82" i="1"/>
  <c r="AI81" i="1"/>
  <c r="AG81" i="1"/>
  <c r="AE81" i="1"/>
  <c r="AF81" i="1" s="1"/>
  <c r="AJ80" i="1"/>
  <c r="AK80" i="1" s="1"/>
  <c r="AD80" i="1"/>
  <c r="AG80" i="1" s="1"/>
  <c r="AK79" i="1"/>
  <c r="AH79" i="1" s="1"/>
  <c r="AI79" i="1" s="1"/>
  <c r="AD79" i="1"/>
  <c r="AE79" i="1" s="1"/>
  <c r="AJ78" i="1"/>
  <c r="AK78" i="1" s="1"/>
  <c r="AI78" i="1"/>
  <c r="AF78" i="1"/>
  <c r="AD78" i="1"/>
  <c r="AE78" i="1" s="1"/>
  <c r="AC78" i="1"/>
  <c r="Z78" i="1"/>
  <c r="AA78" i="1" s="1"/>
  <c r="AI77" i="1"/>
  <c r="AF77" i="1"/>
  <c r="AD77" i="1"/>
  <c r="AH77" i="1" s="1"/>
  <c r="AB77" i="1"/>
  <c r="AC77" i="1" s="1"/>
  <c r="AA77" i="1"/>
  <c r="AL76" i="1"/>
  <c r="AJ76" i="1"/>
  <c r="AK76" i="1" s="1"/>
  <c r="AH76" i="1" s="1"/>
  <c r="AD76" i="1"/>
  <c r="AI75" i="1"/>
  <c r="Z75" i="1"/>
  <c r="AH74" i="1"/>
  <c r="AJ74" i="1" s="1"/>
  <c r="AK74" i="1" s="1"/>
  <c r="AG74" i="1"/>
  <c r="AE74" i="1"/>
  <c r="AF74" i="1" s="1"/>
  <c r="AJ73" i="1"/>
  <c r="AE73" i="1"/>
  <c r="AF73" i="1" s="1"/>
  <c r="AD73" i="1"/>
  <c r="AG73" i="1" s="1"/>
  <c r="AK72" i="1"/>
  <c r="AH72" i="1" s="1"/>
  <c r="AD72" i="1"/>
  <c r="AG72" i="1" s="1"/>
  <c r="AK71" i="1"/>
  <c r="AH71" i="1" s="1"/>
  <c r="AD71" i="1"/>
  <c r="AG71" i="1" s="1"/>
  <c r="AK70" i="1"/>
  <c r="AH70" i="1" s="1"/>
  <c r="AD70" i="1"/>
  <c r="AG70" i="1" s="1"/>
  <c r="AE69" i="1"/>
  <c r="AI69" i="1" s="1"/>
  <c r="AB69" i="1"/>
  <c r="AA69" i="1"/>
  <c r="Z69" i="1" s="1"/>
  <c r="AJ68" i="1"/>
  <c r="AK68" i="1" s="1"/>
  <c r="AD68" i="1"/>
  <c r="AE68" i="1" s="1"/>
  <c r="AF67" i="1"/>
  <c r="AD67" i="1"/>
  <c r="AG67" i="1" s="1"/>
  <c r="AC67" i="1"/>
  <c r="Z67" i="1"/>
  <c r="AB67" i="1" s="1"/>
  <c r="AK66" i="1"/>
  <c r="AH66" i="1" s="1"/>
  <c r="AI66" i="1" s="1"/>
  <c r="AD66" i="1"/>
  <c r="AG66" i="1" s="1"/>
  <c r="M66" i="1"/>
  <c r="AB65" i="1"/>
  <c r="AH64" i="1"/>
  <c r="AF64" i="1"/>
  <c r="AG64" i="1" s="1"/>
  <c r="AD64" i="1"/>
  <c r="AB64" i="1"/>
  <c r="AA64" i="1"/>
  <c r="AC64" i="1" s="1"/>
  <c r="AJ63" i="1"/>
  <c r="AD63" i="1"/>
  <c r="AE63" i="1" s="1"/>
  <c r="AF63" i="1" s="1"/>
  <c r="AG63" i="1" s="1"/>
  <c r="AJ62" i="1"/>
  <c r="AK62" i="1" s="1"/>
  <c r="AD62" i="1"/>
  <c r="AE62" i="1" s="1"/>
  <c r="AF62" i="1" s="1"/>
  <c r="AG62" i="1" s="1"/>
  <c r="AL61" i="1"/>
  <c r="AD61" i="1"/>
  <c r="AJ61" i="1" s="1"/>
  <c r="AK61" i="1" s="1"/>
  <c r="AI60" i="1"/>
  <c r="AF60" i="1"/>
  <c r="AG60" i="1" s="1"/>
  <c r="AD60" i="1"/>
  <c r="AH60" i="1" s="1"/>
  <c r="AL59" i="1"/>
  <c r="AE59" i="1"/>
  <c r="AI59" i="1" s="1"/>
  <c r="AA59" i="1"/>
  <c r="AL58" i="1"/>
  <c r="AE58" i="1"/>
  <c r="AA58" i="1"/>
  <c r="AL57" i="1"/>
  <c r="AK57" i="1"/>
  <c r="AJ57" i="1"/>
  <c r="AD57" i="1"/>
  <c r="AG57" i="1" s="1"/>
  <c r="AL56" i="1"/>
  <c r="AK56" i="1"/>
  <c r="AJ56" i="1"/>
  <c r="AD56" i="1"/>
  <c r="AG56" i="1" s="1"/>
  <c r="AE55" i="1"/>
  <c r="AK54" i="1"/>
  <c r="AH54" i="1" s="1"/>
  <c r="AD54" i="1"/>
  <c r="AG54" i="1" s="1"/>
  <c r="AK53" i="1"/>
  <c r="AH53" i="1" s="1"/>
  <c r="AI53" i="1" s="1"/>
  <c r="AD53" i="1"/>
  <c r="AE53" i="1" s="1"/>
  <c r="AF53" i="1" s="1"/>
  <c r="AI52" i="1"/>
  <c r="AE52" i="1"/>
  <c r="AF52" i="1" s="1"/>
  <c r="AK51" i="1"/>
  <c r="AI51" i="1"/>
  <c r="AG51" i="1"/>
  <c r="AF51" i="1"/>
  <c r="AI50" i="1"/>
  <c r="AF50" i="1"/>
  <c r="AD50" i="1"/>
  <c r="AH50" i="1" s="1"/>
  <c r="AB50" i="1"/>
  <c r="AA50" i="1"/>
  <c r="AC50" i="1" s="1"/>
  <c r="AJ49" i="1"/>
  <c r="AK49" i="1" s="1"/>
  <c r="AI49" i="1"/>
  <c r="AH49" i="1"/>
  <c r="AG49" i="1"/>
  <c r="AF49" i="1"/>
  <c r="AL48" i="1"/>
  <c r="AE48" i="1"/>
  <c r="AI48" i="1" s="1"/>
  <c r="AA48" i="1"/>
  <c r="AL47" i="1"/>
  <c r="AE47" i="1"/>
  <c r="AI47" i="1" s="1"/>
  <c r="AA47" i="1"/>
  <c r="AK46" i="1"/>
  <c r="AD46" i="1" s="1"/>
  <c r="AG46" i="1" s="1"/>
  <c r="AI45" i="1"/>
  <c r="AF45" i="1"/>
  <c r="AG45" i="1" s="1"/>
  <c r="AD45" i="1"/>
  <c r="AL44" i="1"/>
  <c r="AK44" i="1"/>
  <c r="AJ44" i="1"/>
  <c r="AE44" i="1"/>
  <c r="AK43" i="1"/>
  <c r="AJ43" i="1"/>
  <c r="AH43" i="1"/>
  <c r="AF43" i="1"/>
  <c r="AG43" i="1" s="1"/>
  <c r="AK42" i="1"/>
  <c r="AH42" i="1" s="1"/>
  <c r="AI42" i="1" s="1"/>
  <c r="AD42" i="1"/>
  <c r="AE42" i="1" s="1"/>
  <c r="AF42" i="1" s="1"/>
  <c r="AJ41" i="1"/>
  <c r="AK41" i="1" s="1"/>
  <c r="AI41" i="1"/>
  <c r="AH41" i="1"/>
  <c r="AF41" i="1"/>
  <c r="AG41" i="1" s="1"/>
  <c r="AD40" i="1"/>
  <c r="AH40" i="1" s="1"/>
  <c r="AL39" i="1"/>
  <c r="AE39" i="1"/>
  <c r="AI39" i="1" s="1"/>
  <c r="AA39" i="1"/>
  <c r="AG38" i="1"/>
  <c r="AE38" i="1"/>
  <c r="AI38" i="1" s="1"/>
  <c r="AC38" i="1"/>
  <c r="AA38" i="1" s="1"/>
  <c r="Z38" i="1"/>
  <c r="AB37" i="1"/>
  <c r="Z37" i="1" s="1"/>
  <c r="AJ36" i="1"/>
  <c r="AK36" i="1" s="1"/>
  <c r="AH36" i="1"/>
  <c r="AE36" i="1"/>
  <c r="AI36" i="1" s="1"/>
  <c r="AJ35" i="1"/>
  <c r="AK35" i="1" s="1"/>
  <c r="AH35" i="1"/>
  <c r="AE35" i="1"/>
  <c r="AF35" i="1" s="1"/>
  <c r="AG35" i="1" s="1"/>
  <c r="AJ34" i="1"/>
  <c r="AK34" i="1" s="1"/>
  <c r="AH34" i="1"/>
  <c r="AE34" i="1"/>
  <c r="AF34" i="1" s="1"/>
  <c r="AG34" i="1" s="1"/>
  <c r="AL33" i="1"/>
  <c r="Z33" i="1"/>
  <c r="AB33" i="1" s="1"/>
  <c r="AL32" i="1"/>
  <c r="Z32" i="1"/>
  <c r="AB32" i="1" s="1"/>
  <c r="AL31" i="1"/>
  <c r="Z31" i="1"/>
  <c r="AB31" i="1" s="1"/>
  <c r="AK30" i="1"/>
  <c r="AH30" i="1" s="1"/>
  <c r="AI30" i="1" s="1"/>
  <c r="AD30" i="1"/>
  <c r="AE30" i="1" s="1"/>
  <c r="AF30" i="1" s="1"/>
  <c r="AI29" i="1"/>
  <c r="AE29" i="1" s="1"/>
  <c r="AF29" i="1" s="1"/>
  <c r="AB29" i="1"/>
  <c r="AK28" i="1"/>
  <c r="AH28" i="1" s="1"/>
  <c r="AI28" i="1" s="1"/>
  <c r="AD28" i="1"/>
  <c r="AE28" i="1" s="1"/>
  <c r="AF28" i="1" s="1"/>
  <c r="AG28" i="1" s="1"/>
  <c r="AC28" i="1"/>
  <c r="Z28" i="1"/>
  <c r="AB28" i="1" s="1"/>
  <c r="AI27" i="1"/>
  <c r="AE27" i="1"/>
  <c r="AF27" i="1" s="1"/>
  <c r="AG27" i="1" s="1"/>
  <c r="AI26" i="1"/>
  <c r="AE26" i="1"/>
  <c r="AF26" i="1" s="1"/>
  <c r="AG26" i="1" s="1"/>
  <c r="AB25" i="1"/>
  <c r="AC25" i="1" s="1"/>
  <c r="AA25" i="1"/>
  <c r="AH24" i="1"/>
  <c r="AJ24" i="1" s="1"/>
  <c r="AK24" i="1" s="1"/>
  <c r="AF24" i="1"/>
  <c r="AI23" i="1"/>
  <c r="AE23" i="1"/>
  <c r="AF23" i="1" s="1"/>
  <c r="AG23" i="1" s="1"/>
  <c r="AL22" i="1"/>
  <c r="AB22" i="1"/>
  <c r="Z22" i="1" s="1"/>
  <c r="AL21" i="1"/>
  <c r="AB21" i="1"/>
  <c r="Z21" i="1" s="1"/>
  <c r="AC20" i="1"/>
  <c r="AA20" i="1" s="1"/>
  <c r="Z20" i="1"/>
  <c r="AJ19" i="1"/>
  <c r="AK19" i="1" s="1"/>
  <c r="AG19" i="1"/>
  <c r="AE19" i="1"/>
  <c r="AD19" i="1" s="1"/>
  <c r="AL18" i="1"/>
  <c r="AD18" i="1"/>
  <c r="AH18" i="1" s="1"/>
  <c r="AA18" i="1"/>
  <c r="AJ17" i="1"/>
  <c r="AK17" i="1" s="1"/>
  <c r="AH17" i="1"/>
  <c r="AE17" i="1"/>
  <c r="AI17" i="1" s="1"/>
  <c r="AK16" i="1"/>
  <c r="AH16" i="1" s="1"/>
  <c r="AG15" i="1"/>
  <c r="AE15" i="1"/>
  <c r="AD15" i="1" s="1"/>
  <c r="AH15" i="1" s="1"/>
  <c r="AE14" i="1"/>
  <c r="AI14" i="1" s="1"/>
  <c r="AA14" i="1"/>
  <c r="Z14" i="1" s="1"/>
  <c r="AB14" i="1" s="1"/>
  <c r="AI13" i="1"/>
  <c r="AF13" i="1"/>
  <c r="AG13" i="1" s="1"/>
  <c r="AD13" i="1"/>
  <c r="AH13" i="1" s="1"/>
  <c r="AB13" i="1"/>
  <c r="AC13" i="1" s="1"/>
  <c r="AA13" i="1"/>
  <c r="AH12" i="1"/>
  <c r="AJ12" i="1" s="1"/>
  <c r="AK12" i="1" s="1"/>
  <c r="AE12" i="1"/>
  <c r="AI12" i="1" s="1"/>
  <c r="AK11" i="1"/>
  <c r="AJ11" i="1"/>
  <c r="AH11" i="1"/>
  <c r="AF11" i="1"/>
  <c r="AG11" i="1" s="1"/>
  <c r="AD11" i="1"/>
  <c r="AC10" i="1"/>
  <c r="Z10" i="1"/>
  <c r="AA10" i="1" s="1"/>
  <c r="AL9" i="1"/>
  <c r="AB9" i="1"/>
  <c r="Z9" i="1" s="1"/>
  <c r="AI8" i="1"/>
  <c r="AF8" i="1"/>
  <c r="AG8" i="1" s="1"/>
  <c r="AD8" i="1"/>
  <c r="AH8" i="1" s="1"/>
  <c r="AC8" i="1"/>
  <c r="AA8" i="1"/>
  <c r="AJ7" i="1"/>
  <c r="AB7" i="1"/>
  <c r="AC7" i="1" s="1"/>
  <c r="AA7" i="1"/>
  <c r="AI6" i="1"/>
  <c r="AL5" i="1"/>
  <c r="AJ5" i="1" s="1"/>
  <c r="AE5" i="1"/>
  <c r="AA5" i="1"/>
  <c r="AE4" i="1"/>
  <c r="AA4" i="1"/>
  <c r="AJ3" i="1"/>
  <c r="AK3" i="1" s="1"/>
  <c r="AD3" i="1" s="1"/>
  <c r="AG3" i="1"/>
  <c r="AJ2" i="1"/>
  <c r="AK2" i="1" s="1"/>
  <c r="AI2" i="1"/>
  <c r="AG2" i="1"/>
  <c r="AC2" i="1"/>
  <c r="AA2" i="1"/>
  <c r="AI159" i="1" l="1"/>
  <c r="AI151" i="1"/>
  <c r="AI131" i="1"/>
  <c r="AJ119" i="1"/>
  <c r="AK119" i="1" s="1"/>
  <c r="AE76" i="1"/>
  <c r="AF76" i="1" s="1"/>
  <c r="AI76" i="1"/>
  <c r="AC31" i="1"/>
  <c r="AC33" i="1"/>
  <c r="AH46" i="1"/>
  <c r="AI46" i="1" s="1"/>
  <c r="AD58" i="1"/>
  <c r="AH58" i="1" s="1"/>
  <c r="AB84" i="1"/>
  <c r="Z84" i="1" s="1"/>
  <c r="AA84" i="1" s="1"/>
  <c r="AD4" i="1"/>
  <c r="AG4" i="1" s="1"/>
  <c r="AD138" i="1"/>
  <c r="AH68" i="1"/>
  <c r="AF69" i="1"/>
  <c r="AF17" i="1"/>
  <c r="AG17" i="1" s="1"/>
  <c r="AD44" i="1"/>
  <c r="AF47" i="1"/>
  <c r="AI58" i="1"/>
  <c r="AH61" i="1"/>
  <c r="AI61" i="1" s="1"/>
  <c r="AG76" i="1"/>
  <c r="AC32" i="1"/>
  <c r="AE66" i="1"/>
  <c r="AF66" i="1" s="1"/>
  <c r="AD69" i="1"/>
  <c r="AJ69" i="1" s="1"/>
  <c r="AK69" i="1" s="1"/>
  <c r="AG79" i="1"/>
  <c r="AF12" i="1"/>
  <c r="AG12" i="1" s="1"/>
  <c r="AA31" i="1"/>
  <c r="AC37" i="1"/>
  <c r="AA37" i="1" s="1"/>
  <c r="AH57" i="1"/>
  <c r="AG77" i="1"/>
  <c r="AI87" i="1"/>
  <c r="AH161" i="1"/>
  <c r="AD5" i="1"/>
  <c r="AG5" i="1" s="1"/>
  <c r="AI15" i="1"/>
  <c r="AD125" i="1"/>
  <c r="AE125" i="1" s="1"/>
  <c r="AE18" i="1"/>
  <c r="AF18" i="1" s="1"/>
  <c r="AG18" i="1" s="1"/>
  <c r="AC21" i="1"/>
  <c r="AA21" i="1" s="1"/>
  <c r="AF88" i="1"/>
  <c r="AH125" i="1"/>
  <c r="AG161" i="1"/>
  <c r="AE161" i="1"/>
  <c r="AF161" i="1" s="1"/>
  <c r="AJ50" i="1"/>
  <c r="AK50" i="1" s="1"/>
  <c r="AF5" i="1"/>
  <c r="AC9" i="1"/>
  <c r="AA9" i="1" s="1"/>
  <c r="AH19" i="1"/>
  <c r="AI19" i="1" s="1"/>
  <c r="AC22" i="1"/>
  <c r="AA22" i="1" s="1"/>
  <c r="AA33" i="1"/>
  <c r="AD39" i="1"/>
  <c r="AH39" i="1" s="1"/>
  <c r="AJ40" i="1"/>
  <c r="AK40" i="1" s="1"/>
  <c r="AF44" i="1"/>
  <c r="AG44" i="1" s="1"/>
  <c r="AE56" i="1"/>
  <c r="AF56" i="1" s="1"/>
  <c r="AF59" i="1"/>
  <c r="AG59" i="1" s="1"/>
  <c r="AJ77" i="1"/>
  <c r="AK77" i="1" s="1"/>
  <c r="AI85" i="1"/>
  <c r="AH3" i="1"/>
  <c r="AI3" i="1" s="1"/>
  <c r="AJ13" i="1"/>
  <c r="AK13" i="1" s="1"/>
  <c r="AG50" i="1"/>
  <c r="AK7" i="1"/>
  <c r="AD7" i="1" s="1"/>
  <c r="AE7" i="1" s="1"/>
  <c r="AJ18" i="1"/>
  <c r="AK18" i="1" s="1"/>
  <c r="AA32" i="1"/>
  <c r="AF36" i="1"/>
  <c r="AG36" i="1" s="1"/>
  <c r="AF39" i="1"/>
  <c r="AG39" i="1" s="1"/>
  <c r="AE40" i="1"/>
  <c r="AH44" i="1"/>
  <c r="AI44" i="1" s="1"/>
  <c r="AF48" i="1"/>
  <c r="AG53" i="1"/>
  <c r="AF58" i="1"/>
  <c r="AG58" i="1" s="1"/>
  <c r="AG68" i="1"/>
  <c r="AI74" i="1"/>
  <c r="AK4" i="1"/>
  <c r="AH4" i="1" s="1"/>
  <c r="AI4" i="1" s="1"/>
  <c r="AI16" i="1"/>
  <c r="AE16" i="1" s="1"/>
  <c r="AF16" i="1" s="1"/>
  <c r="AD16" i="1"/>
  <c r="AG16" i="1" s="1"/>
  <c r="AF14" i="1"/>
  <c r="AG14" i="1" s="1"/>
  <c r="AJ15" i="1"/>
  <c r="AK15" i="1" s="1"/>
  <c r="AI34" i="1"/>
  <c r="AI35" i="1"/>
  <c r="AE46" i="1"/>
  <c r="AF46" i="1" s="1"/>
  <c r="AD48" i="1"/>
  <c r="AH56" i="1"/>
  <c r="AK73" i="1"/>
  <c r="AH73" i="1" s="1"/>
  <c r="AI73" i="1" s="1"/>
  <c r="AH99" i="1"/>
  <c r="AK127" i="1"/>
  <c r="AH127" i="1" s="1"/>
  <c r="AK128" i="1"/>
  <c r="AD128" i="1" s="1"/>
  <c r="AG128" i="1" s="1"/>
  <c r="AK129" i="1"/>
  <c r="AH129" i="1" s="1"/>
  <c r="AK130" i="1"/>
  <c r="AH130" i="1" s="1"/>
  <c r="AF4" i="1"/>
  <c r="AK5" i="1"/>
  <c r="AH5" i="1" s="1"/>
  <c r="AI5" i="1" s="1"/>
  <c r="AJ8" i="1"/>
  <c r="AK8" i="1" s="1"/>
  <c r="AC14" i="1"/>
  <c r="AD38" i="1"/>
  <c r="AD47" i="1"/>
  <c r="AE57" i="1"/>
  <c r="AF57" i="1" s="1"/>
  <c r="AE61" i="1"/>
  <c r="AF61" i="1" s="1"/>
  <c r="AG61" i="1" s="1"/>
  <c r="AK63" i="1"/>
  <c r="AH63" i="1" s="1"/>
  <c r="AI63" i="1" s="1"/>
  <c r="AF68" i="1"/>
  <c r="AI68" i="1"/>
  <c r="AG93" i="1"/>
  <c r="AE93" i="1"/>
  <c r="AG94" i="1"/>
  <c r="AE94" i="1"/>
  <c r="AG95" i="1"/>
  <c r="AE95" i="1"/>
  <c r="AH101" i="1"/>
  <c r="AH126" i="1"/>
  <c r="AD126" i="1"/>
  <c r="AK141" i="1"/>
  <c r="AD141" i="1" s="1"/>
  <c r="AG141" i="1" s="1"/>
  <c r="AD14" i="1"/>
  <c r="AJ60" i="1"/>
  <c r="AK60" i="1" s="1"/>
  <c r="AH62" i="1"/>
  <c r="AI62" i="1" s="1"/>
  <c r="AJ67" i="1"/>
  <c r="AK82" i="1"/>
  <c r="AD82" i="1" s="1"/>
  <c r="AE82" i="1" s="1"/>
  <c r="AH83" i="1"/>
  <c r="AI83" i="1" s="1"/>
  <c r="AD158" i="1"/>
  <c r="AG158" i="1" s="1"/>
  <c r="AH158" i="1"/>
  <c r="AD59" i="1"/>
  <c r="AD83" i="1"/>
  <c r="AG83" i="1" s="1"/>
  <c r="AJ39" i="1" l="1"/>
  <c r="AK39" i="1" s="1"/>
  <c r="AH7" i="1"/>
  <c r="AJ58" i="1"/>
  <c r="AK58" i="1" s="1"/>
  <c r="AD129" i="1"/>
  <c r="AG129" i="1" s="1"/>
  <c r="AI18" i="1"/>
  <c r="AH69" i="1"/>
  <c r="AG69" i="1"/>
  <c r="AI161" i="1"/>
  <c r="AH82" i="1"/>
  <c r="AI82" i="1" s="1"/>
  <c r="AD130" i="1"/>
  <c r="AG130" i="1" s="1"/>
  <c r="AI40" i="1"/>
  <c r="AF40" i="1"/>
  <c r="AG40" i="1" s="1"/>
  <c r="AD127" i="1"/>
  <c r="AE127" i="1" s="1"/>
  <c r="AH59" i="1"/>
  <c r="AJ59" i="1"/>
  <c r="AK59" i="1" s="1"/>
  <c r="AI125" i="1"/>
  <c r="AJ38" i="1"/>
  <c r="AK38" i="1" s="1"/>
  <c r="AH38" i="1"/>
  <c r="AG48" i="1"/>
  <c r="AJ48" i="1"/>
  <c r="AK48" i="1" s="1"/>
  <c r="AH48" i="1"/>
  <c r="AH141" i="1"/>
  <c r="AF95" i="1"/>
  <c r="AI95" i="1"/>
  <c r="AF93" i="1"/>
  <c r="AI93" i="1"/>
  <c r="AH128" i="1"/>
  <c r="AK67" i="1"/>
  <c r="AH67" i="1" s="1"/>
  <c r="AI67" i="1" s="1"/>
  <c r="AH14" i="1"/>
  <c r="AJ14" i="1"/>
  <c r="AK14" i="1" s="1"/>
  <c r="AG126" i="1"/>
  <c r="AJ47" i="1"/>
  <c r="AK47" i="1" s="1"/>
  <c r="AH47" i="1"/>
  <c r="AG47" i="1"/>
  <c r="AF94" i="1"/>
  <c r="AI94" i="1"/>
  <c r="AF7" i="1"/>
  <c r="AG7" i="1" s="1"/>
  <c r="AI7" i="1"/>
  <c r="AG127" i="1" l="1"/>
  <c r="AI127" i="1"/>
  <c r="AF127" i="1"/>
  <c r="AF126" i="1"/>
  <c r="AI126" i="1"/>
</calcChain>
</file>

<file path=xl/sharedStrings.xml><?xml version="1.0" encoding="utf-8"?>
<sst xmlns="http://schemas.openxmlformats.org/spreadsheetml/2006/main" count="3293" uniqueCount="518">
  <si>
    <t>CODE</t>
  </si>
  <si>
    <t>ID</t>
  </si>
  <si>
    <t>Title</t>
  </si>
  <si>
    <t>Authors</t>
  </si>
  <si>
    <t>Language</t>
  </si>
  <si>
    <t>Publication_date</t>
  </si>
  <si>
    <t>Short_long_term</t>
  </si>
  <si>
    <t>Hemisphere</t>
  </si>
  <si>
    <t>Latitude</t>
  </si>
  <si>
    <t>Longitude</t>
  </si>
  <si>
    <t>City</t>
  </si>
  <si>
    <t>Densi_pop(hab/km2)</t>
  </si>
  <si>
    <t>Continent</t>
  </si>
  <si>
    <t>Climatic_region</t>
  </si>
  <si>
    <t>Biome</t>
  </si>
  <si>
    <t>Estimate_method</t>
  </si>
  <si>
    <t>Plant_metrics</t>
  </si>
  <si>
    <t>Vegetetion_type</t>
  </si>
  <si>
    <t>Carbon_metric</t>
  </si>
  <si>
    <t>Area_ha</t>
  </si>
  <si>
    <t>A CASE STUDY ON STRUCTURAL DEVELOPMENT AND ECOLOGICAL SERVICES OF RESTORED MANGROVES IN ADYAR ESTUARY, INDIA</t>
  </si>
  <si>
    <t>Viswanathan C.; Joyson Joe Jeevamani J.; Abhilash K.R.; Amrutha P.A.; Balachandar K.; Manodheepan K.K.; Viswanathan S.; Deepak Samuel V.; Purvaja R.</t>
  </si>
  <si>
    <t>English</t>
  </si>
  <si>
    <t>short</t>
  </si>
  <si>
    <t>northern</t>
  </si>
  <si>
    <t>Chennai</t>
  </si>
  <si>
    <t>Asia</t>
  </si>
  <si>
    <t>India</t>
  </si>
  <si>
    <t>Dry-winter Tropical Savanna (Aw)</t>
  </si>
  <si>
    <t>Mangroves</t>
  </si>
  <si>
    <t>Estuary</t>
  </si>
  <si>
    <t>Urban</t>
  </si>
  <si>
    <t>allometric equation; field sampling</t>
  </si>
  <si>
    <t>diameter at breast height; tree height</t>
  </si>
  <si>
    <t>Trees</t>
  </si>
  <si>
    <t>Aboveground and belowground</t>
  </si>
  <si>
    <t>NA</t>
  </si>
  <si>
    <t>A GIS-BASED ASSESSMENT OF LAND COVER CHANGES AND TREE SPECIES SUITABILITY FOR URBAN GREENING POLICIES IN THE CITY OF KITWE, ZAMBIA</t>
  </si>
  <si>
    <t>Banda, David Agamemnon</t>
  </si>
  <si>
    <t>southern</t>
  </si>
  <si>
    <t>Kitwe</t>
  </si>
  <si>
    <t>Africa</t>
  </si>
  <si>
    <t>Zambia</t>
  </si>
  <si>
    <t>Dry-winter Humid Subtropical (Cwa)</t>
  </si>
  <si>
    <t>Tropical &amp; Subtropical Grasslands, Savannas &amp; Shrublands</t>
  </si>
  <si>
    <t>Adj. green</t>
  </si>
  <si>
    <t>diameter at breast height; tree height; wood density</t>
  </si>
  <si>
    <t>Aboveground</t>
  </si>
  <si>
    <t>ABOVE-GROUND BIOMASS ESTIMATION FOR URBAN FOREST MANAGEMENT USING REMOTE SENSING</t>
  </si>
  <si>
    <t>Hosni, Ahmad Taufiq; Teriman, Suharto; Adnan, Nor Aizam; Kamar, Muhamad Asri Abdullah</t>
  </si>
  <si>
    <t>long</t>
  </si>
  <si>
    <t>Ipoh</t>
  </si>
  <si>
    <t>Malaysia</t>
  </si>
  <si>
    <t>Tropical Rainforest (Af)</t>
  </si>
  <si>
    <t>Tropical &amp; Subtropical Moist Broadleaf Forests</t>
  </si>
  <si>
    <t>Forest</t>
  </si>
  <si>
    <t>Periurban</t>
  </si>
  <si>
    <t>allometric equation; field sampling (for oil palm plantation) and remote sensing (landsat and NDVI)</t>
  </si>
  <si>
    <t>height</t>
  </si>
  <si>
    <t>AIR POLLUTION TOLERANCE INDEX (APTI) AND CARBON SEQUESTRATION OF SELECTED TREES AND SHRUBS FOR URBAN DEVELOPMENT IN AKURE ONDO STATE, SOUTHWEST NIGERIA</t>
  </si>
  <si>
    <t>Okunlola, A. Ibironke; Adepoju, Akinola O.; Agele, Samuel O.</t>
  </si>
  <si>
    <t>Akure</t>
  </si>
  <si>
    <t>Nigeria</t>
  </si>
  <si>
    <t>19.87 t</t>
  </si>
  <si>
    <t>AN ASSESSMENT OF URBAN FOREST LANDSCAPE SERVICES FOR GREEN SPACE MANAGEMENT IMPROVEMENT IN BANDUNG CITY, WEST JAVA, INDONESIA</t>
  </si>
  <si>
    <t>Afrianti, Chairunnisa; Widiarti, Novita Mellinia; Akbar, Indria Zhafirah; Rachmanto, Eurico Pratama; Hanif, Muhammad Faig; Amin, Rahmat Akhirul; Kaswanto, Kaswanto; Wiyoga, Harityas; Mosyaftiani, Amarizni</t>
  </si>
  <si>
    <t>Bandung</t>
  </si>
  <si>
    <t>Indonesia</t>
  </si>
  <si>
    <t>allometric equation; field sampling; i-Tree Eco</t>
  </si>
  <si>
    <t>AN ESTIMATION OF ECOSYSTEM SERVICES PROVIDED BY URBAN AND PERI-URBAN FORESTS: A CASE STUDY IN JUIZ DE FORA, BRAZIL</t>
  </si>
  <si>
    <t>Costemalle, Valéria Borges; Candido, Helder Marcos Nunes; Carvalho, Fabrício Alvim</t>
  </si>
  <si>
    <t>Juiz de Fora</t>
  </si>
  <si>
    <t>South America</t>
  </si>
  <si>
    <t>Brazil</t>
  </si>
  <si>
    <t>Urban-rural</t>
  </si>
  <si>
    <t>remote sensing; software i-Tree Canopy v. 7.0</t>
  </si>
  <si>
    <t>tree cover</t>
  </si>
  <si>
    <t>BALANÇO DE EMISSÕES E REMOÇÕES DE GASES DE EFEITO ESTUFA NO CAMPUS DA UNIVERSIDADE FEDERAL DE VIÇOSA</t>
  </si>
  <si>
    <t>Brianezi, Daniel, Jacovine, Laércio Antônio Gonçalves, Soares, Carlos Pedro Boechat, Gonçalves, Wantuelfer, Rocha, Samuel José Silva Soares da</t>
  </si>
  <si>
    <t>Portuguese</t>
  </si>
  <si>
    <t>Viçosa</t>
  </si>
  <si>
    <t>field sampling; estimation by local literature</t>
  </si>
  <si>
    <t>COMPORTAMIENTO DEL CARBONO RETENIDO EN EL ARBOLADO URBANO EN EL SUR DE LA CIUDAD DE GUANTÁNAMO</t>
  </si>
  <si>
    <t>Rodríguez Matos, Yuris, Ajete Hernández, Arlety, Orta Pozo, Surima, Rondón González, Daniel Nidier, Rivera Díaz, José Reynaldo</t>
  </si>
  <si>
    <t>Spanish</t>
  </si>
  <si>
    <t>Guantánamo</t>
  </si>
  <si>
    <t>North America</t>
  </si>
  <si>
    <t>Cuba</t>
  </si>
  <si>
    <t>diameter at breast height; tree height; basal area; volume</t>
  </si>
  <si>
    <t>ESTRUCTURA Y SECUESTRO DE CARBONO EN MANGLARES URBANOS, FUNDAMENTOS PARA SU CONSERVACIÓN EN ISLA DEL CARMEN, CAMPECHE, MÉXICO</t>
  </si>
  <si>
    <t>Hernández-Nava, José, Pascual-Barrera, Alina Eugenia, Zaldívar-Jiménez, Arturo, Pérez-Ceballos, Rosela</t>
  </si>
  <si>
    <t>Isla del Carmen</t>
  </si>
  <si>
    <t>Mexico</t>
  </si>
  <si>
    <t>VALORACIÓN ECONÓMICA DE LOS SERVICIOS ECOSISTÉMICOS DE CUATRO SISTEMAS FORESTALES PERIURBANOS A TRAVÉS DE I-TREE ECO</t>
  </si>
  <si>
    <t>González-Hernández, Liborio, Romo-Lozano, José Luis, Cristóbal-Acevedo, David, Martínez Damian, Miguel Ángel, Mohedano Caballero, Leopoldo</t>
  </si>
  <si>
    <t>Texcoco de Mora</t>
  </si>
  <si>
    <t>Dry-winter Subtropical Highland (Cwb)</t>
  </si>
  <si>
    <t>Tropical &amp; Subtropical Coniferous Forests</t>
  </si>
  <si>
    <t>diameter at breast height; tree height; Crown diameter (m); Clean trunk height (m); Live crown height (m)</t>
  </si>
  <si>
    <t>ASSESSING ECOSYSTEM LEVEL CARBON LOSS AND MITIGATING CAPACITY OF RUBBER (HEVEA BRASILIENSIS) PLANTATIONS IN HILLY REGIONS IN INDIA</t>
  </si>
  <si>
    <t>Ambily K.K.; Ulaganathan A.</t>
  </si>
  <si>
    <t>Kottayam</t>
  </si>
  <si>
    <t>Tropical Monsoon (Am)</t>
  </si>
  <si>
    <t>field sampling</t>
  </si>
  <si>
    <t>destructive biomass estimation</t>
  </si>
  <si>
    <t>ASSESSMENT OF BIODIVERSITY RICHNESS AND CARBON SEQUESTRATION POTENTIAL IN INSTITUTIONAL CAMPUS – A CASE STUDY</t>
  </si>
  <si>
    <t>Shrimathi, P; Chandramathy, I; Rathinam, R S Gnana</t>
  </si>
  <si>
    <t>Madurai</t>
  </si>
  <si>
    <t>Tropical &amp; Subtropical Dry Broadleaf Forests</t>
  </si>
  <si>
    <t>BIOMASS ESTIMATES FROM URBAN GREEN SPACE IN BEKASI CITY USING SENTINEL IMAGERIES</t>
  </si>
  <si>
    <t>Putra, R D; Shidiq, I P A; Rokhmatuloh</t>
  </si>
  <si>
    <t>Bekasi</t>
  </si>
  <si>
    <t>All green areas</t>
  </si>
  <si>
    <t>allometric equation; field sampling; remote sensing (Sentinel-2B satellite imageries and four vegetation index, NDVI, GNDVI, SAVI, and OSAVI)</t>
  </si>
  <si>
    <t>Assessment of above- and below-ground carbon pools in a tropical dry deciduous forest ecosystem of Bhopal, India</t>
  </si>
  <si>
    <t>Subhajit KARMAKAR, Bhabani Sankar PRADHAN, Ankit BHARDWAJ, B. K. PAVAN, Rishabh CHATURVEDI, and Pradeep CHAUDHRY</t>
  </si>
  <si>
    <t>Bhopal</t>
  </si>
  <si>
    <t>diameter at breast height; tree height; volume</t>
  </si>
  <si>
    <t>Assessment of spatio-temporal changes in terrestrial carbon sequestration due to Kochi metro rail project in India</t>
  </si>
  <si>
    <t>Chinchu Ann James, John C.M., Ratish Menon</t>
  </si>
  <si>
    <t>Kochi</t>
  </si>
  <si>
    <t>remote sensing (Normalized Difference Vegetation Index (NDVI) estimated from IRS-P6 LISS IV satellite sensor data)</t>
  </si>
  <si>
    <t>BIOMASS ESTIMATION BY COMBINING FIELD-SAMPLING MEASUREMENT AND VEGETATION INDICES DERIVED FROM SPOT-7 IMAGERY IN URBAN AREA: CASE STUDY IN SOUTH TANGERANG, INDONESIA</t>
  </si>
  <si>
    <t>Pitriya A.; Rokhmatuloh R.; Wibowo A.; Ash-Shidiq I.P.</t>
  </si>
  <si>
    <t xml:space="preserve">Tangerang </t>
  </si>
  <si>
    <t>Dry-summer Tropical Savanna (As)</t>
  </si>
  <si>
    <t>allometric equation; field sampling; remote sensing (SPOT-7 image and NDVI)</t>
  </si>
  <si>
    <t>CARBON FOOTPRINT IN AN EDUCATIONAL INSTITUTION AND COMPENSATION POTENTIAL IN URBAN FORESTS</t>
  </si>
  <si>
    <t>de Almeida Rocha, Thaís; Silva, Lauana Blenda; Alves, Eliana Boaventura Bernardes Moura; Jacovine, Laércio Antônio Gonçalves</t>
  </si>
  <si>
    <t>remote sensing (CBERS 04A satellite, NDVI) The factors used to calculate the carbon removal was 3.48 (adapted from De Melo and Durigan, 2006; Ferez et al., 2015; Villanova et al., 2019) and 1.16 (Rocha et al., 2020), in MgC.ha−1. year−1, for the initial/intermediate and advanced stages, successively.</t>
  </si>
  <si>
    <t>CARBON FOOTPRINT OF BUILT FEATURES AND PLANTING WORKS DURING CONSTRUCTION, MAINTENANCE AND RENEWAL STAGES AT URBAN PARKS IN PETALING JAYA, SELANGOR</t>
  </si>
  <si>
    <t>Jamirsah, Nurzuliza; Said, Ismail; Jaafar, Badrulzaman; Mohd Hassani, Mohd Haniff</t>
  </si>
  <si>
    <t>Petaling Jaya</t>
  </si>
  <si>
    <t>Parks</t>
  </si>
  <si>
    <t>allometric equation; remote sensing (unmanned aerial vehicle (UAV) drone)</t>
  </si>
  <si>
    <t>Turf</t>
  </si>
  <si>
    <t>CARBON SEQUESTRATION ANALYSIS OF THE UNIVERSITY CAMPUSES IN THE BANGKOK METROPOLITAN REGION</t>
  </si>
  <si>
    <t>Anantsuksomsri, Sutee; Positlimpakul, Korrakot; Chatakul, Paron; Janpathompong, Dalin; Chen, Gang; Tontisirin, Nij</t>
  </si>
  <si>
    <t>Bangkok metropolian area</t>
  </si>
  <si>
    <t>Thailand</t>
  </si>
  <si>
    <t>allometric equations; remote sensing (geoinformatics technology, Sentinal-2 satellite data, and aerial drone photo). In this study, BGB was approximately calculated as 0.24 of the AGB since the BMR is in the tropical latitudinal zone (Cairns et al., 1997)</t>
  </si>
  <si>
    <t>CARBON SEQUESTRATION POTENTIAL OF URBAN TREES: A CASE OF KOLAR AREA IN BHOPAL CITY, INDIA</t>
  </si>
  <si>
    <t>Chaurasia, Shreya; Munoth, Navneet</t>
  </si>
  <si>
    <t>allometric equation; field sampling; remote sensing (landsat)</t>
  </si>
  <si>
    <t>CARBON SEQUESTRATION THROUGH URBAN GREEN RESERVE AND OPEN SPACE</t>
  </si>
  <si>
    <t>Misni A.; Jamaluddin S.; Kamaruddin S.M.</t>
  </si>
  <si>
    <t>Subang Jaya</t>
  </si>
  <si>
    <t>CARBON STOCK AND WOODY SPECIES DIVERSITY PATTERNS IN CHURCH FORESTS ALONG CHURCH AGE GRADIENT IN ADDIS ABABA, ETHIOPIA</t>
  </si>
  <si>
    <t>Yilma, Getaw; Derero, Abayneh</t>
  </si>
  <si>
    <t>Addis Ababa</t>
  </si>
  <si>
    <t>Ethiopia</t>
  </si>
  <si>
    <t>Montane Grasslands &amp; Shrublands</t>
  </si>
  <si>
    <t>CARBON STOCK POTENTIAL OF TREES IN SELECTED URBAN UN-CONSERVED FOREST IN ENTOTO MOUNT FOREST, ADDIS ABABA, ETHIOPIA</t>
  </si>
  <si>
    <t>Solomon L.W.; Arunrat N.; Phutthai T.; Wisawapipat W.</t>
  </si>
  <si>
    <t>Carbon Storage and Sequestration Potential of Urban Trees in Cebu City, Philippines</t>
  </si>
  <si>
    <t>Nimfa R. Pansit</t>
  </si>
  <si>
    <t>Cebu</t>
  </si>
  <si>
    <t>Philippines</t>
  </si>
  <si>
    <t>allometric equation; field sampling; root biomass as 0.26 ratio inferred from the AGB.</t>
  </si>
  <si>
    <t>Carbon storage estimation of tropical urban trees by an improved allometric model for aboveground biomass based on terrestrial laser scanning</t>
  </si>
  <si>
    <t>Erik Velasco, Kian Wee Chen</t>
  </si>
  <si>
    <t>Singapore</t>
  </si>
  <si>
    <t>allometric equation; field sampling; remote sensing (LIDAR)</t>
  </si>
  <si>
    <t>37.28032 t</t>
  </si>
  <si>
    <t>CARBON STORAGE IN A PERI-URBAN NEOTROPICAL FOREST: ASSESSING ITS POTENTIAL AND PATTERNS OF CHANGE OVER HALF A CENTURY</t>
  </si>
  <si>
    <t>Benítez, Griselda; Ruelas-Monjardín, Laura C.; Von Thaden, Juan; Acosta-Rosado, Israel; Alvarado-Castillo, Gerardo; Equihua, Miguel</t>
  </si>
  <si>
    <t>Xalapa</t>
  </si>
  <si>
    <t>Oceanic Subtropical Highland (Cfb)</t>
  </si>
  <si>
    <t>CHANGES IN GROSS PRIMARY PRODUCTION (GPP) OVER THE PAST TWO DECADES DUE TO LAND USE CONVERSION IN A TOURISM CITY</t>
  </si>
  <si>
    <t>Nuarsa W.; As-Syakur A.R.; Gunadi I.G.A.; Sukewijaya I.M.</t>
  </si>
  <si>
    <t>Denpasar</t>
  </si>
  <si>
    <t>remote sensing (landsat images and enhanced vegetation index)</t>
  </si>
  <si>
    <t>vegetation cover</t>
  </si>
  <si>
    <t>All urban vegetation</t>
  </si>
  <si>
    <t>Agriculture</t>
  </si>
  <si>
    <t>CHURCH FORESTS DIVERSITY AND BIOMASS CARBON STOCK ALONG URBANIZATION CONTINUUM IN DANGILA DISTRICT, AWI‐ZONE, ETHIOPIA</t>
  </si>
  <si>
    <t>Sewagegn, Geremew Bitew; Abate, Dagm Fikir</t>
  </si>
  <si>
    <t>Dangila</t>
  </si>
  <si>
    <t>Rural</t>
  </si>
  <si>
    <t>COMPREHENSIVE STUDY ON THE AMOUNT OF CO2 ABSORBED BY VEGETATION: A CASE STUDY IN HO CHI MINH CITY, VIETNAM</t>
  </si>
  <si>
    <t>Nguyen, Truong; H, Phan Cao H; N, Hao Nguyen; T, Huyen Duong T; T, Nhat Tran; Bui, Khang Q; T, Van Ho T</t>
  </si>
  <si>
    <t>Ho Chi Minh</t>
  </si>
  <si>
    <t>Vietnam</t>
  </si>
  <si>
    <t>remote sensing (landsat images and NDVI)</t>
  </si>
  <si>
    <t>DOES "GREENING" OF NEOTROPICAL CITIES CONSIDERABLY MITIGATE CARBON DIOXIDE EMISSIONS? THE CASE OF MEDELLIN, COLOMBIA</t>
  </si>
  <si>
    <t>Reynolds C.C.; Escobedo F.J.; Clerici N.; Zea-Camaño J.</t>
  </si>
  <si>
    <t>Medellin</t>
  </si>
  <si>
    <t>Colombia</t>
  </si>
  <si>
    <t>allometric equation; field sampling, i-tree (Results are then adjusted to include below-ground biomass using a root-to-shoot ratio of 0.26 and are converted to CO2 equivalent by multiplying by 3.67)</t>
  </si>
  <si>
    <t>diameter at breast height; tree height; Crown diameter</t>
  </si>
  <si>
    <t>DYNAMICS OF PLANTATION FOREST DEVELOPMENT AND ECOSYSTEM CARBON STORAGE CHANGE IN COASTAL BANGLADESH</t>
  </si>
  <si>
    <t>Hoque, MZ; Cui, SH; Islam, I; Xu, LL; Ding, SP</t>
  </si>
  <si>
    <t>Chandpur</t>
  </si>
  <si>
    <t>Bangladesh</t>
  </si>
  <si>
    <t>remote sensing (Landsat land use/land cover (LULC) and INVEST)</t>
  </si>
  <si>
    <t>ECOLOGICAL BENEFITS OF URBAN FORESTRY: THE CASE OF KERWA FOREST AREA (KFA), BHOPAL, INDIA</t>
  </si>
  <si>
    <t>Dwivedi, Puneet; Rathore, Chinmaya S.; Dubey, Yogesh</t>
  </si>
  <si>
    <t>ECOLOGICAL INSIGHTS ON COMMUNAL FORESTS IN THE TROPICS: THE CASE OF ALAPANG COMMUNAL FOREST OF LA TRINIDAD, BENGUET, PHILIPPINES</t>
  </si>
  <si>
    <t>Pocyoy M.P.; Napaldet J.T.</t>
  </si>
  <si>
    <t>La Trindad</t>
  </si>
  <si>
    <t>allometric equation; field sampling (The belowground biomass was estimated as 20% of the aboveground biomass (Santantonio et al., 1997; Ravindranath and Ostwald, 2008))</t>
  </si>
  <si>
    <t>diameter at breast height</t>
  </si>
  <si>
    <t>ECOLOGICAL SERVICES OF URBAN VEGETATION IN SARGUJA (CHHATTISGARH), INDIA</t>
  </si>
  <si>
    <t>Khan, Nahid; Jhariya, Manoj Kumar</t>
  </si>
  <si>
    <t>Ambikapur</t>
  </si>
  <si>
    <t>ECOSYSTEM SERVICES ASSESSMENT OF THE URBAN FORESTS OF ADDIS ABABA, ETHIOPIA</t>
  </si>
  <si>
    <t>EFFECT OF LAND USE CHANGE ON CARBON STOCKS IN AN AGRICULTURAL REGION OF SOUTHERN BENIN</t>
  </si>
  <si>
    <t>Houssoukpèvi I.A.; le Maire G.; Aholoukpè H.N.S.; Fassinou D.J.M.; Amadji G.L.; Chapuis-Lardy L.; Chevallier T.</t>
  </si>
  <si>
    <t>Allada (Allada, Zè, and Toffo)</t>
  </si>
  <si>
    <t>Benin</t>
  </si>
  <si>
    <t>remote sensing (LANDSAT images and INVEST)</t>
  </si>
  <si>
    <t>ESTIMATING ABOVEGROUND BIOMASS AND CARBON STOCKS IN PERIURBAN ANDEAN SECONDARY FORESTS USING VERY HIGH RESOLUTION IMAGERY</t>
  </si>
  <si>
    <t>Clerici N.; Rubiano K.; Abd-Elrahman A.; Hoestettler J.M.P.; Escobedo F.J.</t>
  </si>
  <si>
    <t>Bogotá</t>
  </si>
  <si>
    <t>Warm-summer Mediterranean (Csb)</t>
  </si>
  <si>
    <t>ESTIMATING CARBON STOCKS AND SEQUESTRATION WITH THEIR VALUATION UNDER A CHANGING LAND USE SCENARIO: A MULTI-TEMPORAL RESEARCH IN ABHA CITY, SAUDI ARABIA</t>
  </si>
  <si>
    <t>Mallick, Javed; Almesfer, Mohammed K.; Alsubih, Majed; Ahmed, Mohd; Kahla, Nabil Ben</t>
  </si>
  <si>
    <t>Abha</t>
  </si>
  <si>
    <t>Saudi Arabia</t>
  </si>
  <si>
    <t>Deserts &amp; Xeric Shrublands</t>
  </si>
  <si>
    <t>remote sensing (Normalized Difference Vegetation Index (NDVI) from Landsat satellite imagery)</t>
  </si>
  <si>
    <t>EXPLORING TEMPORAL DYNAMICS OF URBAN ECOSYSTEM SERVICES IN LATIN AMERICA: THE CASE OF BOGOTA (COLOMBIA) AND SANTIAGO (CHILE)</t>
  </si>
  <si>
    <t>Dobbs, C; Hernández-Moreno, A; Reyes-Paecke, S; Miranda, MD</t>
  </si>
  <si>
    <t>EXPLORING THE IMPACTS OF URBAN EXPANSION ON GREEN SPACES AVAILABILITY AND DELIVERY OF ECOSYSTEM SERVICES IN THE ACCRA METROPOLIS</t>
  </si>
  <si>
    <t>Puplampu, Dzifa Adimle; Boafo, Yaw Agyeman</t>
  </si>
  <si>
    <t>Accra</t>
  </si>
  <si>
    <t>Ghana</t>
  </si>
  <si>
    <t>Hot Semiarid (BSh)</t>
  </si>
  <si>
    <t>remote sensing (Landsat land use/land cover (LULC) and  i-Tree Canopy)</t>
  </si>
  <si>
    <t>FOREST CONVERSION AND PROVISION OF ECOSYSTEM SERVICES IN THE BRAZILIAN ATLANTIC FOREST</t>
  </si>
  <si>
    <t>Ditt E.H.; Mourato S.; Ghazoul J.; Knight J.</t>
  </si>
  <si>
    <t>Nazaré Paulista</t>
  </si>
  <si>
    <t>HERBACEOUS DYNAMICS AND CO2 MITIGATION IN AN URBAN SETUP—A CASE STUDY FROM CHHATTISGARH, INDIA</t>
  </si>
  <si>
    <t>Khan, Nahid; Jhariya, Manoj Kumar; Yadav, Dhiraj Kumar; Banerjee, Arnab</t>
  </si>
  <si>
    <t>Herbaceous</t>
  </si>
  <si>
    <t>HIGHER DIVERSITY, DENSER STANDS AND GREATER BIOMASS IN PERI-URBAN FORESTS THAN IN ADJACENT AGROFORESTRY SYSTEMS IN WESTERN BURKINA FASO: IMPLICATIONS FOR URBAN SUSTAINABILITY</t>
  </si>
  <si>
    <t>Balima, Larba Hubert; Zerbo, Issouf; Bayen, Philippe; Kiemtoré, Henry; Ganamé, Moussa; Cissé, Mohamed; Thiombiano, Adjima</t>
  </si>
  <si>
    <t>Bobo Dioulasso</t>
  </si>
  <si>
    <t>Burkina Faso</t>
  </si>
  <si>
    <t>IDENTIFICATION OF THE VARIATION OF CARBON CAPTURE BY FOREST EXPLOITATION IN THE MEGA WORK OF THE THIRD RAIL IN THE CITY OF BUCARAMANGA; [IDENTIFICACIÓN DE LA VARIACIÓN DE CAPTURA DE CARBONO POR EL APROVECHAMIENTO FORESTAL EN LA MEGA OBRA EL TERCER CARRIL EN LA CIUDAD DE BUCARAMANGA]</t>
  </si>
  <si>
    <t>Amaya Corredor C.A.; Hernandez Contreras C.; Zambrano C.J.; Quintero O.G.Q.; Pinzón S.A.L.</t>
  </si>
  <si>
    <t>Bucaramanga and Floridablanca</t>
  </si>
  <si>
    <t>inventory data</t>
  </si>
  <si>
    <t>LAND USE CHANGE, CARBON STOCKS AND TREE SPECIES DIVERSITY IN GREEN SPACES OF A SECONDARY CITY IN MYANMAR, PYIN OO LWIN</t>
  </si>
  <si>
    <t>Helen; Jarzebski, Marcin Pawel; Gasparatos, Alexandros</t>
  </si>
  <si>
    <t>Pyin Oo Lwin</t>
  </si>
  <si>
    <t>Myanmar</t>
  </si>
  <si>
    <t>MODELING URBAN DYNAMICS AND CARBON SEQUESTRATION IN ADDIS ABABA, ETHIOPIA, USING SATELLITE IMAGES</t>
  </si>
  <si>
    <t>Abdo, Ziyad Ahmad; Satyaprakash</t>
  </si>
  <si>
    <t>allometric equations; remote sensing (INVEST)</t>
  </si>
  <si>
    <t>MULTI-SENSOR SATELLITE DATA FOR CARBON STORAGE MAPPING OF GREEN SPACE IN A FAST GROWING DEVELOPMENT CORRIDOR IN MALAYSIA</t>
  </si>
  <si>
    <t>Kanniah K.D.</t>
  </si>
  <si>
    <t>Johor Bahru</t>
  </si>
  <si>
    <t>allometric equation; field sampling; remote sensing (Satellite imagery (RapidEye and ALOS PALSAR))</t>
  </si>
  <si>
    <t>OPTIMIZATION FOR CARBON FOOTPRINT IN AN INSTITUTIONAL CAMPUS</t>
  </si>
  <si>
    <t>Baste, Prajakta; Thakare, Ar. Hemant</t>
  </si>
  <si>
    <t>Nasik</t>
  </si>
  <si>
    <t>OXYGEN PRODUCTION AND CARBON CAPTURING CAPACITY OF VARIOUS TREE SPECIES IN COIMBATORE CITY, INDIA</t>
  </si>
  <si>
    <t>Gowtham, S.; Prasanthrajan, M.; Maheswari, M.; Sritharan, N.; Rajkishore, S. K.; Keerthana, S.</t>
  </si>
  <si>
    <t>Coimbatore</t>
  </si>
  <si>
    <t>allometric equation; field sampling (BGB = AGB x 0.26)</t>
  </si>
  <si>
    <t>129.00611 t</t>
  </si>
  <si>
    <t>33.54165 t</t>
  </si>
  <si>
    <t>PATTERNS OF LAND-USE CHANGE AND CURRENT VEGETATION STATUS IN PERI-URBAN FOREST RESERVES: THE CASE OF THE BAROMBI MBO FOREST RESERVE, CAMEROON</t>
  </si>
  <si>
    <t>Fonge, Beatrice Ambo; Tabot, Pascal Tabi; Bakia, Mor-Achankap; Awah, Che Clovis</t>
  </si>
  <si>
    <t>Kumba</t>
  </si>
  <si>
    <t>Cameroon</t>
  </si>
  <si>
    <t>RECENT CARBON STORAGE AND BURIAL EXCEED HISTORIC RATES IN THE SAN JUAN BAY ESTUARY PERI-URBAN MANGROVE FORESTS (PUERTO RICO, UNITED STATES)</t>
  </si>
  <si>
    <t>Wigand, Cathleen; Eagle, Meagan; Branoff, Benjamin L.; Balogh, Stephen; Miller, Kenneth M.; Martin, Rose M.; Hanson, Alana; Oczkowski, Autumn J.; Huertas, Evelyn; Loffredo, Joseph; Watson, Elizabeth B.</t>
  </si>
  <si>
    <t>San Juan</t>
  </si>
  <si>
    <t>Puerto Rico</t>
  </si>
  <si>
    <t>REMOTE SENSING ASSESSMENT OF CARBON STORAGE BY URBAN FOREST</t>
  </si>
  <si>
    <t>Kanniah, K D; Muhamad, N; Kang, C S</t>
  </si>
  <si>
    <t>allometric equation; field sampling; remote sensing (specifically, Normalized Difference Vegetation Index - NDVI derived from a WorldView-2 satellite image)</t>
  </si>
  <si>
    <t>SCENARIO-BASED MODELLING OF CARBON STORAGE AND SEQUESTRATION USING INVEST MODEL IN KOLKATA, INDIA, AND ITS ENVIRONS</t>
  </si>
  <si>
    <t>Dey, Swarnava; Niyogi, Jayita Guha; Das, Debashish</t>
  </si>
  <si>
    <t>Kolkata</t>
  </si>
  <si>
    <t>remote sensing (using the InVEST and LULC)</t>
  </si>
  <si>
    <t>SPECIES COMPOSITION AND CARBON ACCOUNTING FOR LANDSCAPE TREES IN URBAN PARKS OF DONGGUAN, CHINA</t>
  </si>
  <si>
    <t>Zhou, Yong Wen; Li, Pei Yuan; Shen, De Cai; Mo, Luo Jian; Liu, Song Song; Zhang, Lu</t>
  </si>
  <si>
    <t>Dongguan</t>
  </si>
  <si>
    <t>China</t>
  </si>
  <si>
    <t>STRUCTURE, DIVERSITY, AND CARBON STOCKS OF THE TREE COMMUNITY OF KUMASI, GHANA</t>
  </si>
  <si>
    <t>Nero, Bertrand Festus; Callo-Concha, Daniel; Denich, Manfred</t>
  </si>
  <si>
    <t>Kumasi</t>
  </si>
  <si>
    <t>SPECIES RICHNESS AND ECOSYSTEM SERVICES OF TREE ASSEMBLAGES ALONG AN URBANISATION GRADIENT IN A TROPICAL MEGA-CITY: CONSEQUENCES FOR URBAN DESIGN</t>
  </si>
  <si>
    <t>Thaweepworadej, Phakhawat; Evans, Karl L.</t>
  </si>
  <si>
    <t>Bangkok</t>
  </si>
  <si>
    <t>STUDY ON THE POTENTIAL OF HISTORICAL MAHOGANY TREES IN IMPROVING URBAN AIR QUALITY</t>
  </si>
  <si>
    <t>Nuzir, Fritz Akhmad; Kurniawan, Andrew; Chandra, Sonia Dwi; Munawaroh, Ai Siti</t>
  </si>
  <si>
    <t>Metro</t>
  </si>
  <si>
    <t>34.02 t</t>
  </si>
  <si>
    <t>THE CLASSIFIED PERI-URBAN FOREST OF KUA FROM BURKINA FASO MUST NOT BE DECLASSIFIED FOR ECOLOGICAL REASONS</t>
  </si>
  <si>
    <t>Balima, Larba Hubert; Kiemtoré, Henry; Bayen, Philippe; Zerbo, Issouf; Ganamé, Moussa; Cissé, Mohamed; Thiombiano, Adjima</t>
  </si>
  <si>
    <t>THE ROLE OF MONITORING CARBON STORAGE AND SEQUESTRATION IN ADVANCING THE VISION OF FOREST CITY: LESSON LEARNED FROM URBAN FOREST ASSESSMENT IN BANDUNG, WEST JAVA</t>
  </si>
  <si>
    <t>Akbar, Indria Zhafirah; Afrianti, Chairunnisa; Kaswanto, Regan; Wiyoga, Harityas; Mosyaftiani, Amarizni</t>
  </si>
  <si>
    <t>The role of vegetation in the CO2 flux from a tropical urban neighbourhood</t>
  </si>
  <si>
    <t>E. Velasco, M. Roth, S. H. Tan, M. Quak, S. D. A. Nabarro, and L. Norford</t>
  </si>
  <si>
    <t>TOWARDS SUSTAINABLE URBAN PLANNING FOR PUYO (ECUADOR): AMAZON FOREST LANDSCAPE AS POTENTIAL GREEN INFRASTRUCTURE</t>
  </si>
  <si>
    <t>Huera-Lucero T.; Salas-Ruiz A.; Changoluisa D.; Bravo-Medina C.</t>
  </si>
  <si>
    <t>Puyo</t>
  </si>
  <si>
    <t>Ecuador</t>
  </si>
  <si>
    <t>diameter at breast height; commercial heights; wood density</t>
  </si>
  <si>
    <t>Tree species suitable for roadside afforestation and carbon sequestration in Bilaspur, India</t>
  </si>
  <si>
    <t>Anil Ragula &amp; Krishna K. Chandra</t>
  </si>
  <si>
    <t>Bilaspur</t>
  </si>
  <si>
    <t>UNVEILING TREE DIVERSITY AND CARBON DENSITY OF HOMEGARDEN IN THE THODUPUZHA URBAN REGION OF KERALA, INDIA: A CONTRIBUTION TOWARDS URBAN SUSTAINABILITY</t>
  </si>
  <si>
    <t>Padmakumar, Babu; Sreekanth, N. P.; Shanthiprabha, V.; Paul, Joby; Sreedharan, K.; Augustine, Toms; Jayasooryan, K. K.; Rameshan, M.; Arunbabu, V.; Mohan, Mahesh; Sylas, V. P.; Ramasamy, E. V.; Thomas, A. P.</t>
  </si>
  <si>
    <t>Idukki</t>
  </si>
  <si>
    <t>URBAN ECOSYSTEMS AND ECOSYSTEM SERVICES IN MEGACITY DHAKA: MAPPING AND INVENTORY ANALYSIS</t>
  </si>
  <si>
    <t>Zinia, Naeema Jihan; McShane, Paul</t>
  </si>
  <si>
    <t>Dhaka</t>
  </si>
  <si>
    <t>URBAN EXPANSION AND FORESTRY IN CO2 SEQUESTRATION</t>
  </si>
  <si>
    <t>Julio B.-P.; Abner C.L.; Lisseth F.-G.</t>
  </si>
  <si>
    <t>Lima</t>
  </si>
  <si>
    <t>Peru</t>
  </si>
  <si>
    <t>Hot Arid Desert (Bwh)</t>
  </si>
  <si>
    <t>Urban green spaces enhance climate change mitigation in cities of the Global South: The case of Kumasi, Ghana</t>
  </si>
  <si>
    <t xml:space="preserve">Bertrand F. Nero, Daniel Callo-Concha, Alexander Anning, Manfred Denich </t>
  </si>
  <si>
    <t>allometric equation; field sampling; destructive sampling</t>
  </si>
  <si>
    <t>VEGETATION STRUCTURE, SPECIES COMPOSITION, AND CARBON SINK POTENTIAL OF URBAN GREEN SPACES IN NAGPUR CITY, INDIA</t>
  </si>
  <si>
    <t>Lahoti, Shruti; Lahoti, Ashish; Joshi, Rajendra Kumar; Saito, Osamu</t>
  </si>
  <si>
    <t>Nagpur</t>
  </si>
  <si>
    <t>Dynamics change of the above carbon stocks in Bogor Agricultural University, Darmaga campus</t>
  </si>
  <si>
    <t>Lyan Lavista, Lilik Budi Prasetyo, Rachmad Hermawan</t>
  </si>
  <si>
    <t>Bogor</t>
  </si>
  <si>
    <t>allometric equation; field sampling; remote sensig (Normalized Difference Vegetation Index (NDVI))</t>
  </si>
  <si>
    <t>diameter at breast height; tree height; tree peripheral (circumference)</t>
  </si>
  <si>
    <t>CARBON STOCK ASSESSMENT OF MANGROVE FORESTS ALONG MACAJALAR BAY, MISAMIS ORIENTAL, PHILIPPINES</t>
  </si>
  <si>
    <t>Lomoljo-Bantayan N.A.; Tatil W.T.; Dagoc F.L.S.; Tampus A.D.; Amparado R.J.F.</t>
  </si>
  <si>
    <t>Laguindingan</t>
  </si>
  <si>
    <t>Alubijid</t>
  </si>
  <si>
    <t>El Salvador City</t>
  </si>
  <si>
    <t>Tree species diversity, volume yield, biomass and carbon sequestration in urban forests in two Nigerian cities</t>
  </si>
  <si>
    <t>Agbelade, A.D., Onyekwelu, J.C</t>
  </si>
  <si>
    <t>Port Harcourt</t>
  </si>
  <si>
    <t>diameters over bark at the base and middle of the tree; commercial heights; tree height</t>
  </si>
  <si>
    <t>Ilorin</t>
  </si>
  <si>
    <t>WEST AFRICAN SAHELIAN CITIES AS SOURCE OF CARBON STOCKS: EVIDENCE FROM NIGER</t>
  </si>
  <si>
    <t>Moussa, Soulé; Kyereh, Boateng; Tougiani, Abasse; Kuyah, Shem; Saadou, Mahamane</t>
  </si>
  <si>
    <t>Niamey</t>
  </si>
  <si>
    <t>Niger</t>
  </si>
  <si>
    <t>Maradi</t>
  </si>
  <si>
    <t>WITH GREAT ECOSYSTEM SERVICES COMES GREAT RESPONSIBILITY: BENEFITS PROVIDED BY URBAN VEGETATION IN BRAZILIAN CITIES</t>
  </si>
  <si>
    <t>Candido, Helder Marcos Nunes; Endreny, Theodore A.; Carvalho, Fabrício Alvim</t>
  </si>
  <si>
    <t>Aracaju</t>
  </si>
  <si>
    <t>remote sensing (i-Tree Canopy v.7.1)</t>
  </si>
  <si>
    <t>Belo Horizonte</t>
  </si>
  <si>
    <t>Camaçari</t>
  </si>
  <si>
    <t>Campos dos Goytacazes</t>
  </si>
  <si>
    <t>Duque de Caxias</t>
  </si>
  <si>
    <t>Feira de Santana</t>
  </si>
  <si>
    <t>Ilhéus</t>
  </si>
  <si>
    <t>Jaboatão dos Guararapes</t>
  </si>
  <si>
    <t>Leme</t>
  </si>
  <si>
    <t>Macaé</t>
  </si>
  <si>
    <t>Maceió</t>
  </si>
  <si>
    <t>Recife</t>
  </si>
  <si>
    <t>São Gonçalo</t>
  </si>
  <si>
    <t>Serra</t>
  </si>
  <si>
    <t>Simões Filho</t>
  </si>
  <si>
    <t>COASTAL ECOSYSTEM SERVICES IN URBANIZING DELTAS: SPATIAL HETEROGENEITY, INTERACTIONS AND DRIVING MECHANISM FOR CHINA’S GREATER BAY AREA</t>
  </si>
  <si>
    <t>Wang, Zhenyu; Liang, Can; Song, Xinyue; Yang, Chen; Xie, Miaomiao</t>
  </si>
  <si>
    <t>Guangdong Province</t>
  </si>
  <si>
    <t>literature</t>
  </si>
  <si>
    <t>ASSESSING THE STATUS OF ECOSYSTEM REGULATING SERVICES IN THE URBANISING RAINFOREST AND GUINEA SAVANNA ECOLOGICAL REGIONS OF NIGERIA USING INVEST MODELS</t>
  </si>
  <si>
    <t>Obateru, Rotimi Oluseyi; Okhimamhe, Appollonia Aimiosino; Fashae, Olutoyin Adeola; Olusola, Adeyemi Oludapo; Dragovich, Deirdre; Conrad, Christopher</t>
  </si>
  <si>
    <t>remote sensing, invest, NDVI, allomentric equation</t>
  </si>
  <si>
    <t>Owerri</t>
  </si>
  <si>
    <t>Makurdi</t>
  </si>
  <si>
    <t>Minna</t>
  </si>
  <si>
    <t>CARBON STORAGE AND LAND USE DYNAMICS IN GHANAIAN UNIVERSITY CAMPUSES: A SCENARIO-BASED ASSESSMENT USING THE INVEST MODEL</t>
  </si>
  <si>
    <t>Ocloo D.M.; Mizunoya T.</t>
  </si>
  <si>
    <t>Cape Coast</t>
  </si>
  <si>
    <t>CONTRIBUTION OF TREES TO CARBON STOCKS IN URBAN–RURAL ECOSYSTEMS: TAXONOMIC, PHYLOGENETIC, AND FUNCTIONAL DIVERSITY IN RESPONSE TO BIOCLIMATIC AND GEOGRAPHIC FACTORS</t>
  </si>
  <si>
    <t>Serrano, Martha; Bejarano, Josue; Lozano, Reinaldo; Jiménez, Manuel H.; Felipez, Winder</t>
  </si>
  <si>
    <t>Sucre</t>
  </si>
  <si>
    <t>Bolivia</t>
  </si>
  <si>
    <t>allometric equation and field sampling</t>
  </si>
  <si>
    <t>IMPACT OF SOIL SALINITY ON STRUCTURAL ATTRIBUTES AND ABOVE GROUND BIOMASS CARBON IN A MANGROVE COMMUNITY OF A COLOMBIAN CARIBBEAN COAST</t>
  </si>
  <si>
    <t>Rodríguez-Reales R.; Gómez J.P.; Bohórquez-Herrera J.; Martínez-Habibe M.C.</t>
  </si>
  <si>
    <t>Barranquilla</t>
  </si>
  <si>
    <t>LOSING THE CARBON GAME? CHANGING FACE OF A TROPICAL SMART METRO CITY AND ITS REPERCUSSIONS ON CARBON SEQUESTRATION, HEAT AND FLOOD MITIGATION CAPACITY</t>
  </si>
  <si>
    <t>Chalke P.; Koparde P.</t>
  </si>
  <si>
    <t>Pune</t>
  </si>
  <si>
    <t>QUANTIFYING URBAN SPRAWL AND ITS IMPACT ON CARBON SEQUESTRATION FOR PROMOTING REGULATED URBANIZATION AND A HEALTHY ENVIRONMENT IN CITIES</t>
  </si>
  <si>
    <t>Ketema H.; Wei W.; Chalo T.; Demise D.; Banja T.; Legesse A.; Abaynew H.; Kebede G.; Bekele B.</t>
  </si>
  <si>
    <t>Dilla</t>
  </si>
  <si>
    <t>allometric equation and field sampling (2022)</t>
  </si>
  <si>
    <t>Hawassa</t>
  </si>
  <si>
    <t>Shashemene</t>
  </si>
  <si>
    <t>RIPARIAN FLORISTIC DIVERSITY AND CARBON STOCK ASSESSMENT OF AN URBAN LANDSCAPE: THE CASE OF MARJOYA RIVER IN BATANGAS CITY, PHILIPPINES</t>
  </si>
  <si>
    <t>Bullong J.R.T.; Pocyoy M.P.; Kyaw T.Z.; Quimio J.M.U.P.H.; Cando E.N.T.; Napaldet J.T.</t>
  </si>
  <si>
    <t>Batangas City</t>
  </si>
  <si>
    <t>SPATIAL VARIATION OF ANTHROPOGENIC PRESSURES AND THEIR IMPACT ON THE STRUCTURE AND CARBON SEQUESTRATION ABILITY OF RHIZOPHORA RACEMOSA STANDS IN A PERI-URBAN MANGROVE OF CÔTE D’IVOIRE, WEST-AFRICA</t>
  </si>
  <si>
    <t>Kouamé, Yao Anicet Gervais; Dro, Bernadin; Soumahin, Eric Francis; Mabo, Anselme-Cyrille; Carmelle, Yah Laeticia; Tonessia, Dolou Charlotte</t>
  </si>
  <si>
    <t>Port-Bouët</t>
  </si>
  <si>
    <t>Ivory Coast</t>
  </si>
  <si>
    <t>SPATIOTEMPORAL EVOLUTION OF ECOSYSTEM CARBON STORAGE UNDER LAND USE/LAND COVER DYNAMICS IN THE COASTAL REGION OF CENTRAL VIETNAM</t>
  </si>
  <si>
    <t>Ho, VH; Morita, H; Ho, TH; Bachofer, F</t>
  </si>
  <si>
    <t>Danang</t>
  </si>
  <si>
    <t>DIVERSITY, BIOMASS AND CARBON SEQUESTRATION IN URBAN FORESTRY SYSTEMS OF A TROPICAL REGION IN THE NAYA RAIPUR, CHHATTISGARH, INDIA</t>
  </si>
  <si>
    <t>Singh, Ekta; Singh, Lalji; Yadav, Piyusha; Jhariya, Manoj Kumar; Banerjee, Arnab</t>
  </si>
  <si>
    <t>Atal Nagar</t>
  </si>
  <si>
    <t>ECOSYSTEM SERVICES AT PERMATA SENTUL GOLF CLUB IN BOGOR REGENCY</t>
  </si>
  <si>
    <t>Ardhana, Frisma Aulia; Sulistyantara, Bambang; Hermawan, Rachmad</t>
  </si>
  <si>
    <t>Citeureup</t>
  </si>
  <si>
    <t>allometric equation and field sampling, i-tree eco</t>
  </si>
  <si>
    <t>ESTIMATION OF BIOMASS, CARBON STOCKS, O2 PRODUCTION AND ENVIROMENTAL SERVICES VALUE OF CO2 SEQUESTRATION OF MANGROVE FOREST IN KURAU SUB-DISTRICT, TANAH LAUT REGENCY</t>
  </si>
  <si>
    <t>Fithria, Abdi; Ali, Syam’ani D.; Udiansyah, Udiansyah; Ruslan, Muhammad; Rezekiah, Arfa Agustina; Fahmi, Hilman; Diva, Achmad Arya; Wahyudi, Firman Pramudya Rahmat; Akbar, Pani; Shiba, Yasinta Nur</t>
  </si>
  <si>
    <t>Kurau</t>
  </si>
  <si>
    <t>EVALUATING URBAN GREEN SPACES FOR BIODIVERSITY AND CARBON SEQUESTRATION IN RAMA TOWN, TIGRAY, ETHIOPIA</t>
  </si>
  <si>
    <t>Gebru, Tekleweyni; Solomon, Negasi; Siyum, Zenebe Girmay; Gufi, Yirga; Gidey, Tesfay; Newete, Solomon W.; Manaye, Ashenafi; Birhane, Emiru</t>
  </si>
  <si>
    <t>Rama</t>
  </si>
  <si>
    <t>EXPLORING THE ROLE OF URBAN NATURE IN MITIGATING THE CLIMATE FOOTPRINT OF URBANIZATION IN ETHIOPIA</t>
  </si>
  <si>
    <t>Gebreyesus, Tikabo; Borgemeister, Christian; Jáuregui, Cristina Herrero-</t>
  </si>
  <si>
    <t>Urbanization increases gross primary production and biomass of Atlantic forest fragments</t>
  </si>
  <si>
    <t>da Silva, Wanda Karolina; Alves, Marcelo de Carvalho; Zenni, Rafael Dudeque</t>
  </si>
  <si>
    <t>Rio de Janeiro</t>
  </si>
  <si>
    <t>Modis product, remote sensing</t>
  </si>
  <si>
    <t>Saquarema</t>
  </si>
  <si>
    <t>IMPACT OF URBANIZATION ON CARBON EMISSIONS AND ECOLOGICAL QUALITY IN THE SEMARANG METROPOLITAN REGION, INDONESIA</t>
  </si>
  <si>
    <t>Nusa, PD; Buchori, I; Dewa, DD; Putri, SNAK; Pangi, P</t>
  </si>
  <si>
    <t>Semarang</t>
  </si>
  <si>
    <t>Remote sensing, land use classification, literature values</t>
  </si>
  <si>
    <t>MODELING REGULATING ECOSYSTEM SERVICES AND ENVIRONMENTAL IMPACT THROUGH URBAN GREEN SPACE EXPANSION: A CASE STUDY OF MANILA CITY</t>
  </si>
  <si>
    <t>Hintural, Wencelito Palis; Carayugan, Mark Bryan; Park, Byung Bae</t>
  </si>
  <si>
    <t>Manila</t>
  </si>
  <si>
    <t>allometric equation, remote sensing, i-tree canopy, NDVI</t>
  </si>
  <si>
    <t>diameter at breast height (DBH), crown cover, and overall tree condition</t>
  </si>
  <si>
    <t>PRESERVING MATURE TREES FOR CARBON SEQUESTRATION IN RURAL HEALTHCARE FACILITIES: A CASE STUDY OF HOSPITAL GERIK, PERAK</t>
  </si>
  <si>
    <t>Ruwaidah Borhan, Norsyazlin Mohd Rosli, Nur Shaffiqa Muhammad Soffian, Atikah Fukaihah Amir</t>
  </si>
  <si>
    <t>Gerik</t>
  </si>
  <si>
    <t>QUANTIFICAÇÃO DOS SERVIÇOS ECOSSISTÊMICOS PROVIDOS PELA COBERTURA VEGETAL URBANA E PERIURBANA DE JUIZ DE FORA (MINAS GERAIS, BRASIL)</t>
  </si>
  <si>
    <t>Alvim Carvalho, Fabrício; Guedes da Cruz, Júlia; Marcos Nunes Candido, Helder; Castilhos de Freitas, Thales; De Souza Ventura, Marcelly</t>
  </si>
  <si>
    <t>allometric equation, remote sensing, i-tree canopy, NDVI, land use classification</t>
  </si>
  <si>
    <t>WOODY SPECIES COMPOSITION, BIOMASS, AND SPATIAL DIVERSITY PATTERNS IN BANNERGHATTA NATIONAL PARK, KARNATAKA</t>
  </si>
  <si>
    <t>Sharma, Balasubramanya; Poorvashree, P.; Kayet, Narayan; Chakravarthy, A. K.; Chetan, H. C.; Begum, Noorunissa; Saha, Debabrata; Suresh, H. S.</t>
  </si>
  <si>
    <t>Bengaluru</t>
  </si>
  <si>
    <t>UGS</t>
  </si>
  <si>
    <t>Urban_class</t>
  </si>
  <si>
    <t>Carbon_Mg/year/ha</t>
  </si>
  <si>
    <t>Carbon_Mg/year</t>
  </si>
  <si>
    <t>CO2_Mg/year</t>
  </si>
  <si>
    <t>CO2_Mg/year/ha</t>
  </si>
  <si>
    <t>CO2_Mg</t>
  </si>
  <si>
    <t>AGB_Mg/ha</t>
  </si>
  <si>
    <t>BGB_Mg/ha</t>
  </si>
  <si>
    <t>Population</t>
  </si>
  <si>
    <t>Densi_pop</t>
  </si>
  <si>
    <t>Country</t>
  </si>
  <si>
    <t>Pluviosity</t>
  </si>
  <si>
    <t>Temperature</t>
  </si>
  <si>
    <t>Vegetation_type</t>
  </si>
  <si>
    <t>Carbon_Mg/ha</t>
  </si>
  <si>
    <t>Carbon_Mg</t>
  </si>
  <si>
    <t>CO2_Mg/ha</t>
  </si>
  <si>
    <t>Biomass_Mg/ha</t>
  </si>
  <si>
    <t>Biomass_Mg</t>
  </si>
  <si>
    <t>mm</t>
  </si>
  <si>
    <t>°C</t>
  </si>
  <si>
    <t>ha</t>
  </si>
  <si>
    <t>inhabitants</t>
  </si>
  <si>
    <t>ihn/km2</t>
  </si>
  <si>
    <t>Mg/year</t>
  </si>
  <si>
    <t>Mg/year/ha</t>
  </si>
  <si>
    <t>Mg/ha</t>
  </si>
  <si>
    <t>Mg</t>
  </si>
  <si>
    <t>-</t>
  </si>
  <si>
    <t>Unit</t>
  </si>
  <si>
    <t>Description</t>
  </si>
  <si>
    <t>diameter at breast height; tree height; crown width and health; percentage of impervious/shrub under the tree and light exposure</t>
  </si>
  <si>
    <t>diameter at breast height; tree height; crown width and health</t>
  </si>
  <si>
    <t>diameter at breast height; wood density</t>
  </si>
  <si>
    <t>diameter at breast height; tree height; canopy cover</t>
  </si>
  <si>
    <t>diameter at breast height; tree height; tree coordination</t>
  </si>
  <si>
    <t>diameter at breast height; tree height; tree  canopy  health, height  to  base  of  crown  (m),  crown  width  (N/S, E/W),  percent  of  crown  loss, crown  health,  and  percent  of  crown  exposed  to  light</t>
  </si>
  <si>
    <t>diameter at breast height; tree height; crown  width  (N/S, E/W)</t>
  </si>
  <si>
    <t>allometric equation; field sampling; Below ground biomass</t>
  </si>
  <si>
    <t>Variables</t>
  </si>
  <si>
    <r>
      <t xml:space="preserve">* only the variables in </t>
    </r>
    <r>
      <rPr>
        <b/>
        <sz val="11"/>
        <color rgb="FFFF0000"/>
        <rFont val="Calibri"/>
        <family val="2"/>
        <scheme val="minor"/>
      </rPr>
      <t xml:space="preserve">bold </t>
    </r>
    <r>
      <rPr>
        <sz val="11"/>
        <color rgb="FFFF0000"/>
        <rFont val="Calibri"/>
        <family val="2"/>
        <scheme val="minor"/>
      </rPr>
      <t>were used in the analyses</t>
    </r>
  </si>
  <si>
    <t>Article number</t>
  </si>
  <si>
    <t>Article title</t>
  </si>
  <si>
    <t>Article authors' names</t>
  </si>
  <si>
    <t>Language used in the article</t>
  </si>
  <si>
    <t>Article publication date</t>
  </si>
  <si>
    <t>Carbon data collected in the short term (less than one year) or long term (more than one year)</t>
  </si>
  <si>
    <t>Northern and southern hemispheres</t>
  </si>
  <si>
    <t>Decimal coordinates</t>
  </si>
  <si>
    <t>Name of the city studied</t>
  </si>
  <si>
    <t>Total population of the city studied</t>
  </si>
  <si>
    <t>Total population density of the city studied</t>
  </si>
  <si>
    <t>Continent of data collection</t>
  </si>
  <si>
    <t>Country of data collection</t>
  </si>
  <si>
    <t>Köppen-Geiger climate classification of the study location</t>
  </si>
  <si>
    <t>Average annual precipitation of the city studied</t>
  </si>
  <si>
    <t>Average annual temperature of the city studied</t>
  </si>
  <si>
    <t>Biomes of the city studied classified by the World Wildlife Fund (WWF) conservation priority list</t>
  </si>
  <si>
    <t>Types of urban green spaces</t>
  </si>
  <si>
    <t>Urban classes: urban, peri-urban, rural and urban-rural</t>
  </si>
  <si>
    <t>Methods used in the article to estimate carbon data</t>
  </si>
  <si>
    <t>Plant metrics measured in the field or quantified in the article</t>
  </si>
  <si>
    <t>Carbon values ​​per year</t>
  </si>
  <si>
    <t>Carbon sequestration</t>
  </si>
  <si>
    <t>Carbon dioxide values ​​per year and hectare</t>
  </si>
  <si>
    <t>Carbon dioxide values ​​per year</t>
  </si>
  <si>
    <t>Carbon storage</t>
  </si>
  <si>
    <t>Total carbon in vegetation</t>
  </si>
  <si>
    <t>Total carbon dioxide in vegetation</t>
  </si>
  <si>
    <t>Carbon dioxide values ​​per hectare</t>
  </si>
  <si>
    <t>Total plant biomass per hectare</t>
  </si>
  <si>
    <t>Total plant biomass</t>
  </si>
  <si>
    <t>Total area of ​​the studied UGS</t>
  </si>
  <si>
    <t>Line value number</t>
  </si>
  <si>
    <t>Type of vegetation measured for carbon data estimation</t>
  </si>
  <si>
    <t>Carbon data quantified above- or below-ground</t>
  </si>
  <si>
    <t>Above-ground biomass per hectare</t>
  </si>
  <si>
    <t>Below-ground biomass per hectare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</si>
</sst>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2" fillId="0" borderId="0" xfId="0" applyFont="1"/>
    <xf numFmtId="0" fontId="3" fillId="0" borderId="0" xfId="0" applyFont="1"/>
    <xf numFmtId="0" fontId="4" fillId="0" borderId="0" xfId="0" applyFont="1"/>
    <xf numFmtId="0" fontId="4" fillId="0" borderId="0" xfId="0" applyFont="1" applyFill="1"/>
    <xf numFmtId="0" fontId="3" fillId="0" borderId="0" xfId="0" applyFont="1" applyFill="1"/>
    <xf numFmtId="0" fontId="0" fillId="0" borderId="0" xfId="0" applyFill="1"/>
    <xf numFmtId="3" fontId="0" fillId="0" borderId="0" xfId="0" applyNumberFormat="1" applyFill="1"/>
    <xf numFmtId="0" fontId="1" fillId="0" borderId="0" xfId="0" applyFont="1" applyFill="1"/>
    <xf numFmtId="0" fontId="3" fillId="0" borderId="0" xfId="0" applyFont="1" applyFill="1" applyAlignment="1">
      <alignment horizontal="center"/>
    </xf>
    <xf numFmtId="0" fontId="0" fillId="0" borderId="0" xfId="0" applyFill="1" applyAlignment="1">
      <alignment horizontal="center"/>
    </xf>
    <xf numFmtId="0" fontId="0" fillId="0" borderId="0" xfId="0" applyFill="1" applyAlignment="1">
      <alignment horizontal="left"/>
    </xf>
    <xf numFmtId="0" fontId="0" fillId="0" borderId="0" xfId="0" applyFill="1" applyAlignment="1">
      <alignment wrapText="1"/>
    </xf>
    <xf numFmtId="3" fontId="3" fillId="0" borderId="0" xfId="0" applyNumberFormat="1" applyFont="1" applyFill="1"/>
    <xf numFmtId="4" fontId="0" fillId="0" borderId="0" xfId="0" applyNumberFormat="1" applyFill="1"/>
    <xf numFmtId="0" fontId="0"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ciencedirect.com/author/57219425459/erik-velas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E1D1A-97D4-4535-B31D-10D3BB9D6593}">
  <dimension ref="A1:AL161"/>
  <sheetViews>
    <sheetView tabSelected="1" workbookViewId="0">
      <pane ySplit="1" topLeftCell="A2" activePane="bottomLeft" state="frozen"/>
      <selection pane="bottomLeft"/>
    </sheetView>
  </sheetViews>
  <sheetFormatPr defaultRowHeight="15" x14ac:dyDescent="0.25"/>
  <cols>
    <col min="1" max="1" width="9.140625" style="6"/>
    <col min="2" max="2" width="9.140625" style="5"/>
    <col min="3" max="11" width="9.140625" style="6"/>
    <col min="12" max="12" width="10.7109375" style="6" bestFit="1" customWidth="1"/>
    <col min="13" max="15" width="9.140625" style="6"/>
    <col min="16" max="16" width="9" style="6" customWidth="1"/>
    <col min="17" max="19" width="9.140625" style="6"/>
    <col min="20" max="20" width="8.7109375" style="6" customWidth="1"/>
    <col min="21" max="25" width="9.140625" style="6"/>
    <col min="26" max="26" width="9.85546875" style="6" bestFit="1" customWidth="1"/>
    <col min="27" max="27" width="12.42578125" style="6" bestFit="1" customWidth="1"/>
    <col min="28" max="28" width="11.7109375" style="6" bestFit="1" customWidth="1"/>
    <col min="29" max="29" width="12.42578125" style="6" customWidth="1"/>
    <col min="30" max="30" width="10.85546875" style="6" bestFit="1" customWidth="1"/>
    <col min="31" max="31" width="8.85546875" style="6" customWidth="1"/>
    <col min="32" max="32" width="10.85546875" style="6" customWidth="1"/>
    <col min="33" max="34" width="9.140625" style="6"/>
    <col min="35" max="35" width="10.85546875" style="6" bestFit="1" customWidth="1"/>
    <col min="36" max="16384" width="9.140625" style="6"/>
  </cols>
  <sheetData>
    <row r="1" spans="1:38" x14ac:dyDescent="0.25">
      <c r="A1" s="5" t="s">
        <v>0</v>
      </c>
      <c r="B1" s="4" t="s">
        <v>1</v>
      </c>
      <c r="C1" s="4" t="s">
        <v>2</v>
      </c>
      <c r="D1" s="4" t="s">
        <v>3</v>
      </c>
      <c r="E1" s="4" t="s">
        <v>4</v>
      </c>
      <c r="F1" s="4" t="s">
        <v>5</v>
      </c>
      <c r="G1" s="4" t="s">
        <v>6</v>
      </c>
      <c r="H1" s="4" t="s">
        <v>7</v>
      </c>
      <c r="I1" s="4" t="s">
        <v>8</v>
      </c>
      <c r="J1" s="4" t="s">
        <v>9</v>
      </c>
      <c r="K1" s="4" t="s">
        <v>10</v>
      </c>
      <c r="L1" s="4" t="s">
        <v>448</v>
      </c>
      <c r="M1" s="4" t="s">
        <v>449</v>
      </c>
      <c r="N1" s="4" t="s">
        <v>12</v>
      </c>
      <c r="O1" s="4" t="s">
        <v>450</v>
      </c>
      <c r="P1" s="4" t="s">
        <v>13</v>
      </c>
      <c r="Q1" s="4" t="s">
        <v>451</v>
      </c>
      <c r="R1" s="4" t="s">
        <v>452</v>
      </c>
      <c r="S1" s="4" t="s">
        <v>14</v>
      </c>
      <c r="T1" s="4" t="s">
        <v>439</v>
      </c>
      <c r="U1" s="4" t="s">
        <v>440</v>
      </c>
      <c r="V1" s="4" t="s">
        <v>15</v>
      </c>
      <c r="W1" s="4" t="s">
        <v>16</v>
      </c>
      <c r="X1" s="4" t="s">
        <v>453</v>
      </c>
      <c r="Y1" s="4" t="s">
        <v>18</v>
      </c>
      <c r="Z1" s="5" t="s">
        <v>442</v>
      </c>
      <c r="AA1" s="4" t="s">
        <v>441</v>
      </c>
      <c r="AB1" s="5" t="s">
        <v>443</v>
      </c>
      <c r="AC1" s="5" t="s">
        <v>444</v>
      </c>
      <c r="AD1" s="4" t="s">
        <v>454</v>
      </c>
      <c r="AE1" s="5" t="s">
        <v>455</v>
      </c>
      <c r="AF1" s="5" t="s">
        <v>445</v>
      </c>
      <c r="AG1" s="5" t="s">
        <v>456</v>
      </c>
      <c r="AH1" s="5" t="s">
        <v>457</v>
      </c>
      <c r="AI1" s="5" t="s">
        <v>458</v>
      </c>
      <c r="AJ1" s="5" t="s">
        <v>446</v>
      </c>
      <c r="AK1" s="5" t="s">
        <v>447</v>
      </c>
      <c r="AL1" s="4" t="s">
        <v>19</v>
      </c>
    </row>
    <row r="2" spans="1:38" x14ac:dyDescent="0.25">
      <c r="A2" s="6">
        <v>1</v>
      </c>
      <c r="B2" s="5">
        <v>1</v>
      </c>
      <c r="C2" s="6" t="s">
        <v>20</v>
      </c>
      <c r="D2" s="6" t="s">
        <v>21</v>
      </c>
      <c r="E2" s="6" t="s">
        <v>22</v>
      </c>
      <c r="F2" s="6">
        <v>2025</v>
      </c>
      <c r="G2" s="6" t="s">
        <v>23</v>
      </c>
      <c r="H2" s="6" t="s">
        <v>24</v>
      </c>
      <c r="I2" s="6">
        <v>13.01784</v>
      </c>
      <c r="J2" s="6">
        <v>80.268242000000001</v>
      </c>
      <c r="K2" s="6" t="s">
        <v>25</v>
      </c>
      <c r="L2" s="6">
        <v>6672194</v>
      </c>
      <c r="M2" s="7">
        <v>15286</v>
      </c>
      <c r="N2" s="6" t="s">
        <v>26</v>
      </c>
      <c r="O2" s="6" t="s">
        <v>27</v>
      </c>
      <c r="P2" s="6" t="s">
        <v>28</v>
      </c>
      <c r="Q2" s="6">
        <v>1400</v>
      </c>
      <c r="R2" s="6">
        <v>27.9</v>
      </c>
      <c r="S2" s="6" t="s">
        <v>29</v>
      </c>
      <c r="T2" s="6" t="s">
        <v>30</v>
      </c>
      <c r="U2" s="6" t="s">
        <v>31</v>
      </c>
      <c r="V2" s="6" t="s">
        <v>32</v>
      </c>
      <c r="W2" s="6" t="s">
        <v>33</v>
      </c>
      <c r="X2" s="6" t="s">
        <v>34</v>
      </c>
      <c r="Y2" s="6" t="s">
        <v>35</v>
      </c>
      <c r="Z2" s="6">
        <v>325.70999999999998</v>
      </c>
      <c r="AA2" s="6">
        <f>Z2/AL2</f>
        <v>1.4219908920284947</v>
      </c>
      <c r="AB2" s="6">
        <v>1195.42</v>
      </c>
      <c r="AC2" s="6">
        <f>AB2/AL2</f>
        <v>5.2189872959034211</v>
      </c>
      <c r="AD2" s="6">
        <v>99.89</v>
      </c>
      <c r="AE2" s="6">
        <v>2288</v>
      </c>
      <c r="AF2" s="6">
        <v>8397.0499999999993</v>
      </c>
      <c r="AG2" s="6">
        <f>AF2/AL2</f>
        <v>36.660000061121465</v>
      </c>
      <c r="AH2" s="6">
        <v>222.26</v>
      </c>
      <c r="AI2" s="6">
        <f>AH2*AL2</f>
        <v>50909.119745999997</v>
      </c>
      <c r="AJ2" s="6">
        <f>AH2/1.24</f>
        <v>179.24193548387098</v>
      </c>
      <c r="AK2" s="6">
        <f>AJ2*0.24</f>
        <v>43.01806451612903</v>
      </c>
      <c r="AL2" s="6">
        <v>229.0521</v>
      </c>
    </row>
    <row r="3" spans="1:38" x14ac:dyDescent="0.25">
      <c r="A3" s="6">
        <v>2</v>
      </c>
      <c r="B3" s="5">
        <v>2</v>
      </c>
      <c r="C3" s="6" t="s">
        <v>37</v>
      </c>
      <c r="D3" s="6" t="s">
        <v>38</v>
      </c>
      <c r="E3" s="6" t="s">
        <v>22</v>
      </c>
      <c r="F3" s="6">
        <v>2023</v>
      </c>
      <c r="G3" s="6" t="s">
        <v>23</v>
      </c>
      <c r="H3" s="6" t="s">
        <v>39</v>
      </c>
      <c r="I3" s="6">
        <v>-12.816667000000001</v>
      </c>
      <c r="J3" s="6">
        <v>28.2</v>
      </c>
      <c r="K3" s="6" t="s">
        <v>40</v>
      </c>
      <c r="L3" s="6">
        <v>522092</v>
      </c>
      <c r="M3" s="6">
        <v>819.6</v>
      </c>
      <c r="N3" s="6" t="s">
        <v>41</v>
      </c>
      <c r="O3" s="6" t="s">
        <v>42</v>
      </c>
      <c r="P3" s="6" t="s">
        <v>43</v>
      </c>
      <c r="Q3" s="6">
        <v>1226</v>
      </c>
      <c r="R3" s="6">
        <v>22.3</v>
      </c>
      <c r="S3" s="6" t="s">
        <v>44</v>
      </c>
      <c r="T3" s="6" t="s">
        <v>45</v>
      </c>
      <c r="U3" s="6" t="s">
        <v>31</v>
      </c>
      <c r="V3" s="6" t="s">
        <v>32</v>
      </c>
      <c r="W3" s="6" t="s">
        <v>46</v>
      </c>
      <c r="X3" s="6" t="s">
        <v>34</v>
      </c>
      <c r="Y3" s="6" t="s">
        <v>47</v>
      </c>
      <c r="Z3" s="6" t="s">
        <v>36</v>
      </c>
      <c r="AA3" s="6" t="s">
        <v>36</v>
      </c>
      <c r="AB3" s="6" t="s">
        <v>36</v>
      </c>
      <c r="AC3" s="6" t="s">
        <v>36</v>
      </c>
      <c r="AD3" s="5">
        <f>(AJ3+AK3)*0.47</f>
        <v>1.4079699298224746E-2</v>
      </c>
      <c r="AE3" s="5">
        <v>286.39999999999998</v>
      </c>
      <c r="AF3" s="5">
        <v>1211.93</v>
      </c>
      <c r="AG3" s="5">
        <f>AF3/AL3</f>
        <v>5.1114999787008536E-2</v>
      </c>
      <c r="AH3" s="5">
        <f>AJ3+AK3</f>
        <v>2.9956807017499462E-2</v>
      </c>
      <c r="AI3" s="5">
        <f>AH3*AL3</f>
        <v>710.27199999999993</v>
      </c>
      <c r="AJ3" s="5">
        <f>572.8/AL3</f>
        <v>2.4158715336693115E-2</v>
      </c>
      <c r="AK3" s="5">
        <f>AJ3*0.24</f>
        <v>5.7980916808063471E-3</v>
      </c>
      <c r="AL3" s="6">
        <v>23709.87</v>
      </c>
    </row>
    <row r="4" spans="1:38" x14ac:dyDescent="0.25">
      <c r="A4" s="6">
        <v>3</v>
      </c>
      <c r="B4" s="5">
        <v>3</v>
      </c>
      <c r="C4" s="6" t="s">
        <v>48</v>
      </c>
      <c r="D4" s="6" t="s">
        <v>49</v>
      </c>
      <c r="E4" s="6" t="s">
        <v>22</v>
      </c>
      <c r="F4" s="6">
        <v>2022</v>
      </c>
      <c r="G4" s="6" t="s">
        <v>50</v>
      </c>
      <c r="H4" s="6" t="s">
        <v>24</v>
      </c>
      <c r="I4" s="6">
        <v>4.6785030000000001</v>
      </c>
      <c r="J4" s="6">
        <v>101.07940000000001</v>
      </c>
      <c r="K4" s="6" t="s">
        <v>51</v>
      </c>
      <c r="L4" s="7">
        <v>35577</v>
      </c>
      <c r="M4" s="7">
        <v>1986</v>
      </c>
      <c r="N4" s="6" t="s">
        <v>26</v>
      </c>
      <c r="O4" s="6" t="s">
        <v>52</v>
      </c>
      <c r="P4" s="6" t="s">
        <v>53</v>
      </c>
      <c r="Q4" s="6">
        <v>2298</v>
      </c>
      <c r="R4" s="6">
        <v>25.8</v>
      </c>
      <c r="S4" s="6" t="s">
        <v>54</v>
      </c>
      <c r="T4" s="5" t="s">
        <v>55</v>
      </c>
      <c r="U4" s="6" t="s">
        <v>56</v>
      </c>
      <c r="V4" s="6" t="s">
        <v>57</v>
      </c>
      <c r="W4" s="6" t="s">
        <v>58</v>
      </c>
      <c r="X4" s="6" t="s">
        <v>34</v>
      </c>
      <c r="Y4" s="6" t="s">
        <v>47</v>
      </c>
      <c r="Z4" s="6" t="s">
        <v>36</v>
      </c>
      <c r="AA4" s="6">
        <f xml:space="preserve"> ((860.027/20.26) -  (48.953/52.951))/20</f>
        <v>2.0762505092109316</v>
      </c>
      <c r="AB4" s="6" t="s">
        <v>36</v>
      </c>
      <c r="AC4" s="6" t="s">
        <v>36</v>
      </c>
      <c r="AD4" s="6">
        <f>AE4/AL4</f>
        <v>15.056274620843656</v>
      </c>
      <c r="AE4" s="6">
        <f xml:space="preserve"> ((1995*48.953)+(2005*662.568)+(2015*860.027))/(1995+2005+2015)</f>
        <v>525.19775228595176</v>
      </c>
      <c r="AF4" s="6">
        <f>AE4*3.67</f>
        <v>1927.4757508894429</v>
      </c>
      <c r="AG4" s="6">
        <f>AD4*3.67</f>
        <v>55.256527858496213</v>
      </c>
      <c r="AH4" s="5">
        <f t="shared" ref="AH4" si="0">AJ4+AK4</f>
        <v>37.339584876621622</v>
      </c>
      <c r="AI4" s="5">
        <f>AH4*AL4</f>
        <v>1302.4912564588531</v>
      </c>
      <c r="AJ4" s="6">
        <f>(((1995*97.906)+(2005*1325.136)+(2015*1720.056))/(1995+2005+2015))/AL4</f>
        <v>30.112568448888403</v>
      </c>
      <c r="AK4" s="5">
        <f t="shared" ref="AK4:AK5" si="1">AJ4*0.24</f>
        <v>7.2270164277332167</v>
      </c>
      <c r="AL4" s="6">
        <f>((1995*52.951)+(2005*31.599)+(2015*20.26))/(1995+2005+2015)</f>
        <v>34.882317539484617</v>
      </c>
    </row>
    <row r="5" spans="1:38" x14ac:dyDescent="0.25">
      <c r="A5" s="6">
        <v>4</v>
      </c>
      <c r="B5" s="5">
        <v>3</v>
      </c>
      <c r="C5" s="6" t="s">
        <v>48</v>
      </c>
      <c r="D5" s="6" t="s">
        <v>49</v>
      </c>
      <c r="E5" s="6" t="s">
        <v>22</v>
      </c>
      <c r="F5" s="6">
        <v>2022</v>
      </c>
      <c r="G5" s="6" t="s">
        <v>50</v>
      </c>
      <c r="H5" s="6" t="s">
        <v>24</v>
      </c>
      <c r="I5" s="6">
        <v>4.6785030000000001</v>
      </c>
      <c r="J5" s="6">
        <v>101.07940000000001</v>
      </c>
      <c r="K5" s="6" t="s">
        <v>51</v>
      </c>
      <c r="L5" s="7">
        <v>35577</v>
      </c>
      <c r="M5" s="7">
        <v>1986</v>
      </c>
      <c r="N5" s="6" t="s">
        <v>26</v>
      </c>
      <c r="O5" s="6" t="s">
        <v>52</v>
      </c>
      <c r="P5" s="6" t="s">
        <v>53</v>
      </c>
      <c r="Q5" s="6">
        <v>2298</v>
      </c>
      <c r="R5" s="6">
        <v>25.8</v>
      </c>
      <c r="S5" s="6" t="s">
        <v>54</v>
      </c>
      <c r="T5" s="5" t="s">
        <v>55</v>
      </c>
      <c r="U5" s="6" t="s">
        <v>56</v>
      </c>
      <c r="V5" s="6" t="s">
        <v>57</v>
      </c>
      <c r="W5" s="6" t="s">
        <v>58</v>
      </c>
      <c r="X5" s="6" t="s">
        <v>34</v>
      </c>
      <c r="Y5" s="6" t="s">
        <v>47</v>
      </c>
      <c r="Z5" s="6" t="s">
        <v>36</v>
      </c>
      <c r="AA5" s="6">
        <f>((11868.363/374.48) - (20532.462/341.789))/20</f>
        <v>-1.4190292989126738</v>
      </c>
      <c r="AB5" s="6" t="s">
        <v>36</v>
      </c>
      <c r="AC5" s="6" t="s">
        <v>36</v>
      </c>
      <c r="AD5" s="6">
        <f>AE5/AL5</f>
        <v>47.266097148241791</v>
      </c>
      <c r="AE5" s="6">
        <f>((1995*20532.462)+(2005*18669.592)+(2015*11868.363))/(1995+2005+2015)</f>
        <v>17009.068178719866</v>
      </c>
      <c r="AF5" s="6">
        <f>AE5*3.67</f>
        <v>62423.280215901912</v>
      </c>
      <c r="AG5" s="6">
        <f>AD5*3.67</f>
        <v>173.46657653404736</v>
      </c>
      <c r="AH5" s="5">
        <f>AJ5+AK5</f>
        <v>116.96722729613678</v>
      </c>
      <c r="AI5" s="5">
        <f>AH5*AL5</f>
        <v>42091.555338620121</v>
      </c>
      <c r="AJ5" s="6">
        <f>(((1995*41064.923)+(2005*37119.184)+(2015*23736.726))/(1995+2005+2015))/AL5</f>
        <v>94.328409109787728</v>
      </c>
      <c r="AK5" s="5">
        <f t="shared" si="1"/>
        <v>22.638818186349052</v>
      </c>
      <c r="AL5" s="6">
        <f>((1995*341.789)+(2005*363.141)+(2015*374.48))/(1995+2005+2015)</f>
        <v>359.85768246051538</v>
      </c>
    </row>
    <row r="6" spans="1:38" x14ac:dyDescent="0.25">
      <c r="A6" s="6">
        <v>5</v>
      </c>
      <c r="B6" s="5">
        <v>4</v>
      </c>
      <c r="C6" s="6" t="s">
        <v>59</v>
      </c>
      <c r="D6" s="6" t="s">
        <v>60</v>
      </c>
      <c r="E6" s="6" t="s">
        <v>22</v>
      </c>
      <c r="F6" s="6">
        <v>2016</v>
      </c>
      <c r="G6" s="6" t="s">
        <v>23</v>
      </c>
      <c r="H6" s="6" t="s">
        <v>24</v>
      </c>
      <c r="I6" s="6">
        <v>7.25</v>
      </c>
      <c r="J6" s="6">
        <v>5.1950000000000003</v>
      </c>
      <c r="K6" s="6" t="s">
        <v>61</v>
      </c>
      <c r="L6" s="6">
        <v>500000</v>
      </c>
      <c r="M6" s="6">
        <v>489</v>
      </c>
      <c r="N6" s="6" t="s">
        <v>41</v>
      </c>
      <c r="O6" s="6" t="s">
        <v>62</v>
      </c>
      <c r="P6" s="6" t="s">
        <v>28</v>
      </c>
      <c r="Q6" s="6">
        <v>1711</v>
      </c>
      <c r="R6" s="6">
        <v>25.1</v>
      </c>
      <c r="S6" s="6" t="s">
        <v>54</v>
      </c>
      <c r="T6" s="6" t="s">
        <v>45</v>
      </c>
      <c r="U6" s="6" t="s">
        <v>31</v>
      </c>
      <c r="V6" s="6" t="s">
        <v>32</v>
      </c>
      <c r="W6" s="6" t="s">
        <v>33</v>
      </c>
      <c r="X6" s="6" t="s">
        <v>34</v>
      </c>
      <c r="Y6" s="6" t="s">
        <v>47</v>
      </c>
      <c r="Z6" s="6" t="s">
        <v>36</v>
      </c>
      <c r="AA6" s="6" t="s">
        <v>36</v>
      </c>
      <c r="AB6" s="6" t="s">
        <v>36</v>
      </c>
      <c r="AC6" s="6" t="s">
        <v>36</v>
      </c>
      <c r="AD6" s="6" t="s">
        <v>36</v>
      </c>
      <c r="AE6" s="6">
        <v>9.9374400000000005</v>
      </c>
      <c r="AF6" s="6">
        <v>35.736359999999998</v>
      </c>
      <c r="AG6" s="6" t="s">
        <v>36</v>
      </c>
      <c r="AH6" s="5" t="s">
        <v>36</v>
      </c>
      <c r="AI6" s="5">
        <f>(19.87)+(19.87*0.24)</f>
        <v>24.6388</v>
      </c>
      <c r="AJ6" s="5" t="s">
        <v>63</v>
      </c>
      <c r="AK6" s="5" t="s">
        <v>36</v>
      </c>
      <c r="AL6" s="6" t="s">
        <v>36</v>
      </c>
    </row>
    <row r="7" spans="1:38" x14ac:dyDescent="0.25">
      <c r="A7" s="6">
        <v>6</v>
      </c>
      <c r="B7" s="5">
        <v>5</v>
      </c>
      <c r="C7" s="6" t="s">
        <v>64</v>
      </c>
      <c r="D7" s="6" t="s">
        <v>65</v>
      </c>
      <c r="E7" s="6" t="s">
        <v>22</v>
      </c>
      <c r="F7" s="6">
        <v>2024</v>
      </c>
      <c r="G7" s="6" t="s">
        <v>23</v>
      </c>
      <c r="H7" s="6" t="s">
        <v>39</v>
      </c>
      <c r="I7" s="6">
        <v>-6.8858100000000002</v>
      </c>
      <c r="J7" s="6">
        <v>107.61136999999999</v>
      </c>
      <c r="K7" s="6" t="s">
        <v>66</v>
      </c>
      <c r="L7" s="7">
        <v>2527854</v>
      </c>
      <c r="M7" s="7">
        <v>14251</v>
      </c>
      <c r="N7" s="6" t="s">
        <v>26</v>
      </c>
      <c r="O7" s="6" t="s">
        <v>67</v>
      </c>
      <c r="P7" s="6" t="s">
        <v>53</v>
      </c>
      <c r="Q7" s="6">
        <v>3710</v>
      </c>
      <c r="R7" s="6">
        <v>22.4</v>
      </c>
      <c r="S7" s="6" t="s">
        <v>54</v>
      </c>
      <c r="T7" s="5" t="s">
        <v>55</v>
      </c>
      <c r="U7" s="6" t="s">
        <v>31</v>
      </c>
      <c r="V7" s="6" t="s">
        <v>68</v>
      </c>
      <c r="W7" s="6" t="s">
        <v>471</v>
      </c>
      <c r="X7" s="6" t="s">
        <v>34</v>
      </c>
      <c r="Y7" s="6" t="s">
        <v>47</v>
      </c>
      <c r="Z7" s="6">
        <v>25.17</v>
      </c>
      <c r="AA7" s="6">
        <f>Z7/AL7</f>
        <v>5.0340000000000007</v>
      </c>
      <c r="AB7" s="6">
        <f>Z7*3.67</f>
        <v>92.373900000000006</v>
      </c>
      <c r="AC7" s="6">
        <f>AB7/AL7</f>
        <v>18.474780000000003</v>
      </c>
      <c r="AD7" s="6">
        <f>(AJ7+AK7)*0.47</f>
        <v>94.488</v>
      </c>
      <c r="AE7" s="6">
        <f>AD7*AL7</f>
        <v>472.44</v>
      </c>
      <c r="AF7" s="6">
        <f>AE7*3.67</f>
        <v>1733.8548000000001</v>
      </c>
      <c r="AG7" s="6">
        <f>AF7/AL7</f>
        <v>346.77096</v>
      </c>
      <c r="AH7" s="6">
        <f>AJ7+AK7</f>
        <v>201.03829787234045</v>
      </c>
      <c r="AI7" s="6">
        <f>AE7/0.47</f>
        <v>1005.1914893617022</v>
      </c>
      <c r="AJ7" s="6">
        <f>(381/AL7)/0.47</f>
        <v>162.12765957446811</v>
      </c>
      <c r="AK7" s="6">
        <f>AJ7*0.24</f>
        <v>38.910638297872346</v>
      </c>
      <c r="AL7" s="6">
        <v>5</v>
      </c>
    </row>
    <row r="8" spans="1:38" x14ac:dyDescent="0.25">
      <c r="A8" s="6">
        <v>7</v>
      </c>
      <c r="B8" s="5">
        <v>6</v>
      </c>
      <c r="C8" s="6" t="s">
        <v>69</v>
      </c>
      <c r="D8" s="6" t="s">
        <v>70</v>
      </c>
      <c r="E8" s="6" t="s">
        <v>22</v>
      </c>
      <c r="F8" s="6">
        <v>2023</v>
      </c>
      <c r="G8" s="6" t="s">
        <v>23</v>
      </c>
      <c r="H8" s="6" t="s">
        <v>39</v>
      </c>
      <c r="I8" s="6">
        <v>-21.688889</v>
      </c>
      <c r="J8" s="6">
        <v>-43.344444000000003</v>
      </c>
      <c r="K8" s="6" t="s">
        <v>71</v>
      </c>
      <c r="L8" s="6">
        <v>573285</v>
      </c>
      <c r="M8" s="6">
        <v>376.6</v>
      </c>
      <c r="N8" s="6" t="s">
        <v>72</v>
      </c>
      <c r="O8" s="6" t="s">
        <v>73</v>
      </c>
      <c r="P8" s="6" t="s">
        <v>43</v>
      </c>
      <c r="Q8" s="6">
        <v>1500</v>
      </c>
      <c r="R8" s="6">
        <v>19</v>
      </c>
      <c r="S8" s="6" t="s">
        <v>54</v>
      </c>
      <c r="T8" s="5" t="s">
        <v>55</v>
      </c>
      <c r="U8" s="6" t="s">
        <v>74</v>
      </c>
      <c r="V8" s="6" t="s">
        <v>75</v>
      </c>
      <c r="W8" s="6" t="s">
        <v>76</v>
      </c>
      <c r="X8" s="6" t="s">
        <v>34</v>
      </c>
      <c r="Y8" s="6" t="s">
        <v>47</v>
      </c>
      <c r="Z8" s="6">
        <v>158430</v>
      </c>
      <c r="AA8" s="6">
        <f>Z8/AL8</f>
        <v>3.1686000000000001</v>
      </c>
      <c r="AB8" s="6">
        <v>580920</v>
      </c>
      <c r="AC8" s="6">
        <f>AB8/AL8</f>
        <v>11.618399999999999</v>
      </c>
      <c r="AD8" s="6">
        <f>AE8/AL8</f>
        <v>79.577399999999997</v>
      </c>
      <c r="AE8" s="6">
        <v>3978870</v>
      </c>
      <c r="AF8" s="6">
        <f>AE8*3.67</f>
        <v>14602452.9</v>
      </c>
      <c r="AG8" s="6">
        <f>AF8/AL8</f>
        <v>292.049058</v>
      </c>
      <c r="AH8" s="6">
        <f>AD8/0.47</f>
        <v>169.3136170212766</v>
      </c>
      <c r="AI8" s="6">
        <f>AE8/0.47</f>
        <v>8465680.8510638308</v>
      </c>
      <c r="AJ8" s="6">
        <f>AD8/1.24</f>
        <v>64.175322580645158</v>
      </c>
      <c r="AK8" s="6">
        <f>AJ8*0.24</f>
        <v>15.402077419354837</v>
      </c>
      <c r="AL8" s="6">
        <v>50000</v>
      </c>
    </row>
    <row r="9" spans="1:38" x14ac:dyDescent="0.25">
      <c r="A9" s="6">
        <v>8</v>
      </c>
      <c r="B9" s="5">
        <v>7</v>
      </c>
      <c r="C9" s="6" t="s">
        <v>77</v>
      </c>
      <c r="D9" s="6" t="s">
        <v>78</v>
      </c>
      <c r="E9" s="6" t="s">
        <v>79</v>
      </c>
      <c r="F9" s="6">
        <v>2014</v>
      </c>
      <c r="G9" s="6" t="s">
        <v>23</v>
      </c>
      <c r="H9" s="6" t="s">
        <v>39</v>
      </c>
      <c r="I9" s="6">
        <v>-20.8</v>
      </c>
      <c r="J9" s="6">
        <v>-42.883333</v>
      </c>
      <c r="K9" s="6" t="s">
        <v>80</v>
      </c>
      <c r="L9" s="7">
        <v>72220</v>
      </c>
      <c r="M9" s="6">
        <v>255.3</v>
      </c>
      <c r="N9" s="6" t="s">
        <v>72</v>
      </c>
      <c r="O9" s="6" t="s">
        <v>73</v>
      </c>
      <c r="P9" s="6" t="s">
        <v>43</v>
      </c>
      <c r="Q9" s="6">
        <v>1251</v>
      </c>
      <c r="R9" s="6">
        <v>20.399999999999999</v>
      </c>
      <c r="S9" s="6" t="s">
        <v>54</v>
      </c>
      <c r="T9" s="5" t="s">
        <v>55</v>
      </c>
      <c r="U9" s="6" t="s">
        <v>56</v>
      </c>
      <c r="V9" s="6" t="s">
        <v>81</v>
      </c>
      <c r="W9" s="6" t="s">
        <v>36</v>
      </c>
      <c r="X9" s="6" t="s">
        <v>34</v>
      </c>
      <c r="Y9" s="6" t="s">
        <v>47</v>
      </c>
      <c r="Z9" s="6">
        <f>AB9/3.67</f>
        <v>428.65442036672539</v>
      </c>
      <c r="AA9" s="6">
        <f>AC9/3.67</f>
        <v>0.81625139553789472</v>
      </c>
      <c r="AB9" s="6">
        <f>((1285.89*175.19)+(1596.89*290.08)+(2298.68*59.88))/(175.19+290.08+59.88)</f>
        <v>1573.1617227458821</v>
      </c>
      <c r="AC9" s="6">
        <f>AB9/AL9</f>
        <v>2.9956426216240737</v>
      </c>
      <c r="AD9" s="6" t="s">
        <v>36</v>
      </c>
      <c r="AE9" s="6" t="s">
        <v>36</v>
      </c>
      <c r="AF9" s="6" t="s">
        <v>36</v>
      </c>
      <c r="AG9" s="6" t="s">
        <v>36</v>
      </c>
      <c r="AH9" s="6" t="s">
        <v>36</v>
      </c>
      <c r="AI9" s="6" t="s">
        <v>36</v>
      </c>
      <c r="AJ9" s="6" t="s">
        <v>36</v>
      </c>
      <c r="AK9" s="6" t="s">
        <v>36</v>
      </c>
      <c r="AL9" s="6">
        <f>(175.19+290.08+59.88)</f>
        <v>525.15</v>
      </c>
    </row>
    <row r="10" spans="1:38" x14ac:dyDescent="0.25">
      <c r="A10" s="6">
        <v>9</v>
      </c>
      <c r="B10" s="5">
        <v>7</v>
      </c>
      <c r="C10" s="6" t="s">
        <v>77</v>
      </c>
      <c r="D10" s="6" t="s">
        <v>78</v>
      </c>
      <c r="E10" s="6" t="s">
        <v>79</v>
      </c>
      <c r="F10" s="6">
        <v>2014</v>
      </c>
      <c r="G10" s="6" t="s">
        <v>23</v>
      </c>
      <c r="H10" s="6" t="s">
        <v>39</v>
      </c>
      <c r="I10" s="6">
        <v>-20.8</v>
      </c>
      <c r="J10" s="6">
        <v>-42.883333</v>
      </c>
      <c r="K10" s="6" t="s">
        <v>80</v>
      </c>
      <c r="L10" s="7">
        <v>72220</v>
      </c>
      <c r="M10" s="6">
        <v>255.3</v>
      </c>
      <c r="N10" s="6" t="s">
        <v>72</v>
      </c>
      <c r="O10" s="6" t="s">
        <v>73</v>
      </c>
      <c r="P10" s="6" t="s">
        <v>43</v>
      </c>
      <c r="Q10" s="6">
        <v>1251</v>
      </c>
      <c r="R10" s="6">
        <v>20.399999999999999</v>
      </c>
      <c r="S10" s="6" t="s">
        <v>54</v>
      </c>
      <c r="T10" s="6" t="s">
        <v>45</v>
      </c>
      <c r="U10" s="6" t="s">
        <v>56</v>
      </c>
      <c r="V10" s="6" t="s">
        <v>81</v>
      </c>
      <c r="W10" s="6" t="s">
        <v>36</v>
      </c>
      <c r="X10" s="6" t="s">
        <v>34</v>
      </c>
      <c r="Y10" s="6" t="s">
        <v>35</v>
      </c>
      <c r="Z10" s="6">
        <f>AB10/3.67</f>
        <v>34.25068119891008</v>
      </c>
      <c r="AA10" s="6">
        <f>Z10/AL10</f>
        <v>2.2140065416231467</v>
      </c>
      <c r="AB10" s="6">
        <v>125.7</v>
      </c>
      <c r="AC10" s="6">
        <f>AB10/AL10</f>
        <v>8.1254040077569485</v>
      </c>
      <c r="AD10" s="6" t="s">
        <v>36</v>
      </c>
      <c r="AE10" s="6" t="s">
        <v>36</v>
      </c>
      <c r="AF10" s="6" t="s">
        <v>36</v>
      </c>
      <c r="AG10" s="6" t="s">
        <v>36</v>
      </c>
      <c r="AH10" s="6" t="s">
        <v>36</v>
      </c>
      <c r="AI10" s="6" t="s">
        <v>36</v>
      </c>
      <c r="AJ10" s="6" t="s">
        <v>36</v>
      </c>
      <c r="AK10" s="6" t="s">
        <v>36</v>
      </c>
      <c r="AL10" s="6">
        <v>15.47</v>
      </c>
    </row>
    <row r="11" spans="1:38" x14ac:dyDescent="0.25">
      <c r="A11" s="6">
        <v>10</v>
      </c>
      <c r="B11" s="5">
        <v>8</v>
      </c>
      <c r="C11" s="6" t="s">
        <v>82</v>
      </c>
      <c r="D11" s="6" t="s">
        <v>83</v>
      </c>
      <c r="E11" s="6" t="s">
        <v>84</v>
      </c>
      <c r="F11" s="6">
        <v>2018</v>
      </c>
      <c r="G11" s="6" t="s">
        <v>23</v>
      </c>
      <c r="H11" s="6" t="s">
        <v>24</v>
      </c>
      <c r="I11" s="6">
        <v>20.143651999999999</v>
      </c>
      <c r="J11" s="6">
        <v>-75.202138000000005</v>
      </c>
      <c r="K11" s="6" t="s">
        <v>85</v>
      </c>
      <c r="L11" s="7">
        <v>228436</v>
      </c>
      <c r="M11" s="6">
        <v>887.5</v>
      </c>
      <c r="N11" s="6" t="s">
        <v>86</v>
      </c>
      <c r="O11" s="6" t="s">
        <v>87</v>
      </c>
      <c r="P11" s="6" t="s">
        <v>28</v>
      </c>
      <c r="Q11" s="6">
        <v>851.1</v>
      </c>
      <c r="R11" s="6">
        <v>26.5</v>
      </c>
      <c r="S11" s="6" t="s">
        <v>54</v>
      </c>
      <c r="T11" s="6" t="s">
        <v>45</v>
      </c>
      <c r="U11" s="6" t="s">
        <v>31</v>
      </c>
      <c r="V11" s="6" t="s">
        <v>32</v>
      </c>
      <c r="W11" s="6" t="s">
        <v>88</v>
      </c>
      <c r="X11" s="6" t="s">
        <v>34</v>
      </c>
      <c r="Y11" s="6" t="s">
        <v>35</v>
      </c>
      <c r="Z11" s="6" t="s">
        <v>36</v>
      </c>
      <c r="AA11" s="6" t="s">
        <v>36</v>
      </c>
      <c r="AB11" s="6" t="s">
        <v>36</v>
      </c>
      <c r="AC11" s="6" t="s">
        <v>36</v>
      </c>
      <c r="AD11" s="6">
        <f>AE11/AL11</f>
        <v>394.47546856501481</v>
      </c>
      <c r="AE11" s="6">
        <v>76968.87</v>
      </c>
      <c r="AF11" s="6">
        <f>AE11*3.67</f>
        <v>282475.75289999996</v>
      </c>
      <c r="AG11" s="6">
        <f>AF11/AL11</f>
        <v>1447.7249696336044</v>
      </c>
      <c r="AH11" s="5">
        <f>AI11/AL11</f>
        <v>717.51820702450323</v>
      </c>
      <c r="AI11" s="5">
        <v>140000</v>
      </c>
      <c r="AJ11" s="5">
        <f>107650/AL11</f>
        <v>551.72024990134128</v>
      </c>
      <c r="AK11" s="5">
        <f>32320/AL11</f>
        <v>165.64420322165677</v>
      </c>
      <c r="AL11" s="6">
        <v>195.11699999999999</v>
      </c>
    </row>
    <row r="12" spans="1:38" x14ac:dyDescent="0.25">
      <c r="A12" s="6">
        <v>11</v>
      </c>
      <c r="B12" s="5">
        <v>9</v>
      </c>
      <c r="C12" s="6" t="s">
        <v>89</v>
      </c>
      <c r="D12" s="6" t="s">
        <v>90</v>
      </c>
      <c r="E12" s="6" t="s">
        <v>84</v>
      </c>
      <c r="F12" s="6">
        <v>2022</v>
      </c>
      <c r="G12" s="6" t="s">
        <v>23</v>
      </c>
      <c r="H12" s="6" t="s">
        <v>24</v>
      </c>
      <c r="I12" s="6">
        <v>18.658055999999998</v>
      </c>
      <c r="J12" s="6">
        <v>-91.827777999999995</v>
      </c>
      <c r="K12" s="6" t="s">
        <v>91</v>
      </c>
      <c r="L12" s="7">
        <v>191328</v>
      </c>
      <c r="M12" s="7">
        <v>5368</v>
      </c>
      <c r="N12" s="6" t="s">
        <v>86</v>
      </c>
      <c r="O12" s="6" t="s">
        <v>92</v>
      </c>
      <c r="P12" s="6" t="s">
        <v>28</v>
      </c>
      <c r="Q12" s="6">
        <v>1550</v>
      </c>
      <c r="R12" s="6">
        <v>26</v>
      </c>
      <c r="S12" s="6" t="s">
        <v>29</v>
      </c>
      <c r="T12" s="6" t="s">
        <v>30</v>
      </c>
      <c r="U12" s="6" t="s">
        <v>31</v>
      </c>
      <c r="V12" s="6" t="s">
        <v>32</v>
      </c>
      <c r="W12" s="6" t="s">
        <v>33</v>
      </c>
      <c r="X12" s="6" t="s">
        <v>34</v>
      </c>
      <c r="Y12" s="6" t="s">
        <v>35</v>
      </c>
      <c r="Z12" s="6" t="s">
        <v>36</v>
      </c>
      <c r="AA12" s="6" t="s">
        <v>36</v>
      </c>
      <c r="AB12" s="6" t="s">
        <v>36</v>
      </c>
      <c r="AC12" s="6" t="s">
        <v>36</v>
      </c>
      <c r="AD12" s="6">
        <v>352</v>
      </c>
      <c r="AE12" s="6">
        <f>AD12*AL12</f>
        <v>2358.4</v>
      </c>
      <c r="AF12" s="6">
        <f>AE12*3.67</f>
        <v>8655.3279999999995</v>
      </c>
      <c r="AG12" s="6">
        <f>AF12/AL12</f>
        <v>1291.8399999999999</v>
      </c>
      <c r="AH12" s="5">
        <f>AD12/0.47</f>
        <v>748.936170212766</v>
      </c>
      <c r="AI12" s="5">
        <f>AE12/0.47</f>
        <v>5017.8723404255325</v>
      </c>
      <c r="AJ12" s="6">
        <f>AH12/1.24</f>
        <v>603.98078242965005</v>
      </c>
      <c r="AK12" s="6">
        <f>AJ12*0.24</f>
        <v>144.95538778311601</v>
      </c>
      <c r="AL12" s="6">
        <v>6.7</v>
      </c>
    </row>
    <row r="13" spans="1:38" x14ac:dyDescent="0.25">
      <c r="A13" s="6">
        <v>12</v>
      </c>
      <c r="B13" s="5">
        <v>10</v>
      </c>
      <c r="C13" s="6" t="s">
        <v>93</v>
      </c>
      <c r="D13" s="6" t="s">
        <v>94</v>
      </c>
      <c r="E13" s="6" t="s">
        <v>84</v>
      </c>
      <c r="F13" s="6">
        <v>2023</v>
      </c>
      <c r="G13" s="6" t="s">
        <v>23</v>
      </c>
      <c r="H13" s="6" t="s">
        <v>24</v>
      </c>
      <c r="I13" s="6">
        <v>19.464027999999999</v>
      </c>
      <c r="J13" s="6">
        <v>-98.826291999999995</v>
      </c>
      <c r="K13" s="8" t="s">
        <v>95</v>
      </c>
      <c r="L13" s="7">
        <v>35491</v>
      </c>
      <c r="M13" s="7">
        <v>6476</v>
      </c>
      <c r="N13" s="6" t="s">
        <v>86</v>
      </c>
      <c r="O13" s="6" t="s">
        <v>92</v>
      </c>
      <c r="P13" s="6" t="s">
        <v>96</v>
      </c>
      <c r="Q13" s="6">
        <v>613.20000000000005</v>
      </c>
      <c r="R13" s="6">
        <v>15</v>
      </c>
      <c r="S13" s="6" t="s">
        <v>97</v>
      </c>
      <c r="T13" s="5" t="s">
        <v>55</v>
      </c>
      <c r="U13" s="6" t="s">
        <v>56</v>
      </c>
      <c r="V13" s="6" t="s">
        <v>68</v>
      </c>
      <c r="W13" s="6" t="s">
        <v>98</v>
      </c>
      <c r="X13" s="6" t="s">
        <v>34</v>
      </c>
      <c r="Y13" s="6" t="s">
        <v>35</v>
      </c>
      <c r="Z13" s="6">
        <v>0.69025999999999998</v>
      </c>
      <c r="AA13" s="6">
        <f>Z13/AL13</f>
        <v>1.0192852923803897</v>
      </c>
      <c r="AB13" s="6">
        <f>Z13*3.67</f>
        <v>2.5332542</v>
      </c>
      <c r="AC13" s="6">
        <f>AB13/AL13</f>
        <v>3.7407770230360304</v>
      </c>
      <c r="AD13" s="6">
        <f>AE13/AL13</f>
        <v>19.255759007678677</v>
      </c>
      <c r="AE13" s="6">
        <v>13.04</v>
      </c>
      <c r="AF13" s="6">
        <f>AE13*3.67</f>
        <v>47.856799999999993</v>
      </c>
      <c r="AG13" s="6">
        <f>AF13/AL13</f>
        <v>70.668635558180725</v>
      </c>
      <c r="AH13" s="6">
        <f>AD13/0.47</f>
        <v>40.969700016337612</v>
      </c>
      <c r="AI13" s="6">
        <f>AE13/0.47</f>
        <v>27.74468085106383</v>
      </c>
      <c r="AJ13" s="6">
        <f>AD13/1.24</f>
        <v>15.528837909418288</v>
      </c>
      <c r="AK13" s="6">
        <f>AJ13*0.24</f>
        <v>3.7269210982603891</v>
      </c>
      <c r="AL13" s="6">
        <v>0.67720000000000002</v>
      </c>
    </row>
    <row r="14" spans="1:38" x14ac:dyDescent="0.25">
      <c r="A14" s="6">
        <v>13</v>
      </c>
      <c r="B14" s="5">
        <v>11</v>
      </c>
      <c r="C14" s="6" t="s">
        <v>99</v>
      </c>
      <c r="D14" s="6" t="s">
        <v>100</v>
      </c>
      <c r="E14" s="6" t="s">
        <v>22</v>
      </c>
      <c r="F14" s="6">
        <v>2024</v>
      </c>
      <c r="G14" s="6" t="s">
        <v>23</v>
      </c>
      <c r="H14" s="6" t="s">
        <v>24</v>
      </c>
      <c r="I14" s="6">
        <v>9.5333330000000007</v>
      </c>
      <c r="J14" s="6">
        <v>76.599999999999994</v>
      </c>
      <c r="K14" s="6" t="s">
        <v>101</v>
      </c>
      <c r="L14" s="7">
        <v>55374</v>
      </c>
      <c r="M14" s="7">
        <v>3463</v>
      </c>
      <c r="N14" s="6" t="s">
        <v>26</v>
      </c>
      <c r="O14" s="6" t="s">
        <v>27</v>
      </c>
      <c r="P14" s="6" t="s">
        <v>102</v>
      </c>
      <c r="Q14" s="6">
        <v>2600</v>
      </c>
      <c r="R14" s="6">
        <v>25</v>
      </c>
      <c r="S14" s="6" t="s">
        <v>54</v>
      </c>
      <c r="T14" s="5" t="s">
        <v>55</v>
      </c>
      <c r="U14" s="6" t="s">
        <v>56</v>
      </c>
      <c r="V14" s="6" t="s">
        <v>103</v>
      </c>
      <c r="W14" s="6" t="s">
        <v>104</v>
      </c>
      <c r="X14" s="6" t="s">
        <v>34</v>
      </c>
      <c r="Y14" s="6" t="s">
        <v>35</v>
      </c>
      <c r="Z14" s="6">
        <f>AA14*AL14</f>
        <v>328.77358490566036</v>
      </c>
      <c r="AA14" s="6">
        <f>(((570/(10*23)*10 + 1425/(25*23)*25 + 2850/(50*23)*50)/ (10+25+50))*23 + ((1480/(10*30)*10 + 3700/(25*30)*25 + 7400/(50*30)*50)/(10+25+50))*30) / (23+30)</f>
        <v>3.8679245283018866</v>
      </c>
      <c r="AB14" s="6">
        <f>Z14*3.67</f>
        <v>1206.5990566037735</v>
      </c>
      <c r="AC14" s="6">
        <f>AA14*3.67</f>
        <v>14.195283018867924</v>
      </c>
      <c r="AD14" s="6">
        <f>AE14/AL14</f>
        <v>108.50943396226415</v>
      </c>
      <c r="AE14" s="6">
        <f>(((570 + 1425 + 2850)*23) + ((1480 + 3700 + 7400)*30)) / (23+30)</f>
        <v>9223.3018867924529</v>
      </c>
      <c r="AF14" s="6">
        <f>AE14*3.67</f>
        <v>33849.5179245283</v>
      </c>
      <c r="AG14" s="6">
        <f>AF14/AL14</f>
        <v>398.22962264150942</v>
      </c>
      <c r="AH14" s="6">
        <f>AD14/0.47</f>
        <v>230.87113608992374</v>
      </c>
      <c r="AI14" s="6">
        <f t="shared" ref="AI14:AI15" si="2">AE14/0.47</f>
        <v>19624.04656764352</v>
      </c>
      <c r="AJ14" s="6">
        <f>AD14/1.24</f>
        <v>87.507608034084001</v>
      </c>
      <c r="AK14" s="6">
        <f t="shared" ref="AK14:AK15" si="3">AJ14*0.24</f>
        <v>21.00182592818016</v>
      </c>
      <c r="AL14" s="6">
        <v>85</v>
      </c>
    </row>
    <row r="15" spans="1:38" x14ac:dyDescent="0.25">
      <c r="A15" s="6">
        <v>14</v>
      </c>
      <c r="B15" s="5">
        <v>12</v>
      </c>
      <c r="C15" s="6" t="s">
        <v>105</v>
      </c>
      <c r="D15" s="6" t="s">
        <v>106</v>
      </c>
      <c r="E15" s="6" t="s">
        <v>22</v>
      </c>
      <c r="F15" s="6">
        <v>2023</v>
      </c>
      <c r="G15" s="6" t="s">
        <v>23</v>
      </c>
      <c r="H15" s="6" t="s">
        <v>24</v>
      </c>
      <c r="I15" s="6">
        <v>9.8820949999999996</v>
      </c>
      <c r="J15" s="6">
        <v>78.081536999999997</v>
      </c>
      <c r="K15" s="6" t="s">
        <v>107</v>
      </c>
      <c r="L15" s="7">
        <v>1017865</v>
      </c>
      <c r="M15" s="7">
        <v>19589</v>
      </c>
      <c r="N15" s="6" t="s">
        <v>26</v>
      </c>
      <c r="O15" s="6" t="s">
        <v>27</v>
      </c>
      <c r="P15" s="6" t="s">
        <v>28</v>
      </c>
      <c r="Q15" s="6">
        <v>849</v>
      </c>
      <c r="R15" s="6">
        <v>28.2</v>
      </c>
      <c r="S15" s="6" t="s">
        <v>108</v>
      </c>
      <c r="T15" s="5" t="s">
        <v>55</v>
      </c>
      <c r="U15" s="6" t="s">
        <v>56</v>
      </c>
      <c r="V15" s="6" t="s">
        <v>478</v>
      </c>
      <c r="W15" s="6" t="s">
        <v>33</v>
      </c>
      <c r="X15" s="6" t="s">
        <v>34</v>
      </c>
      <c r="Y15" s="6" t="s">
        <v>35</v>
      </c>
      <c r="Z15" s="6" t="s">
        <v>36</v>
      </c>
      <c r="AA15" s="6" t="s">
        <v>36</v>
      </c>
      <c r="AB15" s="6" t="s">
        <v>36</v>
      </c>
      <c r="AC15" s="6" t="s">
        <v>36</v>
      </c>
      <c r="AD15" s="6">
        <f>AE15/AL15</f>
        <v>431.29883281121869</v>
      </c>
      <c r="AE15" s="6">
        <f>AF15/3.67</f>
        <v>8727.0299727520432</v>
      </c>
      <c r="AF15" s="6">
        <v>32028.2</v>
      </c>
      <c r="AG15" s="6">
        <f>AF15/AL15</f>
        <v>1582.8667164171727</v>
      </c>
      <c r="AH15" s="6">
        <f t="shared" ref="AH15" si="4">AD15/0.47</f>
        <v>917.65709108769943</v>
      </c>
      <c r="AI15" s="6">
        <f t="shared" si="2"/>
        <v>18568.148878195836</v>
      </c>
      <c r="AJ15" s="6">
        <f t="shared" ref="AJ15" si="5">AD15/1.24</f>
        <v>347.82163936388605</v>
      </c>
      <c r="AK15" s="6">
        <f t="shared" si="3"/>
        <v>83.477193447332652</v>
      </c>
      <c r="AL15" s="6">
        <v>20.234300000000001</v>
      </c>
    </row>
    <row r="16" spans="1:38" x14ac:dyDescent="0.25">
      <c r="A16" s="6">
        <v>15</v>
      </c>
      <c r="B16" s="5">
        <v>13</v>
      </c>
      <c r="C16" s="6" t="s">
        <v>109</v>
      </c>
      <c r="D16" s="6" t="s">
        <v>110</v>
      </c>
      <c r="E16" s="6" t="s">
        <v>22</v>
      </c>
      <c r="F16" s="6">
        <v>2021</v>
      </c>
      <c r="G16" s="6" t="s">
        <v>23</v>
      </c>
      <c r="H16" s="6" t="s">
        <v>39</v>
      </c>
      <c r="I16" s="6">
        <v>-6.2394439999999998</v>
      </c>
      <c r="J16" s="6">
        <v>106.992778</v>
      </c>
      <c r="K16" s="6" t="s">
        <v>111</v>
      </c>
      <c r="L16" s="7">
        <v>2334871</v>
      </c>
      <c r="M16" s="7">
        <v>10906</v>
      </c>
      <c r="N16" s="6" t="s">
        <v>26</v>
      </c>
      <c r="O16" s="6" t="s">
        <v>67</v>
      </c>
      <c r="P16" s="6" t="s">
        <v>102</v>
      </c>
      <c r="Q16" s="6">
        <v>2266</v>
      </c>
      <c r="R16" s="6">
        <v>26.5</v>
      </c>
      <c r="S16" s="6" t="s">
        <v>54</v>
      </c>
      <c r="T16" s="6" t="s">
        <v>112</v>
      </c>
      <c r="U16" s="6" t="s">
        <v>74</v>
      </c>
      <c r="V16" s="6" t="s">
        <v>113</v>
      </c>
      <c r="W16" s="6" t="s">
        <v>33</v>
      </c>
      <c r="X16" s="6" t="s">
        <v>34</v>
      </c>
      <c r="Y16" s="6" t="s">
        <v>47</v>
      </c>
      <c r="Z16" s="6" t="s">
        <v>36</v>
      </c>
      <c r="AA16" s="6" t="s">
        <v>36</v>
      </c>
      <c r="AB16" s="6" t="s">
        <v>36</v>
      </c>
      <c r="AC16" s="6" t="s">
        <v>36</v>
      </c>
      <c r="AD16" s="5">
        <f>AH16*0.47</f>
        <v>0.58687959999999983</v>
      </c>
      <c r="AE16" s="5">
        <f>AI16*0.47</f>
        <v>853.90981799999975</v>
      </c>
      <c r="AF16" s="5">
        <f>AE16*3.67</f>
        <v>3133.849032059999</v>
      </c>
      <c r="AG16" s="5">
        <f>AD16*3.67</f>
        <v>2.1538481319999994</v>
      </c>
      <c r="AH16" s="5">
        <f>AJ16+AK16</f>
        <v>1.2486799999999998</v>
      </c>
      <c r="AI16" s="5">
        <f>AH16*AL16</f>
        <v>1816.8293999999996</v>
      </c>
      <c r="AJ16" s="6">
        <v>1.0069999999999999</v>
      </c>
      <c r="AK16" s="5">
        <f>AJ16*0.24</f>
        <v>0.24167999999999998</v>
      </c>
      <c r="AL16" s="6">
        <v>1455</v>
      </c>
    </row>
    <row r="17" spans="1:38" x14ac:dyDescent="0.25">
      <c r="A17" s="6">
        <v>16</v>
      </c>
      <c r="B17" s="5">
        <v>14</v>
      </c>
      <c r="C17" s="6" t="s">
        <v>114</v>
      </c>
      <c r="D17" s="6" t="s">
        <v>115</v>
      </c>
      <c r="E17" s="6" t="s">
        <v>22</v>
      </c>
      <c r="F17" s="6">
        <v>2020</v>
      </c>
      <c r="G17" s="6" t="s">
        <v>23</v>
      </c>
      <c r="H17" s="6" t="s">
        <v>24</v>
      </c>
      <c r="I17" s="6">
        <v>23.241667</v>
      </c>
      <c r="J17" s="6">
        <v>77.391666999999998</v>
      </c>
      <c r="K17" s="6" t="s">
        <v>116</v>
      </c>
      <c r="L17" s="7">
        <v>1798218</v>
      </c>
      <c r="M17" s="7">
        <v>6290</v>
      </c>
      <c r="N17" s="6" t="s">
        <v>26</v>
      </c>
      <c r="O17" s="6" t="s">
        <v>27</v>
      </c>
      <c r="P17" s="6" t="s">
        <v>43</v>
      </c>
      <c r="Q17" s="6">
        <v>1000</v>
      </c>
      <c r="R17" s="6">
        <v>26</v>
      </c>
      <c r="S17" s="6" t="s">
        <v>108</v>
      </c>
      <c r="T17" s="5" t="s">
        <v>55</v>
      </c>
      <c r="U17" s="6" t="s">
        <v>56</v>
      </c>
      <c r="V17" s="6" t="s">
        <v>32</v>
      </c>
      <c r="W17" s="6" t="s">
        <v>117</v>
      </c>
      <c r="X17" s="6" t="s">
        <v>34</v>
      </c>
      <c r="Y17" s="6" t="s">
        <v>35</v>
      </c>
      <c r="Z17" s="6" t="s">
        <v>36</v>
      </c>
      <c r="AA17" s="6" t="s">
        <v>36</v>
      </c>
      <c r="AB17" s="6" t="s">
        <v>36</v>
      </c>
      <c r="AC17" s="6" t="s">
        <v>36</v>
      </c>
      <c r="AD17" s="6">
        <v>16.670000000000002</v>
      </c>
      <c r="AE17" s="6">
        <f>AD17*AL17</f>
        <v>1344.2688000000001</v>
      </c>
      <c r="AF17" s="6">
        <f>AE17*3.67</f>
        <v>4933.466496</v>
      </c>
      <c r="AG17" s="6">
        <f>AF17/AL17</f>
        <v>61.178899999999999</v>
      </c>
      <c r="AH17" s="6">
        <f>AD17/0.47</f>
        <v>35.468085106382986</v>
      </c>
      <c r="AI17" s="6">
        <f>AE17/0.47</f>
        <v>2860.1463829787235</v>
      </c>
      <c r="AJ17" s="6">
        <f>AD17/1.24</f>
        <v>13.443548387096776</v>
      </c>
      <c r="AK17" s="6">
        <f>AJ17*0.24</f>
        <v>3.2264516129032259</v>
      </c>
      <c r="AL17" s="6">
        <v>80.64</v>
      </c>
    </row>
    <row r="18" spans="1:38" x14ac:dyDescent="0.25">
      <c r="A18" s="6">
        <v>17</v>
      </c>
      <c r="B18" s="5">
        <v>15</v>
      </c>
      <c r="C18" s="6" t="s">
        <v>118</v>
      </c>
      <c r="D18" s="6" t="s">
        <v>119</v>
      </c>
      <c r="E18" s="6" t="s">
        <v>22</v>
      </c>
      <c r="F18" s="6">
        <v>2018</v>
      </c>
      <c r="G18" s="6" t="s">
        <v>50</v>
      </c>
      <c r="H18" s="6" t="s">
        <v>24</v>
      </c>
      <c r="I18" s="6">
        <v>9.9311939999999996</v>
      </c>
      <c r="J18" s="6">
        <v>76.267306000000005</v>
      </c>
      <c r="K18" s="6" t="s">
        <v>120</v>
      </c>
      <c r="L18" s="7">
        <v>633553</v>
      </c>
      <c r="M18" s="7">
        <v>5914</v>
      </c>
      <c r="N18" s="6" t="s">
        <v>26</v>
      </c>
      <c r="O18" s="6" t="s">
        <v>27</v>
      </c>
      <c r="P18" s="6" t="s">
        <v>102</v>
      </c>
      <c r="Q18" s="6">
        <v>3344.5</v>
      </c>
      <c r="R18" s="6">
        <v>30.8</v>
      </c>
      <c r="S18" s="6" t="s">
        <v>54</v>
      </c>
      <c r="T18" s="6" t="s">
        <v>45</v>
      </c>
      <c r="U18" s="6" t="s">
        <v>31</v>
      </c>
      <c r="V18" s="6" t="s">
        <v>121</v>
      </c>
      <c r="W18" s="6" t="s">
        <v>76</v>
      </c>
      <c r="X18" s="6" t="s">
        <v>34</v>
      </c>
      <c r="Y18" s="6" t="s">
        <v>47</v>
      </c>
      <c r="Z18" s="6" t="s">
        <v>36</v>
      </c>
      <c r="AA18" s="6">
        <f>((39.49)-(42.78))/2</f>
        <v>-1.6449999999999996</v>
      </c>
      <c r="AB18" s="6" t="s">
        <v>36</v>
      </c>
      <c r="AC18" s="6" t="s">
        <v>36</v>
      </c>
      <c r="AD18" s="6">
        <f>((2013*42.78)+(2015*39.49))/(2013+2015)</f>
        <v>41.134183217477656</v>
      </c>
      <c r="AE18" s="6">
        <f>AD18*AL18</f>
        <v>710.41287431927594</v>
      </c>
      <c r="AF18" s="6">
        <f>AE18*3.67</f>
        <v>2607.2152487517428</v>
      </c>
      <c r="AG18" s="6">
        <f>AF18/AL18</f>
        <v>150.96245240814301</v>
      </c>
      <c r="AH18" s="6">
        <f>AD18/0.47</f>
        <v>87.519538760590763</v>
      </c>
      <c r="AI18" s="6">
        <f>AE18/0.47</f>
        <v>1511.5167538707999</v>
      </c>
      <c r="AJ18" s="6">
        <f>AD18/1.24</f>
        <v>33.172728401191655</v>
      </c>
      <c r="AK18" s="6">
        <f>AJ18*0.24</f>
        <v>7.9614548162859968</v>
      </c>
      <c r="AL18" s="6">
        <f>((2013*16.02)+(2015*18.52))/(2013+2015)</f>
        <v>17.270620655412113</v>
      </c>
    </row>
    <row r="19" spans="1:38" x14ac:dyDescent="0.25">
      <c r="A19" s="6">
        <v>18</v>
      </c>
      <c r="B19" s="5">
        <v>16</v>
      </c>
      <c r="C19" s="6" t="s">
        <v>122</v>
      </c>
      <c r="D19" s="6" t="s">
        <v>123</v>
      </c>
      <c r="E19" s="6" t="s">
        <v>22</v>
      </c>
      <c r="F19" s="6">
        <v>2018</v>
      </c>
      <c r="G19" s="6" t="s">
        <v>23</v>
      </c>
      <c r="H19" s="6" t="s">
        <v>39</v>
      </c>
      <c r="I19" s="6">
        <v>-6.2249999999999996</v>
      </c>
      <c r="J19" s="6">
        <v>106.63333299999999</v>
      </c>
      <c r="K19" s="6" t="s">
        <v>124</v>
      </c>
      <c r="L19" s="7">
        <v>152145</v>
      </c>
      <c r="M19" s="6">
        <v>9835</v>
      </c>
      <c r="N19" s="6" t="s">
        <v>26</v>
      </c>
      <c r="O19" s="6" t="s">
        <v>67</v>
      </c>
      <c r="P19" s="6" t="s">
        <v>125</v>
      </c>
      <c r="Q19" s="6">
        <v>2097</v>
      </c>
      <c r="R19" s="6">
        <v>26.3</v>
      </c>
      <c r="S19" s="6" t="s">
        <v>54</v>
      </c>
      <c r="T19" s="6" t="s">
        <v>112</v>
      </c>
      <c r="U19" s="6" t="s">
        <v>31</v>
      </c>
      <c r="V19" s="6" t="s">
        <v>126</v>
      </c>
      <c r="W19" s="6" t="s">
        <v>33</v>
      </c>
      <c r="X19" s="6" t="s">
        <v>34</v>
      </c>
      <c r="Y19" s="6" t="s">
        <v>47</v>
      </c>
      <c r="Z19" s="6" t="s">
        <v>36</v>
      </c>
      <c r="AA19" s="6" t="s">
        <v>36</v>
      </c>
      <c r="AB19" s="6" t="s">
        <v>36</v>
      </c>
      <c r="AC19" s="6" t="s">
        <v>36</v>
      </c>
      <c r="AD19" s="6">
        <f>AE19/AL19</f>
        <v>8.2749076107490875</v>
      </c>
      <c r="AE19" s="6">
        <f>AF19/3.67</f>
        <v>121798.36512261581</v>
      </c>
      <c r="AF19" s="6">
        <v>447000</v>
      </c>
      <c r="AG19" s="6">
        <f>AF19/AL19</f>
        <v>30.368910931449147</v>
      </c>
      <c r="AH19" s="5">
        <f>AJ19+AK19</f>
        <v>20.543107548067127</v>
      </c>
      <c r="AI19" s="5">
        <f>AH19*AL19</f>
        <v>302374.00000000006</v>
      </c>
      <c r="AJ19" s="6">
        <f>243850/AL19</f>
        <v>16.567022216183165</v>
      </c>
      <c r="AK19" s="5">
        <f>AJ19*0.24</f>
        <v>3.9760853318839597</v>
      </c>
      <c r="AL19" s="6">
        <v>14719</v>
      </c>
    </row>
    <row r="20" spans="1:38" x14ac:dyDescent="0.25">
      <c r="A20" s="6">
        <v>19</v>
      </c>
      <c r="B20" s="5">
        <v>17</v>
      </c>
      <c r="C20" s="6" t="s">
        <v>127</v>
      </c>
      <c r="D20" s="6" t="s">
        <v>128</v>
      </c>
      <c r="E20" s="6" t="s">
        <v>22</v>
      </c>
      <c r="F20" s="6">
        <v>2023</v>
      </c>
      <c r="G20" s="6" t="s">
        <v>23</v>
      </c>
      <c r="H20" s="6" t="s">
        <v>39</v>
      </c>
      <c r="I20" s="6">
        <v>-20.761651000000001</v>
      </c>
      <c r="J20" s="6">
        <v>-42.870387999999998</v>
      </c>
      <c r="K20" s="6" t="s">
        <v>80</v>
      </c>
      <c r="L20" s="7">
        <v>76430</v>
      </c>
      <c r="M20" s="6">
        <v>255.3</v>
      </c>
      <c r="N20" s="6" t="s">
        <v>72</v>
      </c>
      <c r="O20" s="6" t="s">
        <v>73</v>
      </c>
      <c r="P20" s="6" t="s">
        <v>43</v>
      </c>
      <c r="Q20" s="6">
        <v>1251</v>
      </c>
      <c r="R20" s="6">
        <v>20.399999999999999</v>
      </c>
      <c r="S20" s="6" t="s">
        <v>54</v>
      </c>
      <c r="T20" s="5" t="s">
        <v>55</v>
      </c>
      <c r="U20" s="6" t="s">
        <v>56</v>
      </c>
      <c r="V20" s="6" t="s">
        <v>129</v>
      </c>
      <c r="W20" s="6" t="s">
        <v>76</v>
      </c>
      <c r="X20" s="6" t="s">
        <v>34</v>
      </c>
      <c r="Y20" s="6" t="s">
        <v>47</v>
      </c>
      <c r="Z20" s="6">
        <f t="shared" ref="Z20:AA22" si="6">AB20/3.67</f>
        <v>2329.0899182561311</v>
      </c>
      <c r="AA20" s="6">
        <f t="shared" si="6"/>
        <v>1.4198304793075656</v>
      </c>
      <c r="AB20" s="6">
        <v>8547.76</v>
      </c>
      <c r="AC20" s="6">
        <f>AB20/AL20</f>
        <v>5.2107778590587657</v>
      </c>
      <c r="AD20" s="6" t="s">
        <v>36</v>
      </c>
      <c r="AE20" s="6" t="s">
        <v>36</v>
      </c>
      <c r="AF20" s="6" t="s">
        <v>36</v>
      </c>
      <c r="AG20" s="6" t="s">
        <v>36</v>
      </c>
      <c r="AH20" s="6" t="s">
        <v>36</v>
      </c>
      <c r="AI20" s="6" t="s">
        <v>36</v>
      </c>
      <c r="AJ20" s="6" t="s">
        <v>36</v>
      </c>
      <c r="AK20" s="6" t="s">
        <v>36</v>
      </c>
      <c r="AL20" s="6">
        <v>1640.4</v>
      </c>
    </row>
    <row r="21" spans="1:38" x14ac:dyDescent="0.25">
      <c r="A21" s="6">
        <v>20</v>
      </c>
      <c r="B21" s="5">
        <v>18</v>
      </c>
      <c r="C21" s="6" t="s">
        <v>130</v>
      </c>
      <c r="D21" s="6" t="s">
        <v>131</v>
      </c>
      <c r="E21" s="6" t="s">
        <v>22</v>
      </c>
      <c r="F21" s="6">
        <v>2021</v>
      </c>
      <c r="G21" s="6" t="s">
        <v>23</v>
      </c>
      <c r="H21" s="6" t="s">
        <v>24</v>
      </c>
      <c r="I21" s="6">
        <v>3.103361</v>
      </c>
      <c r="J21" s="6">
        <v>101.625111</v>
      </c>
      <c r="K21" s="6" t="s">
        <v>132</v>
      </c>
      <c r="L21" s="7">
        <v>271030</v>
      </c>
      <c r="M21" s="7">
        <v>6787</v>
      </c>
      <c r="N21" s="6" t="s">
        <v>26</v>
      </c>
      <c r="O21" s="6" t="s">
        <v>52</v>
      </c>
      <c r="P21" s="6" t="s">
        <v>53</v>
      </c>
      <c r="Q21" s="6">
        <v>2960</v>
      </c>
      <c r="R21" s="6">
        <v>27.75</v>
      </c>
      <c r="S21" s="6" t="s">
        <v>54</v>
      </c>
      <c r="T21" s="6" t="s">
        <v>133</v>
      </c>
      <c r="U21" s="6" t="s">
        <v>31</v>
      </c>
      <c r="V21" s="6" t="s">
        <v>134</v>
      </c>
      <c r="W21" s="6" t="s">
        <v>33</v>
      </c>
      <c r="X21" s="6" t="s">
        <v>34</v>
      </c>
      <c r="Y21" s="6" t="s">
        <v>47</v>
      </c>
      <c r="Z21" s="6">
        <f t="shared" si="6"/>
        <v>41.747574284606294</v>
      </c>
      <c r="AA21" s="6">
        <f t="shared" si="6"/>
        <v>0.9455677877774874</v>
      </c>
      <c r="AB21" s="6">
        <f>((136.36*36.1169)+(228.98*8.0339))/(36.1169+8.0339)</f>
        <v>153.2135976245051</v>
      </c>
      <c r="AC21" s="6">
        <f>AB21/AL21</f>
        <v>3.4702337811433788</v>
      </c>
      <c r="AD21" s="6" t="s">
        <v>36</v>
      </c>
      <c r="AE21" s="6" t="s">
        <v>36</v>
      </c>
      <c r="AF21" s="6" t="s">
        <v>36</v>
      </c>
      <c r="AG21" s="6" t="s">
        <v>36</v>
      </c>
      <c r="AH21" s="6" t="s">
        <v>36</v>
      </c>
      <c r="AI21" s="6" t="s">
        <v>36</v>
      </c>
      <c r="AJ21" s="6" t="s">
        <v>36</v>
      </c>
      <c r="AK21" s="6" t="s">
        <v>36</v>
      </c>
      <c r="AL21" s="6">
        <f>36.1169+8.0339</f>
        <v>44.150800000000004</v>
      </c>
    </row>
    <row r="22" spans="1:38" x14ac:dyDescent="0.25">
      <c r="A22" s="6">
        <v>21</v>
      </c>
      <c r="B22" s="5">
        <v>18</v>
      </c>
      <c r="C22" s="6" t="s">
        <v>130</v>
      </c>
      <c r="D22" s="6" t="s">
        <v>131</v>
      </c>
      <c r="E22" s="6" t="s">
        <v>22</v>
      </c>
      <c r="F22" s="6">
        <v>2021</v>
      </c>
      <c r="G22" s="6" t="s">
        <v>23</v>
      </c>
      <c r="H22" s="6" t="s">
        <v>24</v>
      </c>
      <c r="I22" s="6">
        <v>3.103361</v>
      </c>
      <c r="J22" s="6">
        <v>101.625111</v>
      </c>
      <c r="K22" s="6" t="s">
        <v>132</v>
      </c>
      <c r="L22" s="7">
        <v>271030</v>
      </c>
      <c r="M22" s="7">
        <v>6787</v>
      </c>
      <c r="N22" s="6" t="s">
        <v>26</v>
      </c>
      <c r="O22" s="6" t="s">
        <v>52</v>
      </c>
      <c r="P22" s="6" t="s">
        <v>53</v>
      </c>
      <c r="Q22" s="6">
        <v>2960</v>
      </c>
      <c r="R22" s="6">
        <v>27.75</v>
      </c>
      <c r="S22" s="6" t="s">
        <v>54</v>
      </c>
      <c r="T22" s="6" t="s">
        <v>133</v>
      </c>
      <c r="U22" s="6" t="s">
        <v>31</v>
      </c>
      <c r="V22" s="6" t="s">
        <v>134</v>
      </c>
      <c r="W22" s="6" t="s">
        <v>33</v>
      </c>
      <c r="X22" s="5" t="s">
        <v>135</v>
      </c>
      <c r="Y22" s="6" t="s">
        <v>47</v>
      </c>
      <c r="Z22" s="6">
        <f t="shared" si="6"/>
        <v>49.54473540695637</v>
      </c>
      <c r="AA22" s="6">
        <f t="shared" si="6"/>
        <v>1.12217072866078</v>
      </c>
      <c r="AB22" s="6">
        <f>((212.481*36.1169)+(44.032*8.0339))/(36.1169+8.0339)</f>
        <v>181.82917894352988</v>
      </c>
      <c r="AC22" s="6">
        <f>AB22/AL22</f>
        <v>4.118366574185063</v>
      </c>
      <c r="AD22" s="6" t="s">
        <v>36</v>
      </c>
      <c r="AE22" s="6" t="s">
        <v>36</v>
      </c>
      <c r="AF22" s="6" t="s">
        <v>36</v>
      </c>
      <c r="AG22" s="6" t="s">
        <v>36</v>
      </c>
      <c r="AH22" s="6" t="s">
        <v>36</v>
      </c>
      <c r="AI22" s="6" t="s">
        <v>36</v>
      </c>
      <c r="AJ22" s="6" t="s">
        <v>36</v>
      </c>
      <c r="AK22" s="6" t="s">
        <v>36</v>
      </c>
      <c r="AL22" s="6">
        <f>36.1169+8.0339</f>
        <v>44.150800000000004</v>
      </c>
    </row>
    <row r="23" spans="1:38" x14ac:dyDescent="0.25">
      <c r="A23" s="6">
        <v>22</v>
      </c>
      <c r="B23" s="5">
        <v>19</v>
      </c>
      <c r="C23" s="6" t="s">
        <v>136</v>
      </c>
      <c r="D23" s="6" t="s">
        <v>137</v>
      </c>
      <c r="E23" s="6" t="s">
        <v>22</v>
      </c>
      <c r="F23" s="6">
        <v>2024</v>
      </c>
      <c r="G23" s="6" t="s">
        <v>23</v>
      </c>
      <c r="H23" s="6" t="s">
        <v>24</v>
      </c>
      <c r="I23" s="6">
        <v>14.292999999999999</v>
      </c>
      <c r="J23" s="6">
        <v>99.825999999999993</v>
      </c>
      <c r="K23" s="5" t="s">
        <v>138</v>
      </c>
      <c r="L23" s="5">
        <v>16255900</v>
      </c>
      <c r="M23" s="7">
        <v>2094</v>
      </c>
      <c r="N23" s="6" t="s">
        <v>26</v>
      </c>
      <c r="O23" s="6" t="s">
        <v>139</v>
      </c>
      <c r="P23" s="6" t="s">
        <v>28</v>
      </c>
      <c r="Q23" s="6">
        <v>1207</v>
      </c>
      <c r="R23" s="6">
        <v>27.7</v>
      </c>
      <c r="S23" s="6" t="s">
        <v>54</v>
      </c>
      <c r="T23" s="5" t="s">
        <v>55</v>
      </c>
      <c r="U23" s="6" t="s">
        <v>31</v>
      </c>
      <c r="V23" s="6" t="s">
        <v>140</v>
      </c>
      <c r="W23" s="6" t="s">
        <v>33</v>
      </c>
      <c r="X23" s="6" t="s">
        <v>34</v>
      </c>
      <c r="Y23" s="6" t="s">
        <v>35</v>
      </c>
      <c r="Z23" s="6">
        <v>1402.78</v>
      </c>
      <c r="AA23" s="6">
        <v>2.52</v>
      </c>
      <c r="AB23" s="6">
        <v>5120.1400000000003</v>
      </c>
      <c r="AC23" s="6">
        <v>9.2200000000000006</v>
      </c>
      <c r="AD23" s="6">
        <v>46.77</v>
      </c>
      <c r="AE23" s="6">
        <f>AD23*AL23</f>
        <v>22544.543099999999</v>
      </c>
      <c r="AF23" s="6">
        <f>AE23*3.67</f>
        <v>82738.473176999993</v>
      </c>
      <c r="AG23" s="6">
        <f>AF23/AL23</f>
        <v>171.64589999999998</v>
      </c>
      <c r="AH23" s="6">
        <v>84.7</v>
      </c>
      <c r="AI23" s="6">
        <f>AH23*AL23</f>
        <v>40827.940999999999</v>
      </c>
      <c r="AJ23" s="6">
        <v>67.22</v>
      </c>
      <c r="AK23" s="6">
        <v>17.48</v>
      </c>
      <c r="AL23" s="6">
        <v>482.03</v>
      </c>
    </row>
    <row r="24" spans="1:38" x14ac:dyDescent="0.25">
      <c r="A24" s="6">
        <v>23</v>
      </c>
      <c r="B24" s="5">
        <v>20</v>
      </c>
      <c r="C24" s="6" t="s">
        <v>141</v>
      </c>
      <c r="D24" s="6" t="s">
        <v>142</v>
      </c>
      <c r="E24" s="6" t="s">
        <v>22</v>
      </c>
      <c r="F24" s="6">
        <v>2022</v>
      </c>
      <c r="G24" s="6" t="s">
        <v>23</v>
      </c>
      <c r="H24" s="6" t="s">
        <v>24</v>
      </c>
      <c r="I24" s="6">
        <v>23.181944000000001</v>
      </c>
      <c r="J24" s="6">
        <v>77.421943999999996</v>
      </c>
      <c r="K24" s="6" t="s">
        <v>116</v>
      </c>
      <c r="L24" s="7">
        <v>1798218</v>
      </c>
      <c r="M24" s="7">
        <v>6290</v>
      </c>
      <c r="N24" s="6" t="s">
        <v>26</v>
      </c>
      <c r="O24" s="6" t="s">
        <v>27</v>
      </c>
      <c r="P24" s="6" t="s">
        <v>43</v>
      </c>
      <c r="Q24" s="6">
        <v>1200</v>
      </c>
      <c r="R24" s="6">
        <v>30</v>
      </c>
      <c r="S24" s="6" t="s">
        <v>108</v>
      </c>
      <c r="T24" s="6" t="s">
        <v>45</v>
      </c>
      <c r="U24" s="6" t="s">
        <v>31</v>
      </c>
      <c r="V24" s="6" t="s">
        <v>143</v>
      </c>
      <c r="W24" s="6" t="s">
        <v>46</v>
      </c>
      <c r="X24" s="6" t="s">
        <v>34</v>
      </c>
      <c r="Y24" s="6" t="s">
        <v>35</v>
      </c>
      <c r="Z24" s="6" t="s">
        <v>36</v>
      </c>
      <c r="AA24" s="6" t="s">
        <v>36</v>
      </c>
      <c r="AB24" s="6" t="s">
        <v>36</v>
      </c>
      <c r="AC24" s="6" t="s">
        <v>36</v>
      </c>
      <c r="AD24" s="6">
        <v>1.5</v>
      </c>
      <c r="AE24" s="6">
        <v>36.299999999999997</v>
      </c>
      <c r="AF24" s="6">
        <f>AE24*3.67</f>
        <v>133.22099999999998</v>
      </c>
      <c r="AG24" s="6">
        <v>5.3</v>
      </c>
      <c r="AH24" s="6">
        <f>AI24/AL24</f>
        <v>3.0911200000000001</v>
      </c>
      <c r="AI24" s="6">
        <v>77.278000000000006</v>
      </c>
      <c r="AJ24" s="6">
        <f>AH24/1.24</f>
        <v>2.4928387096774194</v>
      </c>
      <c r="AK24" s="6">
        <f>AJ24*0.24</f>
        <v>0.59828129032258059</v>
      </c>
      <c r="AL24" s="6">
        <v>25</v>
      </c>
    </row>
    <row r="25" spans="1:38" s="5" customFormat="1" x14ac:dyDescent="0.25">
      <c r="A25" s="6">
        <v>24</v>
      </c>
      <c r="B25" s="5">
        <v>21</v>
      </c>
      <c r="C25" s="5" t="s">
        <v>144</v>
      </c>
      <c r="D25" s="5" t="s">
        <v>145</v>
      </c>
      <c r="E25" s="5" t="s">
        <v>22</v>
      </c>
      <c r="F25" s="5">
        <v>2015</v>
      </c>
      <c r="G25" s="5" t="s">
        <v>23</v>
      </c>
      <c r="H25" s="5" t="s">
        <v>24</v>
      </c>
      <c r="I25" s="5">
        <v>3.058093</v>
      </c>
      <c r="J25" s="5">
        <v>101.584552</v>
      </c>
      <c r="K25" s="5" t="s">
        <v>146</v>
      </c>
      <c r="L25" s="5">
        <v>109917</v>
      </c>
      <c r="M25" s="7">
        <v>8852</v>
      </c>
      <c r="N25" s="6" t="s">
        <v>26</v>
      </c>
      <c r="O25" s="5" t="s">
        <v>52</v>
      </c>
      <c r="P25" s="6" t="s">
        <v>53</v>
      </c>
      <c r="Q25" s="5">
        <v>2174</v>
      </c>
      <c r="R25" s="5">
        <v>26.1</v>
      </c>
      <c r="S25" s="6" t="s">
        <v>54</v>
      </c>
      <c r="T25" s="6" t="s">
        <v>112</v>
      </c>
      <c r="U25" s="6" t="s">
        <v>31</v>
      </c>
      <c r="V25" s="5" t="s">
        <v>32</v>
      </c>
      <c r="W25" s="5" t="s">
        <v>33</v>
      </c>
      <c r="X25" s="6" t="s">
        <v>34</v>
      </c>
      <c r="Y25" s="6" t="s">
        <v>47</v>
      </c>
      <c r="Z25" s="5">
        <v>2238.183</v>
      </c>
      <c r="AA25" s="5">
        <f>Z25/AL25</f>
        <v>13.963335204941044</v>
      </c>
      <c r="AB25" s="5">
        <f>Z25*3.67</f>
        <v>8214.1316100000004</v>
      </c>
      <c r="AC25" s="5">
        <f>AB25/AL25</f>
        <v>51.245440202133636</v>
      </c>
      <c r="AD25" s="5" t="s">
        <v>36</v>
      </c>
      <c r="AE25" s="5" t="s">
        <v>36</v>
      </c>
      <c r="AF25" s="5" t="s">
        <v>36</v>
      </c>
      <c r="AG25" s="5" t="s">
        <v>36</v>
      </c>
      <c r="AH25" s="5" t="s">
        <v>36</v>
      </c>
      <c r="AI25" s="5" t="s">
        <v>36</v>
      </c>
      <c r="AJ25" s="5" t="s">
        <v>36</v>
      </c>
      <c r="AK25" s="5" t="s">
        <v>36</v>
      </c>
      <c r="AL25" s="5">
        <v>160.29</v>
      </c>
    </row>
    <row r="26" spans="1:38" x14ac:dyDescent="0.25">
      <c r="A26" s="6">
        <v>25</v>
      </c>
      <c r="B26" s="5">
        <v>22</v>
      </c>
      <c r="C26" s="6" t="s">
        <v>147</v>
      </c>
      <c r="D26" s="6" t="s">
        <v>148</v>
      </c>
      <c r="E26" s="6" t="s">
        <v>22</v>
      </c>
      <c r="F26" s="6">
        <v>2020</v>
      </c>
      <c r="G26" s="6" t="s">
        <v>23</v>
      </c>
      <c r="H26" s="6" t="s">
        <v>24</v>
      </c>
      <c r="I26" s="6">
        <v>8.1652780000000007</v>
      </c>
      <c r="J26" s="6">
        <v>38.054443999999997</v>
      </c>
      <c r="K26" s="6" t="s">
        <v>149</v>
      </c>
      <c r="L26" s="7">
        <v>3860000</v>
      </c>
      <c r="M26" s="7">
        <v>7324</v>
      </c>
      <c r="N26" s="6" t="s">
        <v>41</v>
      </c>
      <c r="O26" s="6" t="s">
        <v>150</v>
      </c>
      <c r="P26" s="6" t="s">
        <v>96</v>
      </c>
      <c r="Q26" s="6">
        <v>1874</v>
      </c>
      <c r="R26" s="6">
        <v>15.6</v>
      </c>
      <c r="S26" s="6" t="s">
        <v>151</v>
      </c>
      <c r="T26" s="5" t="s">
        <v>55</v>
      </c>
      <c r="U26" s="6" t="s">
        <v>56</v>
      </c>
      <c r="V26" s="6" t="s">
        <v>32</v>
      </c>
      <c r="W26" s="6" t="s">
        <v>33</v>
      </c>
      <c r="X26" s="6" t="s">
        <v>34</v>
      </c>
      <c r="Y26" s="6" t="s">
        <v>35</v>
      </c>
      <c r="Z26" s="6" t="s">
        <v>36</v>
      </c>
      <c r="AA26" s="6" t="s">
        <v>36</v>
      </c>
      <c r="AB26" s="6" t="s">
        <v>36</v>
      </c>
      <c r="AC26" s="6" t="s">
        <v>36</v>
      </c>
      <c r="AD26" s="6">
        <v>156</v>
      </c>
      <c r="AE26" s="6">
        <f>AD26*AL26</f>
        <v>93.6</v>
      </c>
      <c r="AF26" s="6">
        <f>AE26*3.67</f>
        <v>343.512</v>
      </c>
      <c r="AG26" s="6">
        <f>AF26/AL26</f>
        <v>572.52</v>
      </c>
      <c r="AH26" s="6">
        <v>332.3</v>
      </c>
      <c r="AI26" s="6">
        <f>AH26*AL26</f>
        <v>199.38</v>
      </c>
      <c r="AJ26" s="6">
        <v>276.89999999999998</v>
      </c>
      <c r="AK26" s="6">
        <v>55.4</v>
      </c>
      <c r="AL26" s="6">
        <v>0.6</v>
      </c>
    </row>
    <row r="27" spans="1:38" x14ac:dyDescent="0.25">
      <c r="A27" s="6">
        <v>26</v>
      </c>
      <c r="B27" s="5">
        <v>23</v>
      </c>
      <c r="C27" s="6" t="s">
        <v>152</v>
      </c>
      <c r="D27" s="6" t="s">
        <v>153</v>
      </c>
      <c r="E27" s="6" t="s">
        <v>22</v>
      </c>
      <c r="F27" s="6">
        <v>2024</v>
      </c>
      <c r="G27" s="6" t="s">
        <v>23</v>
      </c>
      <c r="H27" s="6" t="s">
        <v>24</v>
      </c>
      <c r="I27" s="6">
        <v>9.0783889999999996</v>
      </c>
      <c r="J27" s="6">
        <v>38.759208000000001</v>
      </c>
      <c r="K27" s="6" t="s">
        <v>149</v>
      </c>
      <c r="L27" s="7">
        <v>3860000</v>
      </c>
      <c r="M27" s="7">
        <v>7324</v>
      </c>
      <c r="N27" s="6" t="s">
        <v>41</v>
      </c>
      <c r="O27" s="6" t="s">
        <v>150</v>
      </c>
      <c r="P27" s="6" t="s">
        <v>96</v>
      </c>
      <c r="Q27" s="6">
        <v>1165</v>
      </c>
      <c r="R27" s="6">
        <v>17</v>
      </c>
      <c r="S27" s="6" t="s">
        <v>151</v>
      </c>
      <c r="T27" s="5" t="s">
        <v>55</v>
      </c>
      <c r="U27" s="6" t="s">
        <v>56</v>
      </c>
      <c r="V27" s="6" t="s">
        <v>32</v>
      </c>
      <c r="W27" s="6" t="s">
        <v>33</v>
      </c>
      <c r="X27" s="6" t="s">
        <v>34</v>
      </c>
      <c r="Y27" s="6" t="s">
        <v>35</v>
      </c>
      <c r="Z27" s="6" t="s">
        <v>36</v>
      </c>
      <c r="AA27" s="6" t="s">
        <v>36</v>
      </c>
      <c r="AB27" s="6" t="s">
        <v>36</v>
      </c>
      <c r="AC27" s="6" t="s">
        <v>36</v>
      </c>
      <c r="AD27" s="6">
        <v>64.540000000000006</v>
      </c>
      <c r="AE27" s="6">
        <f>AD27*AL27</f>
        <v>25834.006660000003</v>
      </c>
      <c r="AF27" s="6">
        <f>AE27*3.67</f>
        <v>94810.804442200009</v>
      </c>
      <c r="AG27" s="6">
        <f>AF27/AL27</f>
        <v>236.86180000000002</v>
      </c>
      <c r="AH27" s="6">
        <v>136.56</v>
      </c>
      <c r="AI27" s="6">
        <f>AH27*AL27</f>
        <v>54662.10024</v>
      </c>
      <c r="AJ27" s="6">
        <v>114.28</v>
      </c>
      <c r="AK27" s="6">
        <v>22.28</v>
      </c>
      <c r="AL27" s="6">
        <v>400.279</v>
      </c>
    </row>
    <row r="28" spans="1:38" x14ac:dyDescent="0.25">
      <c r="A28" s="6">
        <v>27</v>
      </c>
      <c r="B28" s="5">
        <v>24</v>
      </c>
      <c r="C28" s="6" t="s">
        <v>154</v>
      </c>
      <c r="D28" s="6" t="s">
        <v>155</v>
      </c>
      <c r="E28" s="6" t="s">
        <v>22</v>
      </c>
      <c r="F28" s="6">
        <v>2019</v>
      </c>
      <c r="G28" s="6" t="s">
        <v>23</v>
      </c>
      <c r="H28" s="6" t="s">
        <v>24</v>
      </c>
      <c r="I28" s="6">
        <v>10.296523000000001</v>
      </c>
      <c r="J28" s="6">
        <v>123.8986</v>
      </c>
      <c r="K28" s="6" t="s">
        <v>156</v>
      </c>
      <c r="L28" s="7">
        <v>964169</v>
      </c>
      <c r="M28" s="6">
        <v>3314</v>
      </c>
      <c r="N28" s="6" t="s">
        <v>26</v>
      </c>
      <c r="O28" s="6" t="s">
        <v>157</v>
      </c>
      <c r="P28" s="6" t="s">
        <v>28</v>
      </c>
      <c r="Q28" s="6">
        <v>1607</v>
      </c>
      <c r="R28" s="6">
        <v>27.5</v>
      </c>
      <c r="S28" s="6" t="s">
        <v>54</v>
      </c>
      <c r="T28" s="6" t="s">
        <v>45</v>
      </c>
      <c r="U28" s="6" t="s">
        <v>31</v>
      </c>
      <c r="V28" s="6" t="s">
        <v>158</v>
      </c>
      <c r="W28" s="6" t="s">
        <v>46</v>
      </c>
      <c r="X28" s="6" t="s">
        <v>34</v>
      </c>
      <c r="Y28" s="6" t="s">
        <v>47</v>
      </c>
      <c r="Z28" s="6">
        <f>AA28*AL28</f>
        <v>15.592499999999998</v>
      </c>
      <c r="AA28" s="6">
        <v>9.4499999999999993</v>
      </c>
      <c r="AB28" s="6">
        <f>Z28*3.67</f>
        <v>57.224474999999991</v>
      </c>
      <c r="AC28" s="6">
        <f>AA28*3.67</f>
        <v>34.6815</v>
      </c>
      <c r="AD28" s="6">
        <f>87.81*1.24</f>
        <v>108.8844</v>
      </c>
      <c r="AE28" s="6">
        <f>AD28*AL28</f>
        <v>179.65925999999999</v>
      </c>
      <c r="AF28" s="6">
        <f>AE28*3.67</f>
        <v>659.34948419999989</v>
      </c>
      <c r="AG28" s="6">
        <f>AF28/AL28</f>
        <v>399.60574799999995</v>
      </c>
      <c r="AH28" s="5">
        <f>AJ28+AK28</f>
        <v>241.96119999999999</v>
      </c>
      <c r="AI28" s="5">
        <f>AH28*AL28</f>
        <v>399.23597999999998</v>
      </c>
      <c r="AJ28" s="6">
        <v>195.13</v>
      </c>
      <c r="AK28" s="5">
        <f t="shared" ref="AK28:AK30" si="7">AJ28*0.24</f>
        <v>46.831199999999995</v>
      </c>
      <c r="AL28" s="6">
        <v>1.65</v>
      </c>
    </row>
    <row r="29" spans="1:38" x14ac:dyDescent="0.25">
      <c r="A29" s="6">
        <v>28</v>
      </c>
      <c r="B29" s="5">
        <v>25</v>
      </c>
      <c r="C29" s="6" t="s">
        <v>159</v>
      </c>
      <c r="D29" s="6" t="s">
        <v>160</v>
      </c>
      <c r="E29" s="6" t="s">
        <v>22</v>
      </c>
      <c r="F29" s="6">
        <v>2019</v>
      </c>
      <c r="G29" s="6" t="s">
        <v>23</v>
      </c>
      <c r="H29" s="6" t="s">
        <v>24</v>
      </c>
      <c r="I29" s="6">
        <v>1.3122499999999999</v>
      </c>
      <c r="J29" s="6">
        <v>103.910861</v>
      </c>
      <c r="K29" s="6" t="s">
        <v>161</v>
      </c>
      <c r="L29" s="7">
        <v>6111175</v>
      </c>
      <c r="M29" s="7">
        <v>8681</v>
      </c>
      <c r="N29" s="6" t="s">
        <v>26</v>
      </c>
      <c r="O29" s="6" t="s">
        <v>161</v>
      </c>
      <c r="P29" s="6" t="s">
        <v>53</v>
      </c>
      <c r="Q29" s="6">
        <v>2166</v>
      </c>
      <c r="R29" s="6">
        <v>28</v>
      </c>
      <c r="S29" s="6" t="s">
        <v>54</v>
      </c>
      <c r="T29" s="6" t="s">
        <v>45</v>
      </c>
      <c r="U29" s="6" t="s">
        <v>31</v>
      </c>
      <c r="V29" s="6" t="s">
        <v>162</v>
      </c>
      <c r="W29" s="6" t="s">
        <v>33</v>
      </c>
      <c r="X29" s="6" t="s">
        <v>34</v>
      </c>
      <c r="Y29" s="6" t="s">
        <v>47</v>
      </c>
      <c r="Z29" s="6">
        <v>3700</v>
      </c>
      <c r="AA29" s="6" t="s">
        <v>36</v>
      </c>
      <c r="AB29" s="6">
        <f>Z29*3.67</f>
        <v>13579</v>
      </c>
      <c r="AC29" s="6" t="s">
        <v>36</v>
      </c>
      <c r="AD29" s="6" t="s">
        <v>36</v>
      </c>
      <c r="AE29" s="6">
        <f>AI29*0.47</f>
        <v>21.726970496</v>
      </c>
      <c r="AF29" s="6">
        <f>AE29*3.67</f>
        <v>79.737981720319993</v>
      </c>
      <c r="AG29" s="6" t="s">
        <v>36</v>
      </c>
      <c r="AH29" s="5" t="s">
        <v>36</v>
      </c>
      <c r="AI29" s="5">
        <f>(37.28032)+(37.28032*0.24)</f>
        <v>46.227596800000001</v>
      </c>
      <c r="AJ29" s="6" t="s">
        <v>163</v>
      </c>
      <c r="AK29" s="5" t="s">
        <v>36</v>
      </c>
      <c r="AL29" s="6" t="s">
        <v>36</v>
      </c>
    </row>
    <row r="30" spans="1:38" x14ac:dyDescent="0.25">
      <c r="A30" s="6">
        <v>29</v>
      </c>
      <c r="B30" s="5">
        <v>26</v>
      </c>
      <c r="C30" s="6" t="s">
        <v>164</v>
      </c>
      <c r="D30" s="6" t="s">
        <v>165</v>
      </c>
      <c r="E30" s="6" t="s">
        <v>22</v>
      </c>
      <c r="F30" s="6">
        <v>2023</v>
      </c>
      <c r="G30" s="6" t="s">
        <v>23</v>
      </c>
      <c r="H30" s="6" t="s">
        <v>24</v>
      </c>
      <c r="I30" s="6">
        <v>19.546806</v>
      </c>
      <c r="J30" s="6">
        <v>-96.950417000000002</v>
      </c>
      <c r="K30" s="6" t="s">
        <v>166</v>
      </c>
      <c r="L30" s="7">
        <v>488531</v>
      </c>
      <c r="M30" s="7">
        <v>3920</v>
      </c>
      <c r="N30" s="6" t="s">
        <v>86</v>
      </c>
      <c r="O30" s="6" t="s">
        <v>92</v>
      </c>
      <c r="P30" s="6" t="s">
        <v>167</v>
      </c>
      <c r="Q30" s="6">
        <v>1591</v>
      </c>
      <c r="R30" s="6">
        <v>19</v>
      </c>
      <c r="S30" s="6" t="s">
        <v>54</v>
      </c>
      <c r="T30" s="5" t="s">
        <v>55</v>
      </c>
      <c r="U30" s="6" t="s">
        <v>56</v>
      </c>
      <c r="V30" s="6" t="s">
        <v>32</v>
      </c>
      <c r="W30" s="6" t="s">
        <v>46</v>
      </c>
      <c r="X30" s="6" t="s">
        <v>34</v>
      </c>
      <c r="Y30" s="6" t="s">
        <v>47</v>
      </c>
      <c r="Z30" s="6" t="s">
        <v>36</v>
      </c>
      <c r="AA30" s="6" t="s">
        <v>36</v>
      </c>
      <c r="AB30" s="6" t="s">
        <v>36</v>
      </c>
      <c r="AC30" s="6" t="s">
        <v>36</v>
      </c>
      <c r="AD30" s="6">
        <f>263.99*1.24</f>
        <v>327.3476</v>
      </c>
      <c r="AE30" s="6">
        <f>AD30*AL30</f>
        <v>4910.2139999999999</v>
      </c>
      <c r="AF30" s="6">
        <f>AE30*3.67</f>
        <v>18020.485379999998</v>
      </c>
      <c r="AG30" s="6">
        <v>967.37</v>
      </c>
      <c r="AH30" s="5">
        <f>AJ30+AK30</f>
        <v>654.6952</v>
      </c>
      <c r="AI30" s="5">
        <f>AH30*AL30</f>
        <v>9820.4279999999999</v>
      </c>
      <c r="AJ30" s="6">
        <v>527.98</v>
      </c>
      <c r="AK30" s="5">
        <f t="shared" si="7"/>
        <v>126.7152</v>
      </c>
      <c r="AL30" s="6">
        <v>15</v>
      </c>
    </row>
    <row r="31" spans="1:38" x14ac:dyDescent="0.25">
      <c r="A31" s="6">
        <v>30</v>
      </c>
      <c r="B31" s="5">
        <v>27</v>
      </c>
      <c r="C31" s="6" t="s">
        <v>168</v>
      </c>
      <c r="D31" s="6" t="s">
        <v>169</v>
      </c>
      <c r="E31" s="6" t="s">
        <v>22</v>
      </c>
      <c r="F31" s="6">
        <v>2018</v>
      </c>
      <c r="G31" s="6" t="s">
        <v>50</v>
      </c>
      <c r="H31" s="6" t="s">
        <v>39</v>
      </c>
      <c r="I31" s="6">
        <v>-8.6636769999999999</v>
      </c>
      <c r="J31" s="6">
        <v>115.22344699999999</v>
      </c>
      <c r="K31" s="6" t="s">
        <v>170</v>
      </c>
      <c r="L31" s="7">
        <v>788589</v>
      </c>
      <c r="M31" s="7">
        <v>6272</v>
      </c>
      <c r="N31" s="6" t="s">
        <v>26</v>
      </c>
      <c r="O31" s="6" t="s">
        <v>67</v>
      </c>
      <c r="P31" s="6" t="s">
        <v>102</v>
      </c>
      <c r="Q31" s="6">
        <v>1642</v>
      </c>
      <c r="R31" s="6">
        <v>26</v>
      </c>
      <c r="S31" s="6" t="s">
        <v>54</v>
      </c>
      <c r="T31" s="6" t="s">
        <v>45</v>
      </c>
      <c r="U31" s="6" t="s">
        <v>74</v>
      </c>
      <c r="V31" s="6" t="s">
        <v>171</v>
      </c>
      <c r="W31" s="6" t="s">
        <v>172</v>
      </c>
      <c r="X31" s="6" t="s">
        <v>173</v>
      </c>
      <c r="Y31" s="6" t="s">
        <v>47</v>
      </c>
      <c r="Z31" s="6">
        <f>((1995*7102.04)+(2003*15607.49)+(2014*22274.93))/(1995+2003+2014)</f>
        <v>15018.642929141715</v>
      </c>
      <c r="AA31" s="6">
        <f>Z31/AL31</f>
        <v>2.9751741558975615</v>
      </c>
      <c r="AB31" s="6">
        <f>Z31*3.67</f>
        <v>55118.419549950093</v>
      </c>
      <c r="AC31" s="6">
        <f>AB31/AL31</f>
        <v>10.91888915214405</v>
      </c>
      <c r="AD31" s="6" t="s">
        <v>36</v>
      </c>
      <c r="AE31" s="6" t="s">
        <v>36</v>
      </c>
      <c r="AF31" s="6" t="s">
        <v>36</v>
      </c>
      <c r="AG31" s="6" t="s">
        <v>36</v>
      </c>
      <c r="AH31" s="6" t="s">
        <v>36</v>
      </c>
      <c r="AI31" s="6" t="s">
        <v>36</v>
      </c>
      <c r="AJ31" s="6" t="s">
        <v>36</v>
      </c>
      <c r="AK31" s="6" t="s">
        <v>36</v>
      </c>
      <c r="AL31" s="6">
        <f>((1995*2396.34)+(2003*5421.87)+(2014*7302.78))/(1995+2003+2014)</f>
        <v>5047.9878293413167</v>
      </c>
    </row>
    <row r="32" spans="1:38" x14ac:dyDescent="0.25">
      <c r="A32" s="6">
        <v>31</v>
      </c>
      <c r="B32" s="5">
        <v>27</v>
      </c>
      <c r="C32" s="6" t="s">
        <v>168</v>
      </c>
      <c r="D32" s="6" t="s">
        <v>169</v>
      </c>
      <c r="E32" s="6" t="s">
        <v>22</v>
      </c>
      <c r="F32" s="6">
        <v>2018</v>
      </c>
      <c r="G32" s="6" t="s">
        <v>50</v>
      </c>
      <c r="H32" s="6" t="s">
        <v>39</v>
      </c>
      <c r="I32" s="6">
        <v>-8.6636769999999999</v>
      </c>
      <c r="J32" s="6">
        <v>115.22344699999999</v>
      </c>
      <c r="K32" s="6" t="s">
        <v>170</v>
      </c>
      <c r="L32" s="7">
        <v>788589</v>
      </c>
      <c r="M32" s="7">
        <v>6272</v>
      </c>
      <c r="N32" s="6" t="s">
        <v>26</v>
      </c>
      <c r="O32" s="6" t="s">
        <v>67</v>
      </c>
      <c r="P32" s="6" t="s">
        <v>102</v>
      </c>
      <c r="Q32" s="6">
        <v>1642</v>
      </c>
      <c r="R32" s="6">
        <v>26</v>
      </c>
      <c r="S32" s="6" t="s">
        <v>54</v>
      </c>
      <c r="T32" s="5" t="s">
        <v>55</v>
      </c>
      <c r="U32" s="6" t="s">
        <v>74</v>
      </c>
      <c r="V32" s="6" t="s">
        <v>171</v>
      </c>
      <c r="W32" s="6" t="s">
        <v>172</v>
      </c>
      <c r="X32" s="6" t="s">
        <v>173</v>
      </c>
      <c r="Y32" s="6" t="s">
        <v>47</v>
      </c>
      <c r="Z32" s="6">
        <f>((1995*8071.18)+(2003*9238.85)+(2014*10268.58))/(1995+2003+2014)</f>
        <v>9196.3308000665347</v>
      </c>
      <c r="AA32" s="6">
        <f>Z32/AL32</f>
        <v>7.2296250521680703</v>
      </c>
      <c r="AB32" s="6">
        <f>Z32*3.67</f>
        <v>33750.534036244178</v>
      </c>
      <c r="AC32" s="6">
        <f>AB32/AL32</f>
        <v>26.532723941456815</v>
      </c>
      <c r="AD32" s="6" t="s">
        <v>36</v>
      </c>
      <c r="AE32" s="6" t="s">
        <v>36</v>
      </c>
      <c r="AF32" s="6" t="s">
        <v>36</v>
      </c>
      <c r="AG32" s="6" t="s">
        <v>36</v>
      </c>
      <c r="AH32" s="6" t="s">
        <v>36</v>
      </c>
      <c r="AI32" s="6" t="s">
        <v>36</v>
      </c>
      <c r="AJ32" s="6" t="s">
        <v>36</v>
      </c>
      <c r="AK32" s="6" t="s">
        <v>36</v>
      </c>
      <c r="AL32" s="6">
        <f>((1995*1382.94)+(2003*1226.43)+(2014*1207.53))/(1995+2003+2014)</f>
        <v>1272.0342664670659</v>
      </c>
    </row>
    <row r="33" spans="1:38" x14ac:dyDescent="0.25">
      <c r="A33" s="6">
        <v>32</v>
      </c>
      <c r="B33" s="5">
        <v>27</v>
      </c>
      <c r="C33" s="6" t="s">
        <v>168</v>
      </c>
      <c r="D33" s="6" t="s">
        <v>169</v>
      </c>
      <c r="E33" s="6" t="s">
        <v>22</v>
      </c>
      <c r="F33" s="6">
        <v>2018</v>
      </c>
      <c r="G33" s="6" t="s">
        <v>50</v>
      </c>
      <c r="H33" s="6" t="s">
        <v>39</v>
      </c>
      <c r="I33" s="6">
        <v>-8.6636769999999999</v>
      </c>
      <c r="J33" s="6">
        <v>115.22344699999999</v>
      </c>
      <c r="K33" s="6" t="s">
        <v>170</v>
      </c>
      <c r="L33" s="7">
        <v>788589</v>
      </c>
      <c r="M33" s="7">
        <v>6272</v>
      </c>
      <c r="N33" s="6" t="s">
        <v>26</v>
      </c>
      <c r="O33" s="6" t="s">
        <v>67</v>
      </c>
      <c r="P33" s="6" t="s">
        <v>102</v>
      </c>
      <c r="Q33" s="6">
        <v>1642</v>
      </c>
      <c r="R33" s="6">
        <v>26</v>
      </c>
      <c r="S33" s="6" t="s">
        <v>54</v>
      </c>
      <c r="T33" s="5" t="s">
        <v>174</v>
      </c>
      <c r="U33" s="6" t="s">
        <v>74</v>
      </c>
      <c r="V33" s="6" t="s">
        <v>171</v>
      </c>
      <c r="W33" s="6" t="s">
        <v>172</v>
      </c>
      <c r="X33" s="6" t="s">
        <v>173</v>
      </c>
      <c r="Y33" s="6" t="s">
        <v>47</v>
      </c>
      <c r="Z33" s="6">
        <f>((1995*46435.93)+(2003*30775.48)+(2014*21271.68))/(1995+2003+2014)</f>
        <v>32788.44482867598</v>
      </c>
      <c r="AA33" s="6">
        <f>Z33/AL33</f>
        <v>5.9237946475047991</v>
      </c>
      <c r="AB33" s="6">
        <f>Z33*3.67</f>
        <v>120333.59252124085</v>
      </c>
      <c r="AC33" s="6">
        <f>AB33/AL33</f>
        <v>21.740326356342614</v>
      </c>
      <c r="AD33" s="6" t="s">
        <v>36</v>
      </c>
      <c r="AE33" s="6" t="s">
        <v>36</v>
      </c>
      <c r="AF33" s="6" t="s">
        <v>36</v>
      </c>
      <c r="AG33" s="6" t="s">
        <v>36</v>
      </c>
      <c r="AH33" s="6" t="s">
        <v>36</v>
      </c>
      <c r="AI33" s="6" t="s">
        <v>36</v>
      </c>
      <c r="AJ33" s="6" t="s">
        <v>36</v>
      </c>
      <c r="AK33" s="6" t="s">
        <v>36</v>
      </c>
      <c r="AL33" s="6">
        <f>((1995*7868.07)+(2003*5239.9)+(2014*3517.55))/(1995+2003+2014)</f>
        <v>5535.040760146373</v>
      </c>
    </row>
    <row r="34" spans="1:38" x14ac:dyDescent="0.25">
      <c r="A34" s="6">
        <v>33</v>
      </c>
      <c r="B34" s="5">
        <v>28</v>
      </c>
      <c r="C34" s="6" t="s">
        <v>175</v>
      </c>
      <c r="D34" s="6" t="s">
        <v>176</v>
      </c>
      <c r="E34" s="6" t="s">
        <v>22</v>
      </c>
      <c r="F34" s="5">
        <v>2024</v>
      </c>
      <c r="G34" s="6" t="s">
        <v>23</v>
      </c>
      <c r="H34" s="6" t="s">
        <v>24</v>
      </c>
      <c r="I34" s="6">
        <v>11.266667</v>
      </c>
      <c r="J34" s="6">
        <v>36.833333000000003</v>
      </c>
      <c r="K34" s="6" t="s">
        <v>177</v>
      </c>
      <c r="L34" s="7">
        <v>218765</v>
      </c>
      <c r="M34" s="6">
        <v>238.2</v>
      </c>
      <c r="N34" s="6" t="s">
        <v>41</v>
      </c>
      <c r="O34" s="6" t="s">
        <v>150</v>
      </c>
      <c r="P34" s="6" t="s">
        <v>53</v>
      </c>
      <c r="Q34" s="6">
        <v>1578</v>
      </c>
      <c r="R34" s="6">
        <v>17</v>
      </c>
      <c r="S34" s="6" t="s">
        <v>151</v>
      </c>
      <c r="T34" s="5" t="s">
        <v>55</v>
      </c>
      <c r="U34" s="6" t="s">
        <v>31</v>
      </c>
      <c r="V34" s="6" t="s">
        <v>32</v>
      </c>
      <c r="W34" s="6" t="s">
        <v>33</v>
      </c>
      <c r="X34" s="6" t="s">
        <v>34</v>
      </c>
      <c r="Y34" s="6" t="s">
        <v>35</v>
      </c>
      <c r="Z34" s="6" t="s">
        <v>36</v>
      </c>
      <c r="AA34" s="6" t="s">
        <v>36</v>
      </c>
      <c r="AB34" s="6" t="s">
        <v>36</v>
      </c>
      <c r="AC34" s="6" t="s">
        <v>36</v>
      </c>
      <c r="AD34" s="6">
        <v>24.96</v>
      </c>
      <c r="AE34" s="6">
        <f>AD34*AL34</f>
        <v>77.625600000000006</v>
      </c>
      <c r="AF34" s="6">
        <f>AE34*3.67</f>
        <v>284.88595200000003</v>
      </c>
      <c r="AG34" s="6">
        <f>AF34/AL34</f>
        <v>91.603200000000015</v>
      </c>
      <c r="AH34" s="6">
        <f>AD34/0.47</f>
        <v>53.10638297872341</v>
      </c>
      <c r="AI34" s="6">
        <f>AE34/0.47</f>
        <v>165.1608510638298</v>
      </c>
      <c r="AJ34" s="6">
        <f>AD34/1.24</f>
        <v>20.129032258064516</v>
      </c>
      <c r="AK34" s="6">
        <f>AJ34*0.24</f>
        <v>4.830967741935484</v>
      </c>
      <c r="AL34" s="6">
        <v>3.11</v>
      </c>
    </row>
    <row r="35" spans="1:38" x14ac:dyDescent="0.25">
      <c r="A35" s="6">
        <v>34</v>
      </c>
      <c r="B35" s="5">
        <v>28</v>
      </c>
      <c r="C35" s="6" t="s">
        <v>175</v>
      </c>
      <c r="D35" s="6" t="s">
        <v>176</v>
      </c>
      <c r="E35" s="6" t="s">
        <v>22</v>
      </c>
      <c r="F35" s="5">
        <v>2024</v>
      </c>
      <c r="G35" s="6" t="s">
        <v>23</v>
      </c>
      <c r="H35" s="6" t="s">
        <v>24</v>
      </c>
      <c r="I35" s="6">
        <v>11.266667</v>
      </c>
      <c r="J35" s="6">
        <v>36.833333000000003</v>
      </c>
      <c r="K35" s="6" t="s">
        <v>177</v>
      </c>
      <c r="L35" s="7">
        <v>218765</v>
      </c>
      <c r="M35" s="6">
        <v>238.2</v>
      </c>
      <c r="N35" s="6" t="s">
        <v>41</v>
      </c>
      <c r="O35" s="6" t="s">
        <v>150</v>
      </c>
      <c r="P35" s="6" t="s">
        <v>53</v>
      </c>
      <c r="Q35" s="6">
        <v>1578</v>
      </c>
      <c r="R35" s="6">
        <v>17</v>
      </c>
      <c r="S35" s="6" t="s">
        <v>151</v>
      </c>
      <c r="T35" s="5" t="s">
        <v>55</v>
      </c>
      <c r="U35" s="6" t="s">
        <v>56</v>
      </c>
      <c r="V35" s="6" t="s">
        <v>32</v>
      </c>
      <c r="W35" s="6" t="s">
        <v>33</v>
      </c>
      <c r="X35" s="6" t="s">
        <v>34</v>
      </c>
      <c r="Y35" s="6" t="s">
        <v>35</v>
      </c>
      <c r="Z35" s="6" t="s">
        <v>36</v>
      </c>
      <c r="AA35" s="6" t="s">
        <v>36</v>
      </c>
      <c r="AB35" s="6" t="s">
        <v>36</v>
      </c>
      <c r="AC35" s="6" t="s">
        <v>36</v>
      </c>
      <c r="AD35" s="6">
        <v>77.38</v>
      </c>
      <c r="AE35" s="6">
        <f>AD35*AL35</f>
        <v>223.62819999999999</v>
      </c>
      <c r="AF35" s="6">
        <f>AE35*3.67</f>
        <v>820.71549399999992</v>
      </c>
      <c r="AG35" s="6">
        <f>AF35/AL35</f>
        <v>283.98459999999994</v>
      </c>
      <c r="AH35" s="6">
        <f t="shared" ref="AH35:AI41" si="8">AD35/0.47</f>
        <v>164.63829787234042</v>
      </c>
      <c r="AI35" s="6">
        <f t="shared" si="8"/>
        <v>475.80468085106384</v>
      </c>
      <c r="AJ35" s="6">
        <f t="shared" ref="AJ35:AJ41" si="9">AD35/1.24</f>
        <v>62.403225806451609</v>
      </c>
      <c r="AK35" s="6">
        <f t="shared" ref="AK35:AK41" si="10">AJ35*0.24</f>
        <v>14.976774193548385</v>
      </c>
      <c r="AL35" s="6">
        <v>2.89</v>
      </c>
    </row>
    <row r="36" spans="1:38" x14ac:dyDescent="0.25">
      <c r="A36" s="6">
        <v>35</v>
      </c>
      <c r="B36" s="5">
        <v>28</v>
      </c>
      <c r="C36" s="6" t="s">
        <v>175</v>
      </c>
      <c r="D36" s="6" t="s">
        <v>176</v>
      </c>
      <c r="E36" s="6" t="s">
        <v>22</v>
      </c>
      <c r="F36" s="5">
        <v>2024</v>
      </c>
      <c r="G36" s="6" t="s">
        <v>23</v>
      </c>
      <c r="H36" s="6" t="s">
        <v>24</v>
      </c>
      <c r="I36" s="6">
        <v>11.266667</v>
      </c>
      <c r="J36" s="6">
        <v>36.833333000000003</v>
      </c>
      <c r="K36" s="6" t="s">
        <v>177</v>
      </c>
      <c r="L36" s="7">
        <v>218765</v>
      </c>
      <c r="M36" s="6">
        <v>238.2</v>
      </c>
      <c r="N36" s="6" t="s">
        <v>41</v>
      </c>
      <c r="O36" s="6" t="s">
        <v>150</v>
      </c>
      <c r="P36" s="6" t="s">
        <v>53</v>
      </c>
      <c r="Q36" s="6">
        <v>1578</v>
      </c>
      <c r="R36" s="6">
        <v>17</v>
      </c>
      <c r="S36" s="6" t="s">
        <v>151</v>
      </c>
      <c r="T36" s="5" t="s">
        <v>55</v>
      </c>
      <c r="U36" s="5" t="s">
        <v>178</v>
      </c>
      <c r="V36" s="6" t="s">
        <v>32</v>
      </c>
      <c r="W36" s="6" t="s">
        <v>33</v>
      </c>
      <c r="X36" s="6" t="s">
        <v>34</v>
      </c>
      <c r="Y36" s="6" t="s">
        <v>35</v>
      </c>
      <c r="Z36" s="6" t="s">
        <v>36</v>
      </c>
      <c r="AA36" s="6" t="s">
        <v>36</v>
      </c>
      <c r="AB36" s="6" t="s">
        <v>36</v>
      </c>
      <c r="AC36" s="6" t="s">
        <v>36</v>
      </c>
      <c r="AD36" s="6">
        <v>46.13</v>
      </c>
      <c r="AE36" s="6">
        <f>AD36*AL36</f>
        <v>178.06180000000001</v>
      </c>
      <c r="AF36" s="6">
        <f>AE36*3.67</f>
        <v>653.486806</v>
      </c>
      <c r="AG36" s="6">
        <f>AF36/AL36</f>
        <v>169.2971</v>
      </c>
      <c r="AH36" s="6">
        <f t="shared" si="8"/>
        <v>98.148936170212778</v>
      </c>
      <c r="AI36" s="6">
        <f t="shared" si="8"/>
        <v>378.85489361702133</v>
      </c>
      <c r="AJ36" s="6">
        <f t="shared" si="9"/>
        <v>37.201612903225808</v>
      </c>
      <c r="AK36" s="6">
        <f t="shared" si="10"/>
        <v>8.928387096774193</v>
      </c>
      <c r="AL36" s="6">
        <v>3.86</v>
      </c>
    </row>
    <row r="37" spans="1:38" x14ac:dyDescent="0.25">
      <c r="A37" s="6">
        <v>36</v>
      </c>
      <c r="B37" s="5">
        <v>29</v>
      </c>
      <c r="C37" s="6" t="s">
        <v>179</v>
      </c>
      <c r="D37" s="6" t="s">
        <v>180</v>
      </c>
      <c r="E37" s="6" t="s">
        <v>22</v>
      </c>
      <c r="F37" s="6">
        <v>2021</v>
      </c>
      <c r="G37" s="6" t="s">
        <v>23</v>
      </c>
      <c r="H37" s="6" t="s">
        <v>24</v>
      </c>
      <c r="I37" s="6">
        <v>10.775556</v>
      </c>
      <c r="J37" s="6">
        <v>106.701944</v>
      </c>
      <c r="K37" s="6" t="s">
        <v>181</v>
      </c>
      <c r="L37" s="7">
        <v>8993082</v>
      </c>
      <c r="M37" s="7">
        <v>4363</v>
      </c>
      <c r="N37" s="6" t="s">
        <v>26</v>
      </c>
      <c r="O37" s="6" t="s">
        <v>182</v>
      </c>
      <c r="P37" s="6" t="s">
        <v>28</v>
      </c>
      <c r="Q37" s="6">
        <v>1909</v>
      </c>
      <c r="R37" s="6">
        <v>27</v>
      </c>
      <c r="S37" s="6" t="s">
        <v>29</v>
      </c>
      <c r="T37" s="6" t="s">
        <v>112</v>
      </c>
      <c r="U37" s="6" t="s">
        <v>74</v>
      </c>
      <c r="V37" s="6" t="s">
        <v>183</v>
      </c>
      <c r="W37" s="6" t="s">
        <v>172</v>
      </c>
      <c r="X37" s="6" t="s">
        <v>173</v>
      </c>
      <c r="Y37" s="6" t="s">
        <v>47</v>
      </c>
      <c r="Z37" s="6">
        <f>AB37/3.67</f>
        <v>8427101.1035422347</v>
      </c>
      <c r="AA37" s="6">
        <f>AC37/3.67</f>
        <v>1.1690929093142215</v>
      </c>
      <c r="AB37" s="6">
        <f>84732.77*365</f>
        <v>30927461.050000001</v>
      </c>
      <c r="AC37" s="6">
        <f>AB37/AL37</f>
        <v>4.2905709771831928</v>
      </c>
      <c r="AD37" s="6" t="s">
        <v>36</v>
      </c>
      <c r="AE37" s="6" t="s">
        <v>36</v>
      </c>
      <c r="AF37" s="6" t="s">
        <v>36</v>
      </c>
      <c r="AG37" s="6" t="s">
        <v>36</v>
      </c>
      <c r="AH37" s="6" t="s">
        <v>36</v>
      </c>
      <c r="AI37" s="6" t="s">
        <v>36</v>
      </c>
      <c r="AJ37" s="6" t="s">
        <v>36</v>
      </c>
      <c r="AK37" s="6" t="s">
        <v>36</v>
      </c>
      <c r="AL37" s="5">
        <v>7208239</v>
      </c>
    </row>
    <row r="38" spans="1:38" x14ac:dyDescent="0.25">
      <c r="A38" s="6">
        <v>37</v>
      </c>
      <c r="B38" s="5">
        <v>30</v>
      </c>
      <c r="C38" s="6" t="s">
        <v>184</v>
      </c>
      <c r="D38" s="6" t="s">
        <v>185</v>
      </c>
      <c r="E38" s="6" t="s">
        <v>22</v>
      </c>
      <c r="F38" s="6">
        <v>2017</v>
      </c>
      <c r="G38" s="6" t="s">
        <v>23</v>
      </c>
      <c r="H38" s="6" t="s">
        <v>24</v>
      </c>
      <c r="I38" s="6">
        <v>6.2319440000000004</v>
      </c>
      <c r="J38" s="6">
        <v>-75.568055999999999</v>
      </c>
      <c r="K38" s="6" t="s">
        <v>186</v>
      </c>
      <c r="L38" s="7">
        <v>2427129</v>
      </c>
      <c r="M38" s="7">
        <v>6475</v>
      </c>
      <c r="N38" s="6" t="s">
        <v>72</v>
      </c>
      <c r="O38" s="6" t="s">
        <v>187</v>
      </c>
      <c r="P38" s="6" t="s">
        <v>167</v>
      </c>
      <c r="Q38" s="6">
        <v>1687</v>
      </c>
      <c r="R38" s="6">
        <v>22.5</v>
      </c>
      <c r="S38" s="6" t="s">
        <v>54</v>
      </c>
      <c r="T38" s="6" t="s">
        <v>45</v>
      </c>
      <c r="U38" s="6" t="s">
        <v>31</v>
      </c>
      <c r="V38" s="6" t="s">
        <v>188</v>
      </c>
      <c r="W38" s="6" t="s">
        <v>189</v>
      </c>
      <c r="X38" s="6" t="s">
        <v>34</v>
      </c>
      <c r="Y38" s="6" t="s">
        <v>35</v>
      </c>
      <c r="Z38" s="6">
        <f>AB38/3.67</f>
        <v>565.94005449591282</v>
      </c>
      <c r="AA38" s="6">
        <f>AC38/3.67</f>
        <v>0.26286114932462279</v>
      </c>
      <c r="AB38" s="6">
        <v>2077</v>
      </c>
      <c r="AC38" s="6">
        <f>AB38/AL38</f>
        <v>0.96470041802136552</v>
      </c>
      <c r="AD38" s="6">
        <f>AE38/AL38</f>
        <v>13.139260723583215</v>
      </c>
      <c r="AE38" s="6">
        <f>AF38/3.67</f>
        <v>28288.82833787466</v>
      </c>
      <c r="AF38" s="6">
        <v>103820</v>
      </c>
      <c r="AG38" s="6">
        <f>AF38/AL38</f>
        <v>48.221086855550396</v>
      </c>
      <c r="AH38" s="6">
        <f t="shared" si="8"/>
        <v>27.955873879964287</v>
      </c>
      <c r="AI38" s="6">
        <f t="shared" si="8"/>
        <v>60188.996463563111</v>
      </c>
      <c r="AJ38" s="6">
        <f t="shared" si="9"/>
        <v>10.596178002889689</v>
      </c>
      <c r="AK38" s="6">
        <f t="shared" si="10"/>
        <v>2.5430827206935254</v>
      </c>
      <c r="AL38" s="6">
        <v>2153</v>
      </c>
    </row>
    <row r="39" spans="1:38" x14ac:dyDescent="0.25">
      <c r="A39" s="6">
        <v>38</v>
      </c>
      <c r="B39" s="5">
        <v>31</v>
      </c>
      <c r="C39" s="6" t="s">
        <v>190</v>
      </c>
      <c r="D39" s="6" t="s">
        <v>191</v>
      </c>
      <c r="E39" s="6" t="s">
        <v>22</v>
      </c>
      <c r="F39" s="6">
        <v>2021</v>
      </c>
      <c r="G39" s="6" t="s">
        <v>50</v>
      </c>
      <c r="H39" s="6" t="s">
        <v>24</v>
      </c>
      <c r="I39" s="6">
        <v>22.574999999999999</v>
      </c>
      <c r="J39" s="6">
        <v>90.775000000000006</v>
      </c>
      <c r="K39" s="5" t="s">
        <v>192</v>
      </c>
      <c r="L39" s="7">
        <v>203451</v>
      </c>
      <c r="M39" s="7">
        <v>9547</v>
      </c>
      <c r="N39" s="5" t="s">
        <v>26</v>
      </c>
      <c r="O39" s="6" t="s">
        <v>193</v>
      </c>
      <c r="P39" s="6" t="s">
        <v>102</v>
      </c>
      <c r="Q39" s="6">
        <v>3207</v>
      </c>
      <c r="R39" s="6">
        <v>26.2</v>
      </c>
      <c r="S39" s="6" t="s">
        <v>29</v>
      </c>
      <c r="T39" s="5" t="s">
        <v>55</v>
      </c>
      <c r="U39" s="5" t="s">
        <v>178</v>
      </c>
      <c r="V39" s="6" t="s">
        <v>194</v>
      </c>
      <c r="W39" s="6" t="s">
        <v>172</v>
      </c>
      <c r="X39" s="6" t="s">
        <v>173</v>
      </c>
      <c r="Y39" s="6" t="s">
        <v>35</v>
      </c>
      <c r="Z39" s="6" t="s">
        <v>36</v>
      </c>
      <c r="AA39" s="6">
        <f>(((1000000*27.15)/242600) - ((1000000*23.85)/144110))/30</f>
        <v>-1.7861988040074044</v>
      </c>
      <c r="AB39" s="6" t="s">
        <v>36</v>
      </c>
      <c r="AC39" s="6" t="s">
        <v>36</v>
      </c>
      <c r="AD39" s="6">
        <f>AE39/AL39</f>
        <v>135.75913172250333</v>
      </c>
      <c r="AE39" s="6">
        <f>(((1988*23.85)+(1998*25.23)+(2008*25.01)+(2018*27.15))/(1988+1998+2008+2018))*1000000</f>
        <v>25316040.93859211</v>
      </c>
      <c r="AF39" s="6">
        <f t="shared" ref="AF39:AF53" si="11">AE39*3.67</f>
        <v>92909870.244633034</v>
      </c>
      <c r="AG39" s="6">
        <f>AF39/AL39</f>
        <v>498.23601342158719</v>
      </c>
      <c r="AH39" s="6">
        <f t="shared" si="8"/>
        <v>288.84921643085818</v>
      </c>
      <c r="AI39" s="6">
        <f t="shared" si="8"/>
        <v>53863916.890621513</v>
      </c>
      <c r="AJ39" s="6">
        <f t="shared" si="9"/>
        <v>109.48317074395429</v>
      </c>
      <c r="AK39" s="6">
        <f t="shared" si="10"/>
        <v>26.27596097854903</v>
      </c>
      <c r="AL39" s="9">
        <f>((1988*144110)+(1998*178640)+(2008*179820)+(2018*242600))/(1988+1998+2008+2018)</f>
        <v>186477.62855716425</v>
      </c>
    </row>
    <row r="40" spans="1:38" x14ac:dyDescent="0.25">
      <c r="A40" s="6">
        <v>39</v>
      </c>
      <c r="B40" s="5">
        <v>32</v>
      </c>
      <c r="C40" s="6" t="s">
        <v>195</v>
      </c>
      <c r="D40" s="6" t="s">
        <v>196</v>
      </c>
      <c r="E40" s="6" t="s">
        <v>22</v>
      </c>
      <c r="F40" s="6">
        <v>2009</v>
      </c>
      <c r="G40" s="6" t="s">
        <v>23</v>
      </c>
      <c r="H40" s="6" t="s">
        <v>24</v>
      </c>
      <c r="I40" s="6">
        <v>23.155556000000001</v>
      </c>
      <c r="J40" s="6">
        <v>77.366944000000004</v>
      </c>
      <c r="K40" s="6" t="s">
        <v>116</v>
      </c>
      <c r="L40" s="7">
        <v>1798218</v>
      </c>
      <c r="M40" s="7">
        <v>6290</v>
      </c>
      <c r="N40" s="5" t="s">
        <v>26</v>
      </c>
      <c r="O40" s="6" t="s">
        <v>27</v>
      </c>
      <c r="P40" s="6" t="s">
        <v>43</v>
      </c>
      <c r="Q40" s="6">
        <v>1074</v>
      </c>
      <c r="R40" s="6">
        <v>25.3</v>
      </c>
      <c r="S40" s="6" t="s">
        <v>108</v>
      </c>
      <c r="T40" s="5" t="s">
        <v>55</v>
      </c>
      <c r="U40" s="5" t="s">
        <v>178</v>
      </c>
      <c r="V40" s="6" t="s">
        <v>32</v>
      </c>
      <c r="W40" s="6" t="s">
        <v>33</v>
      </c>
      <c r="X40" s="6" t="s">
        <v>34</v>
      </c>
      <c r="Y40" s="6" t="s">
        <v>47</v>
      </c>
      <c r="Z40" s="6" t="s">
        <v>36</v>
      </c>
      <c r="AA40" s="6" t="s">
        <v>36</v>
      </c>
      <c r="AB40" s="6" t="s">
        <v>36</v>
      </c>
      <c r="AC40" s="6" t="s">
        <v>36</v>
      </c>
      <c r="AD40" s="6">
        <f>12.544*1.24</f>
        <v>15.55456</v>
      </c>
      <c r="AE40" s="6">
        <f>AD40*AL40</f>
        <v>24249.55904</v>
      </c>
      <c r="AF40" s="6">
        <f t="shared" si="11"/>
        <v>88995.881676799996</v>
      </c>
      <c r="AG40" s="6">
        <f>AF40/AL40</f>
        <v>57.0852352</v>
      </c>
      <c r="AH40" s="6">
        <f t="shared" si="8"/>
        <v>33.094808510638302</v>
      </c>
      <c r="AI40" s="6">
        <f t="shared" si="8"/>
        <v>51594.806468085109</v>
      </c>
      <c r="AJ40" s="6">
        <f>AD40/0.47</f>
        <v>33.094808510638302</v>
      </c>
      <c r="AK40" s="6">
        <f t="shared" si="10"/>
        <v>7.942754042553192</v>
      </c>
      <c r="AL40" s="6">
        <v>1559</v>
      </c>
    </row>
    <row r="41" spans="1:38" x14ac:dyDescent="0.25">
      <c r="A41" s="6">
        <v>40</v>
      </c>
      <c r="B41" s="5">
        <v>33</v>
      </c>
      <c r="C41" s="6" t="s">
        <v>197</v>
      </c>
      <c r="D41" s="6" t="s">
        <v>198</v>
      </c>
      <c r="E41" s="6" t="s">
        <v>22</v>
      </c>
      <c r="F41" s="6">
        <v>2024</v>
      </c>
      <c r="G41" s="6" t="s">
        <v>23</v>
      </c>
      <c r="H41" s="6" t="s">
        <v>24</v>
      </c>
      <c r="I41" s="6">
        <v>16.478860999999998</v>
      </c>
      <c r="J41" s="6">
        <v>120.586167</v>
      </c>
      <c r="K41" s="6" t="s">
        <v>199</v>
      </c>
      <c r="L41" s="7">
        <v>137404</v>
      </c>
      <c r="M41" s="7">
        <v>1951</v>
      </c>
      <c r="N41" s="5" t="s">
        <v>26</v>
      </c>
      <c r="O41" s="6" t="s">
        <v>157</v>
      </c>
      <c r="P41" s="6" t="s">
        <v>102</v>
      </c>
      <c r="Q41" s="6">
        <v>3463</v>
      </c>
      <c r="R41" s="6">
        <v>21.1</v>
      </c>
      <c r="S41" s="6" t="s">
        <v>97</v>
      </c>
      <c r="T41" s="5" t="s">
        <v>55</v>
      </c>
      <c r="U41" s="5" t="s">
        <v>178</v>
      </c>
      <c r="V41" s="6" t="s">
        <v>200</v>
      </c>
      <c r="W41" s="6" t="s">
        <v>201</v>
      </c>
      <c r="X41" s="6" t="s">
        <v>34</v>
      </c>
      <c r="Y41" s="6" t="s">
        <v>35</v>
      </c>
      <c r="Z41" s="6" t="s">
        <v>36</v>
      </c>
      <c r="AA41" s="6" t="s">
        <v>36</v>
      </c>
      <c r="AB41" s="6" t="s">
        <v>36</v>
      </c>
      <c r="AC41" s="6" t="s">
        <v>36</v>
      </c>
      <c r="AD41" s="6">
        <v>192.54</v>
      </c>
      <c r="AE41" s="6">
        <v>6931.44</v>
      </c>
      <c r="AF41" s="6">
        <f t="shared" si="11"/>
        <v>25438.3848</v>
      </c>
      <c r="AG41" s="6">
        <f>AF41/AL41</f>
        <v>706.62180000000001</v>
      </c>
      <c r="AH41" s="6">
        <f t="shared" si="8"/>
        <v>409.65957446808511</v>
      </c>
      <c r="AI41" s="6">
        <f t="shared" si="8"/>
        <v>14747.744680851063</v>
      </c>
      <c r="AJ41" s="6">
        <f t="shared" si="9"/>
        <v>155.2741935483871</v>
      </c>
      <c r="AK41" s="6">
        <f t="shared" si="10"/>
        <v>37.265806451612903</v>
      </c>
      <c r="AL41" s="6">
        <v>36</v>
      </c>
    </row>
    <row r="42" spans="1:38" x14ac:dyDescent="0.25">
      <c r="A42" s="6">
        <v>41</v>
      </c>
      <c r="B42" s="5">
        <v>34</v>
      </c>
      <c r="C42" s="6" t="s">
        <v>202</v>
      </c>
      <c r="D42" s="6" t="s">
        <v>203</v>
      </c>
      <c r="E42" s="6" t="s">
        <v>22</v>
      </c>
      <c r="F42" s="6">
        <v>2023</v>
      </c>
      <c r="G42" s="6" t="s">
        <v>23</v>
      </c>
      <c r="H42" s="6" t="s">
        <v>24</v>
      </c>
      <c r="I42" s="6">
        <v>23.2</v>
      </c>
      <c r="J42" s="6">
        <v>83.033332999999999</v>
      </c>
      <c r="K42" s="6" t="s">
        <v>204</v>
      </c>
      <c r="L42" s="7">
        <v>121071</v>
      </c>
      <c r="M42" s="7">
        <v>3014</v>
      </c>
      <c r="N42" s="5" t="s">
        <v>26</v>
      </c>
      <c r="O42" s="6" t="s">
        <v>27</v>
      </c>
      <c r="P42" s="6" t="s">
        <v>43</v>
      </c>
      <c r="Q42" s="6">
        <v>1200</v>
      </c>
      <c r="R42" s="6">
        <v>24</v>
      </c>
      <c r="S42" s="6" t="s">
        <v>54</v>
      </c>
      <c r="T42" s="6" t="s">
        <v>45</v>
      </c>
      <c r="U42" s="6" t="s">
        <v>31</v>
      </c>
      <c r="V42" s="6" t="s">
        <v>32</v>
      </c>
      <c r="W42" s="6" t="s">
        <v>201</v>
      </c>
      <c r="X42" s="6" t="s">
        <v>34</v>
      </c>
      <c r="Y42" s="6" t="s">
        <v>47</v>
      </c>
      <c r="Z42" s="6" t="s">
        <v>36</v>
      </c>
      <c r="AA42" s="6" t="s">
        <v>36</v>
      </c>
      <c r="AB42" s="6" t="s">
        <v>36</v>
      </c>
      <c r="AC42" s="6" t="s">
        <v>36</v>
      </c>
      <c r="AD42" s="6">
        <f>189.85*1.24</f>
        <v>235.41399999999999</v>
      </c>
      <c r="AE42" s="6">
        <f>AD42*AL42</f>
        <v>523490111.79999995</v>
      </c>
      <c r="AF42" s="6">
        <f t="shared" si="11"/>
        <v>1921208710.3059998</v>
      </c>
      <c r="AG42" s="6">
        <v>696.77</v>
      </c>
      <c r="AH42" s="5">
        <f>AJ42+AK42</f>
        <v>390.27760000000001</v>
      </c>
      <c r="AI42" s="5">
        <f>AH42*AL42</f>
        <v>867860299.12</v>
      </c>
      <c r="AJ42" s="6">
        <v>314.74</v>
      </c>
      <c r="AK42" s="5">
        <f>AJ42*0.24</f>
        <v>75.537599999999998</v>
      </c>
      <c r="AL42" s="6">
        <v>2223700</v>
      </c>
    </row>
    <row r="43" spans="1:38" x14ac:dyDescent="0.25">
      <c r="A43" s="6">
        <v>42</v>
      </c>
      <c r="B43" s="5">
        <v>35</v>
      </c>
      <c r="C43" s="6" t="s">
        <v>205</v>
      </c>
      <c r="D43" s="6" t="s">
        <v>160</v>
      </c>
      <c r="E43" s="6" t="s">
        <v>22</v>
      </c>
      <c r="F43" s="6">
        <v>2017</v>
      </c>
      <c r="G43" s="6" t="s">
        <v>23</v>
      </c>
      <c r="H43" s="6" t="s">
        <v>24</v>
      </c>
      <c r="I43" s="6">
        <v>8.75</v>
      </c>
      <c r="J43" s="6">
        <v>38.65</v>
      </c>
      <c r="K43" s="6" t="s">
        <v>149</v>
      </c>
      <c r="L43" s="7">
        <v>3860000</v>
      </c>
      <c r="M43" s="7">
        <v>7324</v>
      </c>
      <c r="N43" s="6" t="s">
        <v>41</v>
      </c>
      <c r="O43" s="6" t="s">
        <v>150</v>
      </c>
      <c r="P43" s="6" t="s">
        <v>96</v>
      </c>
      <c r="Q43" s="6">
        <v>1874</v>
      </c>
      <c r="R43" s="6">
        <v>15.6</v>
      </c>
      <c r="S43" s="6" t="s">
        <v>151</v>
      </c>
      <c r="T43" s="5" t="s">
        <v>55</v>
      </c>
      <c r="U43" s="5" t="s">
        <v>178</v>
      </c>
      <c r="V43" s="6" t="s">
        <v>32</v>
      </c>
      <c r="W43" s="6" t="s">
        <v>201</v>
      </c>
      <c r="X43" s="6" t="s">
        <v>34</v>
      </c>
      <c r="Y43" s="6" t="s">
        <v>35</v>
      </c>
      <c r="Z43" s="6" t="s">
        <v>36</v>
      </c>
      <c r="AA43" s="6" t="s">
        <v>36</v>
      </c>
      <c r="AB43" s="6" t="s">
        <v>36</v>
      </c>
      <c r="AC43" s="6" t="s">
        <v>36</v>
      </c>
      <c r="AD43" s="6">
        <v>171</v>
      </c>
      <c r="AE43" s="6">
        <v>552415</v>
      </c>
      <c r="AF43" s="6">
        <f t="shared" si="11"/>
        <v>2027363.05</v>
      </c>
      <c r="AG43" s="6">
        <f>AF43/AL43</f>
        <v>628.25009296560279</v>
      </c>
      <c r="AH43" s="6">
        <f>AI43/AL43</f>
        <v>342.37682057638676</v>
      </c>
      <c r="AI43" s="6">
        <v>1104850</v>
      </c>
      <c r="AJ43" s="6">
        <f>905615/AL43</f>
        <v>280.6368143786799</v>
      </c>
      <c r="AK43" s="6">
        <f>199235/AL43</f>
        <v>61.740006197706848</v>
      </c>
      <c r="AL43" s="6">
        <v>3227</v>
      </c>
    </row>
    <row r="44" spans="1:38" x14ac:dyDescent="0.25">
      <c r="A44" s="6">
        <v>43</v>
      </c>
      <c r="B44" s="5">
        <v>36</v>
      </c>
      <c r="C44" s="6" t="s">
        <v>206</v>
      </c>
      <c r="D44" s="6" t="s">
        <v>207</v>
      </c>
      <c r="E44" s="6" t="s">
        <v>22</v>
      </c>
      <c r="F44" s="6">
        <v>2023</v>
      </c>
      <c r="G44" s="6" t="s">
        <v>50</v>
      </c>
      <c r="H44" s="6" t="s">
        <v>24</v>
      </c>
      <c r="I44" s="6">
        <v>6.6678009999999999</v>
      </c>
      <c r="J44" s="6">
        <v>2.1480250000000001</v>
      </c>
      <c r="K44" s="6" t="s">
        <v>208</v>
      </c>
      <c r="L44" s="7">
        <v>127512</v>
      </c>
      <c r="M44" s="6">
        <v>334.7</v>
      </c>
      <c r="N44" s="6" t="s">
        <v>41</v>
      </c>
      <c r="O44" s="6" t="s">
        <v>209</v>
      </c>
      <c r="P44" s="6" t="s">
        <v>28</v>
      </c>
      <c r="Q44" s="6">
        <v>1353</v>
      </c>
      <c r="R44" s="6">
        <v>26.3</v>
      </c>
      <c r="S44" s="6" t="s">
        <v>44</v>
      </c>
      <c r="T44" s="5" t="s">
        <v>55</v>
      </c>
      <c r="U44" s="6" t="s">
        <v>74</v>
      </c>
      <c r="V44" s="6" t="s">
        <v>210</v>
      </c>
      <c r="W44" s="6" t="s">
        <v>172</v>
      </c>
      <c r="X44" s="6" t="s">
        <v>173</v>
      </c>
      <c r="Y44" s="6" t="s">
        <v>35</v>
      </c>
      <c r="Z44" s="6" t="s">
        <v>36</v>
      </c>
      <c r="AA44" s="6" t="s">
        <v>36</v>
      </c>
      <c r="AB44" s="6" t="s">
        <v>36</v>
      </c>
      <c r="AC44" s="6" t="s">
        <v>36</v>
      </c>
      <c r="AD44" s="6">
        <f>AE44/AL44</f>
        <v>48.628631487168207</v>
      </c>
      <c r="AE44" s="6">
        <f>(((1752*12511)+(1491*19106)+(171*612))/(12511+19106+612))*1000</f>
        <v>1567252.1641999441</v>
      </c>
      <c r="AF44" s="6">
        <f t="shared" si="11"/>
        <v>5751815.4426137945</v>
      </c>
      <c r="AG44" s="6">
        <f>AF44/AL44</f>
        <v>178.46707755790732</v>
      </c>
      <c r="AH44" s="6">
        <f>AJ44+AK44</f>
        <v>105.88463805889106</v>
      </c>
      <c r="AI44" s="6">
        <f>AH44*AL44</f>
        <v>3412556</v>
      </c>
      <c r="AJ44" s="6">
        <f>((113*12511)+(63*19106)+(225*612))/(12511+19106+612)</f>
        <v>85.485773682087554</v>
      </c>
      <c r="AK44" s="6">
        <f>((27*12511)+(15*19106)+(54*612))/(12511+19106+612)</f>
        <v>20.398864376803498</v>
      </c>
      <c r="AL44" s="6">
        <f>12511+19106+612</f>
        <v>32229</v>
      </c>
    </row>
    <row r="45" spans="1:38" x14ac:dyDescent="0.25">
      <c r="A45" s="6">
        <v>44</v>
      </c>
      <c r="B45" s="5">
        <v>36</v>
      </c>
      <c r="C45" s="6" t="s">
        <v>206</v>
      </c>
      <c r="D45" s="6" t="s">
        <v>207</v>
      </c>
      <c r="E45" s="6" t="s">
        <v>22</v>
      </c>
      <c r="F45" s="6">
        <v>2023</v>
      </c>
      <c r="G45" s="6" t="s">
        <v>50</v>
      </c>
      <c r="H45" s="6" t="s">
        <v>24</v>
      </c>
      <c r="I45" s="6">
        <v>6.6678009999999999</v>
      </c>
      <c r="J45" s="6">
        <v>2.1480250000000001</v>
      </c>
      <c r="K45" s="6" t="s">
        <v>208</v>
      </c>
      <c r="L45" s="7">
        <v>127512</v>
      </c>
      <c r="M45" s="6">
        <v>334.7</v>
      </c>
      <c r="N45" s="6" t="s">
        <v>41</v>
      </c>
      <c r="O45" s="6" t="s">
        <v>209</v>
      </c>
      <c r="P45" s="6" t="s">
        <v>28</v>
      </c>
      <c r="Q45" s="6">
        <v>1353</v>
      </c>
      <c r="R45" s="6">
        <v>26.3</v>
      </c>
      <c r="S45" s="6" t="s">
        <v>44</v>
      </c>
      <c r="T45" s="5" t="s">
        <v>174</v>
      </c>
      <c r="U45" s="6" t="s">
        <v>74</v>
      </c>
      <c r="V45" s="6" t="s">
        <v>210</v>
      </c>
      <c r="W45" s="6" t="s">
        <v>172</v>
      </c>
      <c r="X45" s="6" t="s">
        <v>173</v>
      </c>
      <c r="Y45" s="6" t="s">
        <v>35</v>
      </c>
      <c r="Z45" s="6" t="s">
        <v>36</v>
      </c>
      <c r="AA45" s="6" t="s">
        <v>36</v>
      </c>
      <c r="AB45" s="6" t="s">
        <v>36</v>
      </c>
      <c r="AC45" s="6" t="s">
        <v>36</v>
      </c>
      <c r="AD45" s="6">
        <f>AE45/AL45</f>
        <v>48.008077841013403</v>
      </c>
      <c r="AE45" s="6">
        <v>523000</v>
      </c>
      <c r="AF45" s="6">
        <f t="shared" si="11"/>
        <v>1919410</v>
      </c>
      <c r="AG45" s="6">
        <f>AF45/AL45</f>
        <v>176.18964567651918</v>
      </c>
      <c r="AH45" s="6">
        <v>48</v>
      </c>
      <c r="AI45" s="6">
        <f>AH45*AL45</f>
        <v>522912</v>
      </c>
      <c r="AJ45" s="6">
        <v>39</v>
      </c>
      <c r="AK45" s="6">
        <v>9</v>
      </c>
      <c r="AL45" s="6">
        <v>10894</v>
      </c>
    </row>
    <row r="46" spans="1:38" x14ac:dyDescent="0.25">
      <c r="A46" s="6">
        <v>45</v>
      </c>
      <c r="B46" s="5">
        <v>37</v>
      </c>
      <c r="C46" s="6" t="s">
        <v>211</v>
      </c>
      <c r="D46" s="6" t="s">
        <v>212</v>
      </c>
      <c r="E46" s="6" t="s">
        <v>22</v>
      </c>
      <c r="F46" s="6">
        <v>2016</v>
      </c>
      <c r="G46" s="6" t="s">
        <v>23</v>
      </c>
      <c r="H46" s="6" t="s">
        <v>24</v>
      </c>
      <c r="I46" s="6">
        <v>4.8714199999999996</v>
      </c>
      <c r="J46" s="6">
        <v>-73.986396999999997</v>
      </c>
      <c r="K46" s="6" t="s">
        <v>213</v>
      </c>
      <c r="L46" s="7">
        <v>7412566</v>
      </c>
      <c r="M46" s="7">
        <v>4567</v>
      </c>
      <c r="N46" s="6" t="s">
        <v>72</v>
      </c>
      <c r="O46" s="6" t="s">
        <v>187</v>
      </c>
      <c r="P46" s="6" t="s">
        <v>214</v>
      </c>
      <c r="Q46" s="6">
        <v>600</v>
      </c>
      <c r="R46" s="6">
        <v>14</v>
      </c>
      <c r="S46" s="6" t="s">
        <v>97</v>
      </c>
      <c r="T46" s="5" t="s">
        <v>55</v>
      </c>
      <c r="U46" s="6" t="s">
        <v>56</v>
      </c>
      <c r="V46" s="6" t="s">
        <v>32</v>
      </c>
      <c r="W46" s="6" t="s">
        <v>201</v>
      </c>
      <c r="X46" s="6" t="s">
        <v>34</v>
      </c>
      <c r="Y46" s="6" t="s">
        <v>47</v>
      </c>
      <c r="Z46" s="6" t="s">
        <v>36</v>
      </c>
      <c r="AA46" s="6" t="s">
        <v>36</v>
      </c>
      <c r="AB46" s="6" t="s">
        <v>36</v>
      </c>
      <c r="AC46" s="6" t="s">
        <v>36</v>
      </c>
      <c r="AD46" s="5">
        <f>(AJ46+AK46)*0.47</f>
        <v>46.198555999999996</v>
      </c>
      <c r="AE46" s="5">
        <f>AD46*AL46</f>
        <v>14.783537919999999</v>
      </c>
      <c r="AF46" s="5">
        <f t="shared" si="11"/>
        <v>54.255584166399991</v>
      </c>
      <c r="AG46" s="5">
        <f t="shared" ref="AG46:AG51" si="12">AD46*3.67</f>
        <v>169.54870051999998</v>
      </c>
      <c r="AH46" s="5">
        <f>AJ46+AK46</f>
        <v>98.294799999999995</v>
      </c>
      <c r="AI46" s="5">
        <f>AH46*AL46</f>
        <v>31.454335999999998</v>
      </c>
      <c r="AJ46" s="6">
        <v>79.27</v>
      </c>
      <c r="AK46" s="5">
        <f>AJ46*0.24</f>
        <v>19.024799999999999</v>
      </c>
      <c r="AL46" s="6">
        <v>0.32</v>
      </c>
    </row>
    <row r="47" spans="1:38" x14ac:dyDescent="0.25">
      <c r="A47" s="6">
        <v>46</v>
      </c>
      <c r="B47" s="5">
        <v>38</v>
      </c>
      <c r="C47" s="6" t="s">
        <v>215</v>
      </c>
      <c r="D47" s="6" t="s">
        <v>216</v>
      </c>
      <c r="E47" s="6" t="s">
        <v>22</v>
      </c>
      <c r="F47" s="6">
        <v>2022</v>
      </c>
      <c r="G47" s="6" t="s">
        <v>50</v>
      </c>
      <c r="H47" s="6" t="s">
        <v>24</v>
      </c>
      <c r="I47" s="6">
        <v>18.159199999999998</v>
      </c>
      <c r="J47" s="6">
        <v>42.397908000000001</v>
      </c>
      <c r="K47" s="6" t="s">
        <v>217</v>
      </c>
      <c r="L47" s="7">
        <v>334290</v>
      </c>
      <c r="M47" s="6">
        <v>61.84</v>
      </c>
      <c r="N47" s="6" t="s">
        <v>26</v>
      </c>
      <c r="O47" s="6" t="s">
        <v>218</v>
      </c>
      <c r="P47" s="6" t="s">
        <v>43</v>
      </c>
      <c r="Q47" s="6">
        <v>245</v>
      </c>
      <c r="R47" s="6">
        <v>20.100000000000001</v>
      </c>
      <c r="S47" s="6" t="s">
        <v>219</v>
      </c>
      <c r="T47" s="6" t="s">
        <v>45</v>
      </c>
      <c r="U47" s="6" t="s">
        <v>31</v>
      </c>
      <c r="V47" s="6" t="s">
        <v>220</v>
      </c>
      <c r="W47" s="6" t="s">
        <v>172</v>
      </c>
      <c r="X47" s="6" t="s">
        <v>173</v>
      </c>
      <c r="Y47" s="6" t="s">
        <v>35</v>
      </c>
      <c r="Z47" s="6" t="s">
        <v>36</v>
      </c>
      <c r="AA47" s="10">
        <f>((80561.01/27124.92) - (18524.96/6237.36))/30</f>
        <v>-7.2246305086546649E-9</v>
      </c>
      <c r="AB47" s="6" t="s">
        <v>36</v>
      </c>
      <c r="AC47" s="6" t="s">
        <v>36</v>
      </c>
      <c r="AD47" s="11">
        <f>AE47/AL47</f>
        <v>2.9708386341410913</v>
      </c>
      <c r="AE47" s="10">
        <f>((1990*18524.96)+(2000*31195.78)+(2020*80561.01))/(1990+2000+2020)</f>
        <v>43592.258003327785</v>
      </c>
      <c r="AF47" s="11">
        <f t="shared" si="11"/>
        <v>159983.58687221297</v>
      </c>
      <c r="AG47" s="5">
        <f t="shared" si="12"/>
        <v>10.902977787297806</v>
      </c>
      <c r="AH47" s="6">
        <f>AD47/0.47</f>
        <v>6.320933264129982</v>
      </c>
      <c r="AI47" s="6">
        <f>AE47/0.47</f>
        <v>92749.485113463379</v>
      </c>
      <c r="AJ47" s="6">
        <f t="shared" ref="AJ47:AJ50" si="13">AD47/1.24</f>
        <v>2.3958376081782995</v>
      </c>
      <c r="AK47" s="6">
        <f t="shared" ref="AK47:AK50" si="14">AJ47*0.24</f>
        <v>0.5750010259627919</v>
      </c>
      <c r="AL47" s="6">
        <f>((1990*6237.36)+(2000*10503.63)+(2018*27124.92))/(1990+2000+2018)</f>
        <v>14673.384647137149</v>
      </c>
    </row>
    <row r="48" spans="1:38" x14ac:dyDescent="0.25">
      <c r="A48" s="6">
        <v>47</v>
      </c>
      <c r="B48" s="5">
        <v>38</v>
      </c>
      <c r="C48" s="6" t="s">
        <v>215</v>
      </c>
      <c r="D48" s="6" t="s">
        <v>216</v>
      </c>
      <c r="E48" s="6" t="s">
        <v>22</v>
      </c>
      <c r="F48" s="6">
        <v>2022</v>
      </c>
      <c r="G48" s="6" t="s">
        <v>50</v>
      </c>
      <c r="H48" s="6" t="s">
        <v>24</v>
      </c>
      <c r="I48" s="6">
        <v>18.159199999999998</v>
      </c>
      <c r="J48" s="6">
        <v>42.397908000000001</v>
      </c>
      <c r="K48" s="6" t="s">
        <v>217</v>
      </c>
      <c r="L48" s="7">
        <v>334290</v>
      </c>
      <c r="M48" s="6">
        <v>61.84</v>
      </c>
      <c r="N48" s="6" t="s">
        <v>26</v>
      </c>
      <c r="O48" s="6" t="s">
        <v>218</v>
      </c>
      <c r="P48" s="6" t="s">
        <v>43</v>
      </c>
      <c r="Q48" s="6">
        <v>245</v>
      </c>
      <c r="R48" s="6">
        <v>20.100000000000001</v>
      </c>
      <c r="S48" s="6" t="s">
        <v>219</v>
      </c>
      <c r="T48" s="5" t="s">
        <v>55</v>
      </c>
      <c r="U48" s="6" t="s">
        <v>56</v>
      </c>
      <c r="V48" s="6" t="s">
        <v>220</v>
      </c>
      <c r="W48" s="6" t="s">
        <v>172</v>
      </c>
      <c r="X48" s="6" t="s">
        <v>173</v>
      </c>
      <c r="Y48" s="6" t="s">
        <v>35</v>
      </c>
      <c r="Z48" s="6" t="s">
        <v>36</v>
      </c>
      <c r="AA48" s="10">
        <f>((527012.9/41529.78) - (710425/55983.06))/30</f>
        <v>1.2114509336432396E-8</v>
      </c>
      <c r="AB48" s="6" t="s">
        <v>36</v>
      </c>
      <c r="AC48" s="6" t="s">
        <v>36</v>
      </c>
      <c r="AD48" s="11">
        <f>AE48/AL48</f>
        <v>12.68956725362745</v>
      </c>
      <c r="AE48" s="10">
        <f>((1990*710425)+(2000*525119.3)+(2020*527012.9))/(1990+2000+2020)</f>
        <v>587113.21264559065</v>
      </c>
      <c r="AF48" s="11">
        <f t="shared" si="11"/>
        <v>2154705.4904093179</v>
      </c>
      <c r="AG48" s="5">
        <f t="shared" si="12"/>
        <v>46.57071182081274</v>
      </c>
      <c r="AH48" s="6">
        <f t="shared" ref="AH48:AI50" si="15">AD48/0.47</f>
        <v>26.999079263037128</v>
      </c>
      <c r="AI48" s="6">
        <f t="shared" si="15"/>
        <v>1249177.0481821077</v>
      </c>
      <c r="AJ48" s="6">
        <f t="shared" si="13"/>
        <v>10.233521978731815</v>
      </c>
      <c r="AK48" s="6">
        <f t="shared" si="14"/>
        <v>2.4560452748956356</v>
      </c>
      <c r="AL48" s="6">
        <f>((1990*55983.06)+(2000*41380.56)+(2018*41529.78))/(1990+2000+2018)</f>
        <v>46267.394380825557</v>
      </c>
    </row>
    <row r="49" spans="1:38" x14ac:dyDescent="0.25">
      <c r="A49" s="6">
        <v>48</v>
      </c>
      <c r="B49" s="5">
        <v>39</v>
      </c>
      <c r="C49" s="6" t="s">
        <v>221</v>
      </c>
      <c r="D49" s="6" t="s">
        <v>222</v>
      </c>
      <c r="E49" s="6" t="s">
        <v>22</v>
      </c>
      <c r="F49" s="6">
        <v>2018</v>
      </c>
      <c r="G49" s="6" t="s">
        <v>50</v>
      </c>
      <c r="H49" s="6" t="s">
        <v>24</v>
      </c>
      <c r="I49" s="6">
        <v>4.5980559999999997</v>
      </c>
      <c r="J49" s="6">
        <v>-74.075833000000003</v>
      </c>
      <c r="K49" s="6" t="s">
        <v>213</v>
      </c>
      <c r="L49" s="7">
        <v>7412566</v>
      </c>
      <c r="M49" s="7">
        <v>4567</v>
      </c>
      <c r="N49" s="6" t="s">
        <v>72</v>
      </c>
      <c r="O49" s="6" t="s">
        <v>187</v>
      </c>
      <c r="P49" s="6" t="s">
        <v>214</v>
      </c>
      <c r="Q49" s="6">
        <v>1400</v>
      </c>
      <c r="R49" s="6">
        <v>12.5</v>
      </c>
      <c r="S49" s="6" t="s">
        <v>54</v>
      </c>
      <c r="T49" s="6" t="s">
        <v>112</v>
      </c>
      <c r="U49" s="6" t="s">
        <v>74</v>
      </c>
      <c r="V49" s="6" t="s">
        <v>194</v>
      </c>
      <c r="W49" s="6" t="s">
        <v>172</v>
      </c>
      <c r="X49" s="6" t="s">
        <v>173</v>
      </c>
      <c r="Y49" s="6" t="s">
        <v>35</v>
      </c>
      <c r="Z49" s="6" t="s">
        <v>36</v>
      </c>
      <c r="AA49" s="6" t="s">
        <v>36</v>
      </c>
      <c r="AB49" s="6" t="s">
        <v>36</v>
      </c>
      <c r="AC49" s="6" t="s">
        <v>36</v>
      </c>
      <c r="AD49" s="6">
        <v>22.33</v>
      </c>
      <c r="AE49" s="6">
        <v>23210000</v>
      </c>
      <c r="AF49" s="11">
        <f t="shared" si="11"/>
        <v>85180700</v>
      </c>
      <c r="AG49" s="6">
        <f t="shared" si="12"/>
        <v>81.951099999999997</v>
      </c>
      <c r="AH49" s="6">
        <f t="shared" si="15"/>
        <v>47.51063829787234</v>
      </c>
      <c r="AI49" s="6">
        <f t="shared" si="15"/>
        <v>49382978.723404258</v>
      </c>
      <c r="AJ49" s="6">
        <f t="shared" si="13"/>
        <v>18.008064516129032</v>
      </c>
      <c r="AK49" s="6">
        <f t="shared" si="14"/>
        <v>4.3219354838709672</v>
      </c>
      <c r="AL49" s="6">
        <v>38500</v>
      </c>
    </row>
    <row r="50" spans="1:38" x14ac:dyDescent="0.25">
      <c r="A50" s="6">
        <v>49</v>
      </c>
      <c r="B50" s="5">
        <v>40</v>
      </c>
      <c r="C50" s="6" t="s">
        <v>223</v>
      </c>
      <c r="D50" s="6" t="s">
        <v>224</v>
      </c>
      <c r="E50" s="6" t="s">
        <v>22</v>
      </c>
      <c r="F50" s="6">
        <v>2021</v>
      </c>
      <c r="G50" s="6" t="s">
        <v>23</v>
      </c>
      <c r="H50" s="6" t="s">
        <v>24</v>
      </c>
      <c r="I50" s="6">
        <v>5.55</v>
      </c>
      <c r="J50" s="6">
        <v>-0.2</v>
      </c>
      <c r="K50" s="6" t="s">
        <v>225</v>
      </c>
      <c r="L50" s="6">
        <v>1665086</v>
      </c>
      <c r="M50" s="6">
        <v>9816</v>
      </c>
      <c r="N50" s="6" t="s">
        <v>41</v>
      </c>
      <c r="O50" s="6" t="s">
        <v>226</v>
      </c>
      <c r="P50" s="6" t="s">
        <v>227</v>
      </c>
      <c r="Q50" s="6">
        <v>809</v>
      </c>
      <c r="R50" s="6">
        <v>26.6</v>
      </c>
      <c r="S50" s="6" t="s">
        <v>44</v>
      </c>
      <c r="T50" s="6" t="s">
        <v>45</v>
      </c>
      <c r="U50" s="6" t="s">
        <v>31</v>
      </c>
      <c r="V50" s="6" t="s">
        <v>228</v>
      </c>
      <c r="W50" s="6" t="s">
        <v>76</v>
      </c>
      <c r="X50" s="6" t="s">
        <v>34</v>
      </c>
      <c r="Y50" s="6" t="s">
        <v>47</v>
      </c>
      <c r="Z50" s="6">
        <v>8440</v>
      </c>
      <c r="AA50" s="6">
        <f>Z50/AL50</f>
        <v>0.72006893550946582</v>
      </c>
      <c r="AB50" s="6">
        <f>Z50*3.67</f>
        <v>30974.799999999999</v>
      </c>
      <c r="AC50" s="6">
        <f>AA50*3.67</f>
        <v>2.6426529933197394</v>
      </c>
      <c r="AD50" s="6">
        <f>AE50/AL50</f>
        <v>18.093864910289991</v>
      </c>
      <c r="AE50" s="6">
        <v>212080</v>
      </c>
      <c r="AF50" s="11">
        <f t="shared" si="11"/>
        <v>778333.6</v>
      </c>
      <c r="AG50" s="6">
        <f t="shared" si="12"/>
        <v>66.40448422076426</v>
      </c>
      <c r="AH50" s="6">
        <f t="shared" si="15"/>
        <v>38.497584915510622</v>
      </c>
      <c r="AI50" s="6">
        <f t="shared" si="15"/>
        <v>451234.04255319154</v>
      </c>
      <c r="AJ50" s="6">
        <f t="shared" si="13"/>
        <v>14.591826540556445</v>
      </c>
      <c r="AK50" s="6">
        <f t="shared" si="14"/>
        <v>3.5020383697335467</v>
      </c>
      <c r="AL50" s="6">
        <v>11721.1</v>
      </c>
    </row>
    <row r="51" spans="1:38" x14ac:dyDescent="0.25">
      <c r="A51" s="6">
        <v>50</v>
      </c>
      <c r="B51" s="5">
        <v>41</v>
      </c>
      <c r="C51" s="6" t="s">
        <v>229</v>
      </c>
      <c r="D51" s="6" t="s">
        <v>230</v>
      </c>
      <c r="E51" s="6" t="s">
        <v>22</v>
      </c>
      <c r="F51" s="6">
        <v>2010</v>
      </c>
      <c r="G51" s="6" t="s">
        <v>23</v>
      </c>
      <c r="H51" s="6" t="s">
        <v>39</v>
      </c>
      <c r="I51" s="6">
        <v>-23.15</v>
      </c>
      <c r="J51" s="6">
        <v>-46.333333000000003</v>
      </c>
      <c r="K51" s="6" t="s">
        <v>231</v>
      </c>
      <c r="L51" s="7">
        <v>18217</v>
      </c>
      <c r="M51" s="6">
        <v>55.84</v>
      </c>
      <c r="N51" s="6" t="s">
        <v>72</v>
      </c>
      <c r="O51" s="6" t="s">
        <v>73</v>
      </c>
      <c r="P51" s="6" t="s">
        <v>167</v>
      </c>
      <c r="Q51" s="6">
        <v>1421</v>
      </c>
      <c r="R51" s="6">
        <v>18.899999999999999</v>
      </c>
      <c r="S51" s="6" t="s">
        <v>54</v>
      </c>
      <c r="T51" s="5" t="s">
        <v>55</v>
      </c>
      <c r="U51" s="5" t="s">
        <v>178</v>
      </c>
      <c r="V51" s="6" t="s">
        <v>32</v>
      </c>
      <c r="W51" s="6" t="s">
        <v>201</v>
      </c>
      <c r="X51" s="6" t="s">
        <v>34</v>
      </c>
      <c r="Y51" s="6" t="s">
        <v>35</v>
      </c>
      <c r="Z51" s="6" t="s">
        <v>36</v>
      </c>
      <c r="AA51" s="6" t="s">
        <v>36</v>
      </c>
      <c r="AB51" s="6" t="s">
        <v>36</v>
      </c>
      <c r="AC51" s="6" t="s">
        <v>36</v>
      </c>
      <c r="AD51" s="6">
        <v>68.27</v>
      </c>
      <c r="AE51" s="6">
        <v>380984</v>
      </c>
      <c r="AF51" s="11">
        <f t="shared" si="11"/>
        <v>1398211.28</v>
      </c>
      <c r="AG51" s="6">
        <f t="shared" si="12"/>
        <v>250.55089999999998</v>
      </c>
      <c r="AH51" s="12">
        <v>136.55000000000001</v>
      </c>
      <c r="AI51" s="6">
        <f>AH51*AL51</f>
        <v>1041057.2000000001</v>
      </c>
      <c r="AJ51" s="12">
        <v>136.55000000000001</v>
      </c>
      <c r="AK51" s="6">
        <f>AJ51*0.24</f>
        <v>32.771999999999998</v>
      </c>
      <c r="AL51" s="6">
        <v>7624</v>
      </c>
    </row>
    <row r="52" spans="1:38" x14ac:dyDescent="0.25">
      <c r="A52" s="6">
        <v>51</v>
      </c>
      <c r="B52" s="5">
        <v>42</v>
      </c>
      <c r="C52" s="6" t="s">
        <v>232</v>
      </c>
      <c r="D52" s="6" t="s">
        <v>233</v>
      </c>
      <c r="E52" s="6" t="s">
        <v>22</v>
      </c>
      <c r="F52" s="6">
        <v>2019</v>
      </c>
      <c r="G52" s="6" t="s">
        <v>23</v>
      </c>
      <c r="H52" s="6" t="s">
        <v>24</v>
      </c>
      <c r="I52" s="6">
        <v>23.2</v>
      </c>
      <c r="J52" s="6">
        <v>83.033332999999999</v>
      </c>
      <c r="K52" s="6" t="s">
        <v>204</v>
      </c>
      <c r="L52" s="7">
        <v>121071</v>
      </c>
      <c r="M52" s="7">
        <v>3014</v>
      </c>
      <c r="N52" s="6" t="s">
        <v>26</v>
      </c>
      <c r="O52" s="6" t="s">
        <v>27</v>
      </c>
      <c r="P52" s="6" t="s">
        <v>43</v>
      </c>
      <c r="Q52" s="6">
        <v>1383</v>
      </c>
      <c r="R52" s="6">
        <v>23.9</v>
      </c>
      <c r="S52" s="6" t="s">
        <v>54</v>
      </c>
      <c r="T52" s="6" t="s">
        <v>45</v>
      </c>
      <c r="U52" s="6" t="s">
        <v>31</v>
      </c>
      <c r="V52" s="6" t="s">
        <v>103</v>
      </c>
      <c r="W52" s="6" t="s">
        <v>104</v>
      </c>
      <c r="X52" s="6" t="s">
        <v>234</v>
      </c>
      <c r="Y52" s="6" t="s">
        <v>35</v>
      </c>
      <c r="Z52" s="6" t="s">
        <v>36</v>
      </c>
      <c r="AA52" s="6" t="s">
        <v>36</v>
      </c>
      <c r="AB52" s="6" t="s">
        <v>36</v>
      </c>
      <c r="AC52" s="6" t="s">
        <v>36</v>
      </c>
      <c r="AD52" s="6">
        <v>187.08</v>
      </c>
      <c r="AE52" s="6">
        <f>AD52*AL52</f>
        <v>37097964</v>
      </c>
      <c r="AF52" s="11">
        <f t="shared" si="11"/>
        <v>136149527.88</v>
      </c>
      <c r="AG52" s="6">
        <v>686.58</v>
      </c>
      <c r="AH52" s="6">
        <v>0.45662999999999998</v>
      </c>
      <c r="AI52" s="6">
        <f>AH52*AL52</f>
        <v>90549.728999999992</v>
      </c>
      <c r="AJ52" s="6">
        <v>0.37075000000000002</v>
      </c>
      <c r="AK52" s="6">
        <v>8.5542999999999994E-2</v>
      </c>
      <c r="AL52" s="6">
        <v>198300</v>
      </c>
    </row>
    <row r="53" spans="1:38" x14ac:dyDescent="0.25">
      <c r="A53" s="6">
        <v>52</v>
      </c>
      <c r="B53" s="5">
        <v>43</v>
      </c>
      <c r="C53" s="6" t="s">
        <v>235</v>
      </c>
      <c r="D53" s="6" t="s">
        <v>236</v>
      </c>
      <c r="E53" s="6" t="s">
        <v>22</v>
      </c>
      <c r="F53" s="6">
        <v>2023</v>
      </c>
      <c r="G53" s="6" t="s">
        <v>23</v>
      </c>
      <c r="H53" s="6" t="s">
        <v>24</v>
      </c>
      <c r="I53" s="6">
        <v>11.183332999999999</v>
      </c>
      <c r="J53" s="6">
        <v>-4.2833329999999998</v>
      </c>
      <c r="K53" s="5" t="s">
        <v>237</v>
      </c>
      <c r="L53" s="7">
        <v>984603</v>
      </c>
      <c r="M53" s="6">
        <v>545.20000000000005</v>
      </c>
      <c r="N53" s="5" t="s">
        <v>41</v>
      </c>
      <c r="O53" s="6" t="s">
        <v>238</v>
      </c>
      <c r="P53" s="6" t="s">
        <v>28</v>
      </c>
      <c r="Q53" s="6">
        <v>1000</v>
      </c>
      <c r="R53" s="6">
        <v>27.9</v>
      </c>
      <c r="S53" s="6" t="s">
        <v>44</v>
      </c>
      <c r="T53" s="5" t="s">
        <v>174</v>
      </c>
      <c r="U53" s="6" t="s">
        <v>56</v>
      </c>
      <c r="V53" s="6" t="s">
        <v>32</v>
      </c>
      <c r="W53" s="6" t="s">
        <v>33</v>
      </c>
      <c r="X53" s="6" t="s">
        <v>34</v>
      </c>
      <c r="Y53" s="6" t="s">
        <v>47</v>
      </c>
      <c r="Z53" s="6" t="s">
        <v>36</v>
      </c>
      <c r="AA53" s="6" t="s">
        <v>36</v>
      </c>
      <c r="AB53" s="6" t="s">
        <v>36</v>
      </c>
      <c r="AC53" s="6" t="s">
        <v>36</v>
      </c>
      <c r="AD53" s="6">
        <f>3.91*1.24</f>
        <v>4.8483999999999998</v>
      </c>
      <c r="AE53" s="6">
        <f>AD53*AL53</f>
        <v>1.2121</v>
      </c>
      <c r="AF53" s="11">
        <f t="shared" si="11"/>
        <v>4.4484069999999996</v>
      </c>
      <c r="AG53" s="6">
        <f>AD53*3.67</f>
        <v>17.793627999999998</v>
      </c>
      <c r="AH53" s="5">
        <f t="shared" ref="AH53:AH54" si="16">AJ53+AK53</f>
        <v>9.6980399999999989</v>
      </c>
      <c r="AI53" s="5">
        <f>AH53*AL53</f>
        <v>2.4245099999999997</v>
      </c>
      <c r="AJ53" s="6">
        <v>7.8209999999999997</v>
      </c>
      <c r="AK53" s="5">
        <f t="shared" ref="AK53:AK54" si="17">AJ53*0.24</f>
        <v>1.8770399999999998</v>
      </c>
      <c r="AL53" s="6">
        <v>0.25</v>
      </c>
    </row>
    <row r="54" spans="1:38" x14ac:dyDescent="0.25">
      <c r="A54" s="6">
        <v>53</v>
      </c>
      <c r="B54" s="5">
        <v>43</v>
      </c>
      <c r="C54" s="6" t="s">
        <v>235</v>
      </c>
      <c r="D54" s="6" t="s">
        <v>236</v>
      </c>
      <c r="E54" s="6" t="s">
        <v>22</v>
      </c>
      <c r="F54" s="6">
        <v>2023</v>
      </c>
      <c r="G54" s="6" t="s">
        <v>23</v>
      </c>
      <c r="H54" s="6" t="s">
        <v>24</v>
      </c>
      <c r="I54" s="6">
        <v>11.183332999999999</v>
      </c>
      <c r="J54" s="6">
        <v>-4.2833329999999998</v>
      </c>
      <c r="K54" s="5" t="s">
        <v>237</v>
      </c>
      <c r="L54" s="7">
        <v>984603</v>
      </c>
      <c r="M54" s="6">
        <v>545.20000000000005</v>
      </c>
      <c r="N54" s="5" t="s">
        <v>41</v>
      </c>
      <c r="O54" s="6" t="s">
        <v>238</v>
      </c>
      <c r="P54" s="6" t="s">
        <v>28</v>
      </c>
      <c r="Q54" s="6">
        <v>1000</v>
      </c>
      <c r="R54" s="6">
        <v>27.9</v>
      </c>
      <c r="S54" s="6" t="s">
        <v>44</v>
      </c>
      <c r="T54" s="5" t="s">
        <v>55</v>
      </c>
      <c r="U54" s="6" t="s">
        <v>56</v>
      </c>
      <c r="V54" s="6" t="s">
        <v>32</v>
      </c>
      <c r="W54" s="6" t="s">
        <v>33</v>
      </c>
      <c r="X54" s="6" t="s">
        <v>34</v>
      </c>
      <c r="Y54" s="6" t="s">
        <v>47</v>
      </c>
      <c r="Z54" s="6" t="s">
        <v>36</v>
      </c>
      <c r="AA54" s="6" t="s">
        <v>36</v>
      </c>
      <c r="AB54" s="6" t="s">
        <v>36</v>
      </c>
      <c r="AC54" s="6" t="s">
        <v>36</v>
      </c>
      <c r="AD54" s="6">
        <f>9.099*1.24</f>
        <v>11.28276</v>
      </c>
      <c r="AE54" s="6" t="s">
        <v>36</v>
      </c>
      <c r="AF54" s="11" t="s">
        <v>36</v>
      </c>
      <c r="AG54" s="6">
        <f>AD54*3.67</f>
        <v>41.407729199999999</v>
      </c>
      <c r="AH54" s="5">
        <f t="shared" si="16"/>
        <v>22.565519999999999</v>
      </c>
      <c r="AI54" s="5" t="s">
        <v>36</v>
      </c>
      <c r="AJ54" s="6">
        <v>18.198</v>
      </c>
      <c r="AK54" s="5">
        <f t="shared" si="17"/>
        <v>4.3675199999999998</v>
      </c>
      <c r="AL54" s="6" t="s">
        <v>36</v>
      </c>
    </row>
    <row r="55" spans="1:38" x14ac:dyDescent="0.25">
      <c r="A55" s="6">
        <v>54</v>
      </c>
      <c r="B55" s="5">
        <v>44</v>
      </c>
      <c r="C55" s="6" t="s">
        <v>239</v>
      </c>
      <c r="D55" s="6" t="s">
        <v>240</v>
      </c>
      <c r="E55" s="6" t="s">
        <v>84</v>
      </c>
      <c r="F55" s="6">
        <v>2018</v>
      </c>
      <c r="G55" s="6" t="s">
        <v>23</v>
      </c>
      <c r="H55" s="6" t="s">
        <v>24</v>
      </c>
      <c r="I55" s="6">
        <v>7.0998609999999998</v>
      </c>
      <c r="J55" s="6">
        <v>-73.111500000000007</v>
      </c>
      <c r="K55" s="5" t="s">
        <v>241</v>
      </c>
      <c r="L55" s="7">
        <v>581130</v>
      </c>
      <c r="M55" s="7">
        <v>3800</v>
      </c>
      <c r="N55" s="5" t="s">
        <v>72</v>
      </c>
      <c r="O55" s="6" t="s">
        <v>187</v>
      </c>
      <c r="P55" s="6" t="s">
        <v>53</v>
      </c>
      <c r="Q55" s="6">
        <v>4426</v>
      </c>
      <c r="R55" s="6">
        <v>19.7</v>
      </c>
      <c r="S55" s="6" t="s">
        <v>54</v>
      </c>
      <c r="T55" s="6" t="s">
        <v>45</v>
      </c>
      <c r="U55" s="6" t="s">
        <v>31</v>
      </c>
      <c r="V55" s="6" t="s">
        <v>242</v>
      </c>
      <c r="W55" s="6" t="s">
        <v>33</v>
      </c>
      <c r="X55" s="6" t="s">
        <v>34</v>
      </c>
      <c r="Y55" s="6" t="s">
        <v>35</v>
      </c>
      <c r="Z55" s="6" t="s">
        <v>36</v>
      </c>
      <c r="AA55" s="6" t="s">
        <v>36</v>
      </c>
      <c r="AB55" s="6" t="s">
        <v>36</v>
      </c>
      <c r="AC55" s="6" t="s">
        <v>36</v>
      </c>
      <c r="AD55" s="6" t="s">
        <v>36</v>
      </c>
      <c r="AE55" s="6">
        <f>AF55/3.67</f>
        <v>38.27438692098093</v>
      </c>
      <c r="AF55" s="6">
        <v>140.46700000000001</v>
      </c>
      <c r="AG55" s="6" t="s">
        <v>36</v>
      </c>
      <c r="AH55" s="6" t="s">
        <v>36</v>
      </c>
      <c r="AI55" s="6">
        <v>1139.5419999999999</v>
      </c>
      <c r="AJ55" s="6" t="s">
        <v>36</v>
      </c>
      <c r="AK55" s="6" t="s">
        <v>36</v>
      </c>
      <c r="AL55" s="5" t="s">
        <v>36</v>
      </c>
    </row>
    <row r="56" spans="1:38" x14ac:dyDescent="0.25">
      <c r="A56" s="6">
        <v>55</v>
      </c>
      <c r="B56" s="5">
        <v>45</v>
      </c>
      <c r="C56" s="6" t="s">
        <v>243</v>
      </c>
      <c r="D56" s="6" t="s">
        <v>244</v>
      </c>
      <c r="E56" s="6" t="s">
        <v>22</v>
      </c>
      <c r="F56" s="6">
        <v>2019</v>
      </c>
      <c r="G56" s="6" t="s">
        <v>23</v>
      </c>
      <c r="H56" s="6" t="s">
        <v>24</v>
      </c>
      <c r="I56" s="6">
        <v>22.033332999999999</v>
      </c>
      <c r="J56" s="6">
        <v>96.458736000000002</v>
      </c>
      <c r="K56" s="5" t="s">
        <v>245</v>
      </c>
      <c r="L56" s="7">
        <v>361096</v>
      </c>
      <c r="M56" s="6">
        <v>181.4</v>
      </c>
      <c r="N56" s="5" t="s">
        <v>26</v>
      </c>
      <c r="O56" s="6" t="s">
        <v>246</v>
      </c>
      <c r="P56" s="6" t="s">
        <v>28</v>
      </c>
      <c r="Q56" s="6">
        <v>1450</v>
      </c>
      <c r="R56" s="6">
        <v>20.5</v>
      </c>
      <c r="S56" s="6" t="s">
        <v>54</v>
      </c>
      <c r="T56" s="5" t="s">
        <v>55</v>
      </c>
      <c r="U56" s="6" t="s">
        <v>74</v>
      </c>
      <c r="V56" s="6" t="s">
        <v>32</v>
      </c>
      <c r="W56" s="6" t="s">
        <v>33</v>
      </c>
      <c r="X56" s="6" t="s">
        <v>173</v>
      </c>
      <c r="Y56" s="6" t="s">
        <v>35</v>
      </c>
      <c r="Z56" s="6" t="s">
        <v>36</v>
      </c>
      <c r="AA56" s="6" t="s">
        <v>36</v>
      </c>
      <c r="AB56" s="6" t="s">
        <v>36</v>
      </c>
      <c r="AC56" s="6" t="s">
        <v>36</v>
      </c>
      <c r="AD56" s="6">
        <f>((177.07*177)+(71.94*104.59))/(177+104.59)</f>
        <v>138.02192762527076</v>
      </c>
      <c r="AE56" s="6">
        <f>AD56*AL56</f>
        <v>38865.594599999997</v>
      </c>
      <c r="AF56" s="6">
        <f t="shared" ref="AF56:AF64" si="18">AE56*3.67</f>
        <v>142636.73218199998</v>
      </c>
      <c r="AG56" s="6">
        <f>AD56*3.67</f>
        <v>506.54047438474367</v>
      </c>
      <c r="AH56" s="5">
        <f>AD56/0.47</f>
        <v>293.66367579844842</v>
      </c>
      <c r="AI56" s="6">
        <v>1139.5419999999999</v>
      </c>
      <c r="AJ56" s="5">
        <f>(((142.9*177.07)+( 71.94*104.59))/(177+104.59))/0.47</f>
        <v>248.04062946505138</v>
      </c>
      <c r="AK56" s="5">
        <f>(((34.17*177.07)+(13.71*104.59))/(177+104.59))/0.47</f>
        <v>56.551291941732089</v>
      </c>
      <c r="AL56" s="5">
        <f>177+104.59</f>
        <v>281.59000000000003</v>
      </c>
    </row>
    <row r="57" spans="1:38" x14ac:dyDescent="0.25">
      <c r="A57" s="6">
        <v>56</v>
      </c>
      <c r="B57" s="5">
        <v>45</v>
      </c>
      <c r="C57" s="6" t="s">
        <v>243</v>
      </c>
      <c r="D57" s="6" t="s">
        <v>244</v>
      </c>
      <c r="E57" s="6" t="s">
        <v>22</v>
      </c>
      <c r="F57" s="6">
        <v>2019</v>
      </c>
      <c r="G57" s="6" t="s">
        <v>23</v>
      </c>
      <c r="H57" s="6" t="s">
        <v>24</v>
      </c>
      <c r="I57" s="6">
        <v>22.033332999999999</v>
      </c>
      <c r="J57" s="6">
        <v>96.458736000000002</v>
      </c>
      <c r="K57" s="5" t="s">
        <v>245</v>
      </c>
      <c r="L57" s="7">
        <v>361096</v>
      </c>
      <c r="M57" s="6">
        <v>181.4</v>
      </c>
      <c r="N57" s="5" t="s">
        <v>26</v>
      </c>
      <c r="O57" s="6" t="s">
        <v>246</v>
      </c>
      <c r="P57" s="6" t="s">
        <v>28</v>
      </c>
      <c r="Q57" s="6">
        <v>1450</v>
      </c>
      <c r="R57" s="6">
        <v>20.5</v>
      </c>
      <c r="S57" s="6" t="s">
        <v>54</v>
      </c>
      <c r="T57" s="5" t="s">
        <v>174</v>
      </c>
      <c r="U57" s="6" t="s">
        <v>74</v>
      </c>
      <c r="V57" s="6" t="s">
        <v>32</v>
      </c>
      <c r="W57" s="6" t="s">
        <v>33</v>
      </c>
      <c r="X57" s="6" t="s">
        <v>173</v>
      </c>
      <c r="Y57" s="6" t="s">
        <v>35</v>
      </c>
      <c r="Z57" s="6" t="s">
        <v>36</v>
      </c>
      <c r="AA57" s="6" t="s">
        <v>36</v>
      </c>
      <c r="AB57" s="6" t="s">
        <v>36</v>
      </c>
      <c r="AC57" s="6" t="s">
        <v>36</v>
      </c>
      <c r="AD57" s="6">
        <f>((225.51*244.72)+(6.2*7.83))/(244.72+7.83)</f>
        <v>218.71056503662641</v>
      </c>
      <c r="AE57" s="6">
        <f>AD57*AL57</f>
        <v>55235.353199999998</v>
      </c>
      <c r="AF57" s="6">
        <f t="shared" si="18"/>
        <v>202713.74624399998</v>
      </c>
      <c r="AG57" s="6">
        <f>AD57*3.67</f>
        <v>802.66777368441888</v>
      </c>
      <c r="AH57" s="5">
        <f>AD57/0.47</f>
        <v>465.34162773750302</v>
      </c>
      <c r="AI57" s="6">
        <v>1139.5419999999999</v>
      </c>
      <c r="AJ57" s="5">
        <f>(((181.98*244.72)+(5*7.83))/(244.72+7.83))/0.47</f>
        <v>375.51692397123804</v>
      </c>
      <c r="AK57" s="5">
        <f>(((43.53*244.72)+(1.2*7.83))/(244.72+7.83))/0.47</f>
        <v>89.824703766264946</v>
      </c>
      <c r="AL57" s="5">
        <f>244.72+7.83</f>
        <v>252.55</v>
      </c>
    </row>
    <row r="58" spans="1:38" x14ac:dyDescent="0.25">
      <c r="A58" s="6">
        <v>57</v>
      </c>
      <c r="B58" s="5">
        <v>46</v>
      </c>
      <c r="C58" s="6" t="s">
        <v>247</v>
      </c>
      <c r="D58" s="6" t="s">
        <v>248</v>
      </c>
      <c r="E58" s="6" t="s">
        <v>22</v>
      </c>
      <c r="F58" s="6">
        <v>2021</v>
      </c>
      <c r="G58" s="6" t="s">
        <v>50</v>
      </c>
      <c r="H58" s="6" t="s">
        <v>24</v>
      </c>
      <c r="I58" s="6">
        <v>9.0875000000000004</v>
      </c>
      <c r="J58" s="6">
        <v>38.905833000000001</v>
      </c>
      <c r="K58" s="5" t="s">
        <v>149</v>
      </c>
      <c r="L58" s="7">
        <v>3860000</v>
      </c>
      <c r="M58" s="7">
        <v>7324</v>
      </c>
      <c r="N58" s="5" t="s">
        <v>41</v>
      </c>
      <c r="O58" s="6" t="s">
        <v>150</v>
      </c>
      <c r="P58" s="6" t="s">
        <v>96</v>
      </c>
      <c r="Q58" s="6">
        <v>1200</v>
      </c>
      <c r="R58" s="6">
        <v>16.5</v>
      </c>
      <c r="S58" s="6" t="s">
        <v>151</v>
      </c>
      <c r="T58" s="5" t="s">
        <v>55</v>
      </c>
      <c r="U58" s="6" t="s">
        <v>74</v>
      </c>
      <c r="V58" s="6" t="s">
        <v>249</v>
      </c>
      <c r="W58" s="6" t="s">
        <v>172</v>
      </c>
      <c r="X58" s="6" t="s">
        <v>173</v>
      </c>
      <c r="Y58" s="6" t="s">
        <v>35</v>
      </c>
      <c r="Z58" s="6" t="s">
        <v>36</v>
      </c>
      <c r="AA58" s="6">
        <f>((1104781.17/5982.6) - (968310.07/5245.47))/30</f>
        <v>2.2143149888535162E-3</v>
      </c>
      <c r="AB58" s="6" t="s">
        <v>36</v>
      </c>
      <c r="AC58" s="6" t="s">
        <v>36</v>
      </c>
      <c r="AD58" s="6">
        <f>AE58/AL58</f>
        <v>184.60674368655543</v>
      </c>
      <c r="AE58" s="6">
        <f>((1988*968310.07)+(1998*803563.8)+(2008*1128011.22)+(2018*1104781.17))/(1988+1998+2008+2018)</f>
        <v>1001624.5409860208</v>
      </c>
      <c r="AF58" s="6">
        <f t="shared" si="18"/>
        <v>3675962.0654186965</v>
      </c>
      <c r="AG58" s="6">
        <f t="shared" ref="AG58:AG64" si="19">AF58/AL58</f>
        <v>677.50674932965842</v>
      </c>
      <c r="AH58" s="6">
        <f>AD58/0.47</f>
        <v>392.78030571607542</v>
      </c>
      <c r="AI58" s="6">
        <f>AE58/0.47</f>
        <v>2131116.0446511083</v>
      </c>
      <c r="AJ58" s="6">
        <f>AD58/1.24</f>
        <v>148.87640619883501</v>
      </c>
      <c r="AK58" s="6">
        <f t="shared" ref="AK58:AK60" si="20">AJ58*0.24</f>
        <v>35.730337487720405</v>
      </c>
      <c r="AL58" s="6">
        <f>((1988*5245.47)+(1998*4353)+(2008*6111.9)+(2018*5982.6))/(1988+1998+2008+2018)</f>
        <v>5425.7202146779828</v>
      </c>
    </row>
    <row r="59" spans="1:38" x14ac:dyDescent="0.25">
      <c r="A59" s="6">
        <v>58</v>
      </c>
      <c r="B59" s="5">
        <v>46</v>
      </c>
      <c r="C59" s="6" t="s">
        <v>247</v>
      </c>
      <c r="D59" s="6" t="s">
        <v>248</v>
      </c>
      <c r="E59" s="6" t="s">
        <v>22</v>
      </c>
      <c r="F59" s="6">
        <v>2021</v>
      </c>
      <c r="G59" s="6" t="s">
        <v>50</v>
      </c>
      <c r="H59" s="6" t="s">
        <v>24</v>
      </c>
      <c r="I59" s="6">
        <v>9.0875000000000004</v>
      </c>
      <c r="J59" s="6">
        <v>38.905833000000001</v>
      </c>
      <c r="K59" s="5" t="s">
        <v>149</v>
      </c>
      <c r="L59" s="7">
        <v>3860000</v>
      </c>
      <c r="M59" s="7">
        <v>7324</v>
      </c>
      <c r="N59" s="5" t="s">
        <v>41</v>
      </c>
      <c r="O59" s="6" t="s">
        <v>150</v>
      </c>
      <c r="P59" s="6" t="s">
        <v>96</v>
      </c>
      <c r="Q59" s="6">
        <v>1200</v>
      </c>
      <c r="R59" s="6">
        <v>16.5</v>
      </c>
      <c r="S59" s="6" t="s">
        <v>151</v>
      </c>
      <c r="T59" s="5" t="s">
        <v>174</v>
      </c>
      <c r="U59" s="6" t="s">
        <v>74</v>
      </c>
      <c r="V59" s="6" t="s">
        <v>249</v>
      </c>
      <c r="W59" s="6" t="s">
        <v>172</v>
      </c>
      <c r="X59" s="6" t="s">
        <v>173</v>
      </c>
      <c r="Y59" s="6" t="s">
        <v>35</v>
      </c>
      <c r="Z59" s="6" t="s">
        <v>36</v>
      </c>
      <c r="AA59" s="6">
        <f>((1720751.25/15823)-(3577255.12/32894.3))/30</f>
        <v>5.0667343505968651E-9</v>
      </c>
      <c r="AB59" s="6" t="s">
        <v>36</v>
      </c>
      <c r="AC59" s="6" t="s">
        <v>36</v>
      </c>
      <c r="AD59" s="6">
        <f>AE59/AL59</f>
        <v>108.75000000050559</v>
      </c>
      <c r="AE59" s="6">
        <f>((1988*3577255.12)+(1998*3060333.75)+(2008*2395742.93)+(2018*1720751.25))/(1988+1998+2008+2018)</f>
        <v>2684630.2841987018</v>
      </c>
      <c r="AF59" s="6">
        <f t="shared" si="18"/>
        <v>9852593.1430092361</v>
      </c>
      <c r="AG59" s="6">
        <f t="shared" si="19"/>
        <v>399.11250000185555</v>
      </c>
      <c r="AH59" s="6">
        <f t="shared" ref="AH59:AI60" si="21">AD59/0.47</f>
        <v>231.38297872448001</v>
      </c>
      <c r="AI59" s="6">
        <f t="shared" si="21"/>
        <v>5711979.3280823445</v>
      </c>
      <c r="AJ59" s="6">
        <f t="shared" ref="AJ59:AJ60" si="22">AD59/1.24</f>
        <v>87.701612903633546</v>
      </c>
      <c r="AK59" s="6">
        <f>AJ59*0.24</f>
        <v>21.048387096872052</v>
      </c>
      <c r="AL59" s="6">
        <f>((1988*32894.3)+(1998* 28141)+(2008*22029.82)+(2018*15823))/(1988+1998+2008+2018)</f>
        <v>24686.255486769845</v>
      </c>
    </row>
    <row r="60" spans="1:38" x14ac:dyDescent="0.25">
      <c r="A60" s="6">
        <v>59</v>
      </c>
      <c r="B60" s="5">
        <v>46</v>
      </c>
      <c r="C60" s="6" t="s">
        <v>247</v>
      </c>
      <c r="D60" s="6" t="s">
        <v>248</v>
      </c>
      <c r="E60" s="6" t="s">
        <v>22</v>
      </c>
      <c r="F60" s="6">
        <v>2021</v>
      </c>
      <c r="G60" s="6" t="s">
        <v>50</v>
      </c>
      <c r="H60" s="6" t="s">
        <v>24</v>
      </c>
      <c r="I60" s="6">
        <v>9.0875000000000004</v>
      </c>
      <c r="J60" s="6">
        <v>38.905833000000001</v>
      </c>
      <c r="K60" s="5" t="s">
        <v>149</v>
      </c>
      <c r="L60" s="7">
        <v>3860000</v>
      </c>
      <c r="M60" s="7">
        <v>7324</v>
      </c>
      <c r="N60" s="5" t="s">
        <v>41</v>
      </c>
      <c r="O60" s="6" t="s">
        <v>150</v>
      </c>
      <c r="P60" s="6" t="s">
        <v>96</v>
      </c>
      <c r="Q60" s="6">
        <v>1200</v>
      </c>
      <c r="R60" s="6">
        <v>16.5</v>
      </c>
      <c r="S60" s="6" t="s">
        <v>151</v>
      </c>
      <c r="T60" s="6" t="s">
        <v>45</v>
      </c>
      <c r="U60" s="6" t="s">
        <v>74</v>
      </c>
      <c r="V60" s="6" t="s">
        <v>249</v>
      </c>
      <c r="W60" s="6" t="s">
        <v>172</v>
      </c>
      <c r="X60" s="6" t="s">
        <v>173</v>
      </c>
      <c r="Y60" s="6" t="s">
        <v>35</v>
      </c>
      <c r="Z60" s="6" t="s">
        <v>36</v>
      </c>
      <c r="AA60" s="6" t="s">
        <v>36</v>
      </c>
      <c r="AB60" s="6" t="s">
        <v>36</v>
      </c>
      <c r="AC60" s="6" t="s">
        <v>36</v>
      </c>
      <c r="AD60" s="6">
        <f>AE60/AL60</f>
        <v>12.621754435737538</v>
      </c>
      <c r="AE60" s="6">
        <v>226206.69627883099</v>
      </c>
      <c r="AF60" s="6">
        <f t="shared" si="18"/>
        <v>830178.57534330967</v>
      </c>
      <c r="AG60" s="6">
        <f t="shared" si="19"/>
        <v>46.321838779156764</v>
      </c>
      <c r="AH60" s="6">
        <f t="shared" si="21"/>
        <v>26.854796671781997</v>
      </c>
      <c r="AI60" s="6">
        <f t="shared" si="21"/>
        <v>481290.84314644895</v>
      </c>
      <c r="AJ60" s="6">
        <f t="shared" si="22"/>
        <v>10.178834222368982</v>
      </c>
      <c r="AK60" s="6">
        <f t="shared" si="20"/>
        <v>2.4429202133685557</v>
      </c>
      <c r="AL60" s="6">
        <v>17921.969360958563</v>
      </c>
    </row>
    <row r="61" spans="1:38" x14ac:dyDescent="0.25">
      <c r="A61" s="6">
        <v>60</v>
      </c>
      <c r="B61" s="5">
        <v>47</v>
      </c>
      <c r="C61" s="6" t="s">
        <v>250</v>
      </c>
      <c r="D61" s="6" t="s">
        <v>251</v>
      </c>
      <c r="E61" s="6" t="s">
        <v>22</v>
      </c>
      <c r="F61" s="6">
        <v>2016</v>
      </c>
      <c r="G61" s="6" t="s">
        <v>23</v>
      </c>
      <c r="H61" s="6" t="s">
        <v>24</v>
      </c>
      <c r="I61" s="6">
        <v>1.517139</v>
      </c>
      <c r="J61" s="6">
        <v>103.667556</v>
      </c>
      <c r="K61" s="5" t="s">
        <v>252</v>
      </c>
      <c r="L61" s="7">
        <v>1711191</v>
      </c>
      <c r="M61" s="7">
        <v>1608</v>
      </c>
      <c r="N61" s="5" t="s">
        <v>26</v>
      </c>
      <c r="O61" s="6" t="s">
        <v>52</v>
      </c>
      <c r="P61" s="6" t="s">
        <v>53</v>
      </c>
      <c r="Q61" s="6">
        <v>2662</v>
      </c>
      <c r="R61" s="6">
        <v>26.3</v>
      </c>
      <c r="S61" s="6" t="s">
        <v>54</v>
      </c>
      <c r="T61" s="5" t="s">
        <v>55</v>
      </c>
      <c r="U61" s="6" t="s">
        <v>74</v>
      </c>
      <c r="V61" s="6" t="s">
        <v>253</v>
      </c>
      <c r="W61" s="6" t="s">
        <v>46</v>
      </c>
      <c r="X61" s="6" t="s">
        <v>34</v>
      </c>
      <c r="Y61" s="6" t="s">
        <v>47</v>
      </c>
      <c r="Z61" s="6" t="s">
        <v>36</v>
      </c>
      <c r="AA61" s="6" t="s">
        <v>36</v>
      </c>
      <c r="AB61" s="6" t="s">
        <v>36</v>
      </c>
      <c r="AC61" s="6" t="s">
        <v>36</v>
      </c>
      <c r="AD61" s="6">
        <f>(((161.7*1114)+(48.81*17.47)+(43.06*15.17)+(34.03*26.16))/(1144+26.16+17.47+15.17))*1.24</f>
        <v>188.17521206185563</v>
      </c>
      <c r="AE61" s="6">
        <f>AD61*AL61</f>
        <v>226337.14506799998</v>
      </c>
      <c r="AF61" s="6">
        <f t="shared" si="18"/>
        <v>830657.3223995599</v>
      </c>
      <c r="AG61" s="6">
        <f t="shared" si="19"/>
        <v>690.60302826701013</v>
      </c>
      <c r="AH61" s="5">
        <f>AJ61+AK61</f>
        <v>496.46226161000209</v>
      </c>
      <c r="AI61" s="5">
        <f>AH61*AL61</f>
        <v>597144.80826451059</v>
      </c>
      <c r="AJ61" s="5">
        <f>AD61/0.47</f>
        <v>400.37279162096945</v>
      </c>
      <c r="AK61" s="5">
        <f>AJ61*0.24</f>
        <v>96.089469989032665</v>
      </c>
      <c r="AL61" s="6">
        <f>1144+ 26.16+17.47+15.17</f>
        <v>1202.8000000000002</v>
      </c>
    </row>
    <row r="62" spans="1:38" x14ac:dyDescent="0.25">
      <c r="A62" s="6">
        <v>61</v>
      </c>
      <c r="B62" s="5">
        <v>47</v>
      </c>
      <c r="C62" s="6" t="s">
        <v>250</v>
      </c>
      <c r="D62" s="6" t="s">
        <v>251</v>
      </c>
      <c r="E62" s="6" t="s">
        <v>22</v>
      </c>
      <c r="F62" s="6">
        <v>2016</v>
      </c>
      <c r="G62" s="6" t="s">
        <v>23</v>
      </c>
      <c r="H62" s="6" t="s">
        <v>24</v>
      </c>
      <c r="I62" s="6">
        <v>1.517139</v>
      </c>
      <c r="J62" s="6">
        <v>103.667556</v>
      </c>
      <c r="K62" s="5" t="s">
        <v>252</v>
      </c>
      <c r="L62" s="7">
        <v>1711191</v>
      </c>
      <c r="M62" s="7">
        <v>1608</v>
      </c>
      <c r="N62" s="5" t="s">
        <v>26</v>
      </c>
      <c r="O62" s="6" t="s">
        <v>52</v>
      </c>
      <c r="P62" s="6" t="s">
        <v>53</v>
      </c>
      <c r="Q62" s="6">
        <v>2662</v>
      </c>
      <c r="R62" s="6">
        <v>26.3</v>
      </c>
      <c r="S62" s="6" t="s">
        <v>54</v>
      </c>
      <c r="T62" s="6" t="s">
        <v>30</v>
      </c>
      <c r="U62" s="6" t="s">
        <v>74</v>
      </c>
      <c r="V62" s="6" t="s">
        <v>253</v>
      </c>
      <c r="W62" s="6" t="s">
        <v>46</v>
      </c>
      <c r="X62" s="6" t="s">
        <v>34</v>
      </c>
      <c r="Y62" s="6" t="s">
        <v>47</v>
      </c>
      <c r="Z62" s="6" t="s">
        <v>36</v>
      </c>
      <c r="AA62" s="6" t="s">
        <v>36</v>
      </c>
      <c r="AB62" s="6" t="s">
        <v>36</v>
      </c>
      <c r="AC62" s="6" t="s">
        <v>36</v>
      </c>
      <c r="AD62" s="6">
        <f>52.1*1.24</f>
        <v>64.603999999999999</v>
      </c>
      <c r="AE62" s="6">
        <f>AD62*AL62</f>
        <v>541510.728</v>
      </c>
      <c r="AF62" s="6">
        <f t="shared" si="18"/>
        <v>1987344.37176</v>
      </c>
      <c r="AG62" s="6">
        <f t="shared" si="19"/>
        <v>237.09667999999999</v>
      </c>
      <c r="AH62" s="5">
        <f>AJ62+AK62</f>
        <v>137.45531914893618</v>
      </c>
      <c r="AI62" s="5">
        <f>AH62*AL62</f>
        <v>1152150.485106383</v>
      </c>
      <c r="AJ62" s="5">
        <f>52.1/0.47</f>
        <v>110.85106382978725</v>
      </c>
      <c r="AK62" s="5">
        <f t="shared" ref="AK62:AK63" si="23">AJ62*0.24</f>
        <v>26.60425531914894</v>
      </c>
      <c r="AL62" s="7">
        <v>8382</v>
      </c>
    </row>
    <row r="63" spans="1:38" x14ac:dyDescent="0.25">
      <c r="A63" s="6">
        <v>62</v>
      </c>
      <c r="B63" s="5">
        <v>47</v>
      </c>
      <c r="C63" s="6" t="s">
        <v>250</v>
      </c>
      <c r="D63" s="6" t="s">
        <v>251</v>
      </c>
      <c r="E63" s="6" t="s">
        <v>22</v>
      </c>
      <c r="F63" s="6">
        <v>2016</v>
      </c>
      <c r="G63" s="6" t="s">
        <v>23</v>
      </c>
      <c r="H63" s="6" t="s">
        <v>24</v>
      </c>
      <c r="I63" s="6">
        <v>1.517139</v>
      </c>
      <c r="J63" s="6">
        <v>103.667556</v>
      </c>
      <c r="K63" s="5" t="s">
        <v>252</v>
      </c>
      <c r="L63" s="7">
        <v>1711191</v>
      </c>
      <c r="M63" s="7">
        <v>1608</v>
      </c>
      <c r="N63" s="5" t="s">
        <v>26</v>
      </c>
      <c r="O63" s="6" t="s">
        <v>52</v>
      </c>
      <c r="P63" s="6" t="s">
        <v>53</v>
      </c>
      <c r="Q63" s="6">
        <v>2662</v>
      </c>
      <c r="R63" s="6">
        <v>26.3</v>
      </c>
      <c r="S63" s="6" t="s">
        <v>54</v>
      </c>
      <c r="T63" s="6" t="s">
        <v>133</v>
      </c>
      <c r="U63" s="6" t="s">
        <v>74</v>
      </c>
      <c r="V63" s="6" t="s">
        <v>253</v>
      </c>
      <c r="W63" s="6" t="s">
        <v>46</v>
      </c>
      <c r="X63" s="6" t="s">
        <v>34</v>
      </c>
      <c r="Y63" s="6" t="s">
        <v>47</v>
      </c>
      <c r="Z63" s="6" t="s">
        <v>36</v>
      </c>
      <c r="AA63" s="6" t="s">
        <v>36</v>
      </c>
      <c r="AB63" s="6" t="s">
        <v>36</v>
      </c>
      <c r="AC63" s="6" t="s">
        <v>36</v>
      </c>
      <c r="AD63" s="6">
        <f>32.63*1.24</f>
        <v>40.461200000000005</v>
      </c>
      <c r="AE63" s="6">
        <f>AD63*AL63</f>
        <v>1808.2110280000002</v>
      </c>
      <c r="AF63" s="6">
        <f t="shared" si="18"/>
        <v>6636.1344727600008</v>
      </c>
      <c r="AG63" s="6">
        <f t="shared" si="19"/>
        <v>148.49260400000003</v>
      </c>
      <c r="AH63" s="5">
        <f t="shared" ref="AH63" si="24">AJ63+AK63</f>
        <v>86.087659574468091</v>
      </c>
      <c r="AI63" s="5">
        <f>AH63*AL63</f>
        <v>3847.2575063829786</v>
      </c>
      <c r="AJ63" s="5">
        <f>32.63/0.47</f>
        <v>69.425531914893625</v>
      </c>
      <c r="AK63" s="5">
        <f t="shared" si="23"/>
        <v>16.66212765957447</v>
      </c>
      <c r="AL63" s="6">
        <v>44.69</v>
      </c>
    </row>
    <row r="64" spans="1:38" x14ac:dyDescent="0.25">
      <c r="A64" s="6">
        <v>63</v>
      </c>
      <c r="B64" s="5">
        <v>48</v>
      </c>
      <c r="C64" s="6" t="s">
        <v>254</v>
      </c>
      <c r="D64" s="6" t="s">
        <v>255</v>
      </c>
      <c r="E64" s="6" t="s">
        <v>22</v>
      </c>
      <c r="F64" s="6">
        <v>2023</v>
      </c>
      <c r="G64" s="6" t="s">
        <v>23</v>
      </c>
      <c r="H64" s="6" t="s">
        <v>24</v>
      </c>
      <c r="I64" s="6">
        <v>19.997499999999999</v>
      </c>
      <c r="J64" s="6">
        <v>73.789805999999999</v>
      </c>
      <c r="K64" s="5" t="s">
        <v>256</v>
      </c>
      <c r="L64" s="7">
        <v>1486053</v>
      </c>
      <c r="M64" s="7">
        <v>5735</v>
      </c>
      <c r="N64" s="5" t="s">
        <v>26</v>
      </c>
      <c r="O64" s="6" t="s">
        <v>27</v>
      </c>
      <c r="P64" s="6" t="s">
        <v>28</v>
      </c>
      <c r="Q64" s="6">
        <v>1134</v>
      </c>
      <c r="R64" s="6">
        <v>24.1</v>
      </c>
      <c r="S64" s="6" t="s">
        <v>108</v>
      </c>
      <c r="T64" s="6" t="s">
        <v>112</v>
      </c>
      <c r="U64" s="6" t="s">
        <v>31</v>
      </c>
      <c r="V64" s="6" t="s">
        <v>32</v>
      </c>
      <c r="W64" s="6" t="s">
        <v>33</v>
      </c>
      <c r="X64" s="6" t="s">
        <v>34</v>
      </c>
      <c r="Y64" s="6" t="s">
        <v>35</v>
      </c>
      <c r="Z64" s="6">
        <v>223.32</v>
      </c>
      <c r="AA64" s="6">
        <f>Z64/AL64</f>
        <v>16.077753779697623</v>
      </c>
      <c r="AB64" s="6">
        <f>Z64*3.67</f>
        <v>819.58439999999996</v>
      </c>
      <c r="AC64" s="6">
        <f>AA64*3.67</f>
        <v>59.005356371490279</v>
      </c>
      <c r="AD64" s="6">
        <f>AE64/AL64</f>
        <v>16.825773938084954</v>
      </c>
      <c r="AE64" s="6">
        <v>233.71</v>
      </c>
      <c r="AF64" s="6">
        <f t="shared" si="18"/>
        <v>857.71569999999997</v>
      </c>
      <c r="AG64" s="6">
        <f t="shared" si="19"/>
        <v>61.750590352771773</v>
      </c>
      <c r="AH64" s="6">
        <f>AI64/AL64</f>
        <v>33.651979841612672</v>
      </c>
      <c r="AI64" s="6">
        <v>467.42599999999999</v>
      </c>
      <c r="AJ64" s="6">
        <v>431.47649999999999</v>
      </c>
      <c r="AK64" s="6">
        <v>35.950299999999999</v>
      </c>
      <c r="AL64" s="6">
        <v>13.89</v>
      </c>
    </row>
    <row r="65" spans="1:38" x14ac:dyDescent="0.25">
      <c r="A65" s="6">
        <v>64</v>
      </c>
      <c r="B65" s="5">
        <v>49</v>
      </c>
      <c r="C65" s="6" t="s">
        <v>257</v>
      </c>
      <c r="D65" s="6" t="s">
        <v>258</v>
      </c>
      <c r="E65" s="6" t="s">
        <v>22</v>
      </c>
      <c r="F65" s="6">
        <v>2022</v>
      </c>
      <c r="G65" s="6" t="s">
        <v>23</v>
      </c>
      <c r="H65" s="6" t="s">
        <v>24</v>
      </c>
      <c r="I65" s="6">
        <v>11.016667</v>
      </c>
      <c r="J65" s="6">
        <v>76.966667000000001</v>
      </c>
      <c r="K65" s="5" t="s">
        <v>259</v>
      </c>
      <c r="L65" s="7">
        <v>3458045</v>
      </c>
      <c r="M65" s="6">
        <v>730.8</v>
      </c>
      <c r="N65" s="5" t="s">
        <v>26</v>
      </c>
      <c r="O65" s="6" t="s">
        <v>27</v>
      </c>
      <c r="P65" s="6" t="s">
        <v>28</v>
      </c>
      <c r="Q65" s="6">
        <v>618</v>
      </c>
      <c r="R65" s="6">
        <v>29.5</v>
      </c>
      <c r="S65" s="6" t="s">
        <v>54</v>
      </c>
      <c r="T65" s="6" t="s">
        <v>133</v>
      </c>
      <c r="U65" s="6" t="s">
        <v>31</v>
      </c>
      <c r="V65" s="6" t="s">
        <v>260</v>
      </c>
      <c r="W65" s="6" t="s">
        <v>46</v>
      </c>
      <c r="X65" s="6" t="s">
        <v>34</v>
      </c>
      <c r="Y65" s="6" t="s">
        <v>35</v>
      </c>
      <c r="Z65" s="6">
        <v>8.0894899999999996</v>
      </c>
      <c r="AA65" s="6" t="s">
        <v>36</v>
      </c>
      <c r="AB65" s="6">
        <f>Z65*3.67</f>
        <v>29.688428299999998</v>
      </c>
      <c r="AC65" s="6" t="s">
        <v>36</v>
      </c>
      <c r="AD65" s="6" t="s">
        <v>36</v>
      </c>
      <c r="AE65" s="6">
        <v>81.273880000000005</v>
      </c>
      <c r="AF65" s="6">
        <v>297.89400000000001</v>
      </c>
      <c r="AG65" s="6" t="s">
        <v>36</v>
      </c>
      <c r="AH65" s="6" t="s">
        <v>36</v>
      </c>
      <c r="AI65" s="6">
        <v>162.54776000000001</v>
      </c>
      <c r="AJ65" s="5" t="s">
        <v>261</v>
      </c>
      <c r="AK65" s="5" t="s">
        <v>262</v>
      </c>
      <c r="AL65" s="6" t="s">
        <v>36</v>
      </c>
    </row>
    <row r="66" spans="1:38" x14ac:dyDescent="0.25">
      <c r="A66" s="6">
        <v>65</v>
      </c>
      <c r="B66" s="5">
        <v>50</v>
      </c>
      <c r="C66" s="6" t="s">
        <v>263</v>
      </c>
      <c r="D66" s="6" t="s">
        <v>264</v>
      </c>
      <c r="E66" s="6" t="s">
        <v>22</v>
      </c>
      <c r="F66" s="6">
        <v>2018</v>
      </c>
      <c r="G66" s="6" t="s">
        <v>23</v>
      </c>
      <c r="H66" s="6" t="s">
        <v>24</v>
      </c>
      <c r="I66" s="6">
        <v>4.6626940000000001</v>
      </c>
      <c r="J66" s="6">
        <v>9.3976749999999996</v>
      </c>
      <c r="K66" s="5" t="s">
        <v>265</v>
      </c>
      <c r="L66" s="7">
        <v>144268</v>
      </c>
      <c r="M66" s="5">
        <f>(158+271.5)/2</f>
        <v>214.75</v>
      </c>
      <c r="N66" s="5" t="s">
        <v>41</v>
      </c>
      <c r="O66" s="6" t="s">
        <v>266</v>
      </c>
      <c r="P66" s="6" t="s">
        <v>102</v>
      </c>
      <c r="Q66" s="6">
        <v>3500</v>
      </c>
      <c r="R66" s="6">
        <v>29.5</v>
      </c>
      <c r="S66" s="6" t="s">
        <v>54</v>
      </c>
      <c r="T66" s="5" t="s">
        <v>55</v>
      </c>
      <c r="U66" s="6" t="s">
        <v>56</v>
      </c>
      <c r="V66" s="6" t="s">
        <v>32</v>
      </c>
      <c r="W66" s="6" t="s">
        <v>201</v>
      </c>
      <c r="X66" s="6" t="s">
        <v>34</v>
      </c>
      <c r="Y66" s="6" t="s">
        <v>47</v>
      </c>
      <c r="Z66" s="6" t="s">
        <v>36</v>
      </c>
      <c r="AA66" s="6" t="s">
        <v>36</v>
      </c>
      <c r="AB66" s="6" t="s">
        <v>36</v>
      </c>
      <c r="AC66" s="6" t="s">
        <v>36</v>
      </c>
      <c r="AD66" s="6">
        <f xml:space="preserve"> 79.48*1.24</f>
        <v>98.555199999999999</v>
      </c>
      <c r="AE66" s="6">
        <f>AD66*AL66</f>
        <v>313799.75679999997</v>
      </c>
      <c r="AF66" s="6">
        <f>AE66*3.67</f>
        <v>1151645.1074559998</v>
      </c>
      <c r="AG66" s="6">
        <f t="shared" ref="AG66:AG74" si="25">AD66*3.67</f>
        <v>361.69758400000001</v>
      </c>
      <c r="AH66" s="5">
        <f t="shared" ref="AH66:AH67" si="26">AJ66+AK66</f>
        <v>197.37079999999997</v>
      </c>
      <c r="AI66" s="5">
        <f>AH66*AL66</f>
        <v>628428.62719999987</v>
      </c>
      <c r="AJ66" s="6">
        <v>159.16999999999999</v>
      </c>
      <c r="AK66" s="5">
        <f>AJ66*0.24</f>
        <v>38.200799999999994</v>
      </c>
      <c r="AL66" s="6">
        <v>3184</v>
      </c>
    </row>
    <row r="67" spans="1:38" x14ac:dyDescent="0.25">
      <c r="A67" s="6">
        <v>66</v>
      </c>
      <c r="B67" s="5">
        <v>51</v>
      </c>
      <c r="C67" s="6" t="s">
        <v>267</v>
      </c>
      <c r="D67" s="6" t="s">
        <v>268</v>
      </c>
      <c r="E67" s="6" t="s">
        <v>22</v>
      </c>
      <c r="F67" s="6">
        <v>2021</v>
      </c>
      <c r="G67" s="6" t="s">
        <v>23</v>
      </c>
      <c r="H67" s="6" t="s">
        <v>24</v>
      </c>
      <c r="I67" s="6">
        <v>18.428277999999999</v>
      </c>
      <c r="J67" s="6">
        <v>-66.037861000000007</v>
      </c>
      <c r="K67" s="5" t="s">
        <v>269</v>
      </c>
      <c r="L67" s="7">
        <v>342259</v>
      </c>
      <c r="M67" s="7">
        <v>1850</v>
      </c>
      <c r="N67" s="5" t="s">
        <v>86</v>
      </c>
      <c r="O67" s="6" t="s">
        <v>270</v>
      </c>
      <c r="P67" s="6" t="s">
        <v>102</v>
      </c>
      <c r="Q67" s="6">
        <v>1431.3</v>
      </c>
      <c r="R67" s="6">
        <v>27.2</v>
      </c>
      <c r="S67" s="6" t="s">
        <v>29</v>
      </c>
      <c r="T67" s="5" t="s">
        <v>55</v>
      </c>
      <c r="U67" s="6" t="s">
        <v>56</v>
      </c>
      <c r="V67" s="6" t="s">
        <v>32</v>
      </c>
      <c r="W67" s="6" t="s">
        <v>201</v>
      </c>
      <c r="X67" s="6" t="s">
        <v>34</v>
      </c>
      <c r="Y67" s="6" t="s">
        <v>47</v>
      </c>
      <c r="Z67" s="6">
        <f>AA67*AL67</f>
        <v>7727.2</v>
      </c>
      <c r="AA67" s="6">
        <v>5.2</v>
      </c>
      <c r="AB67" s="6">
        <f>Z67*3.67</f>
        <v>28358.824000000001</v>
      </c>
      <c r="AC67" s="6">
        <f>AA67*3.67</f>
        <v>19.084</v>
      </c>
      <c r="AD67" s="6">
        <f>90.1*1.24</f>
        <v>111.72399999999999</v>
      </c>
      <c r="AE67" s="6">
        <v>208308</v>
      </c>
      <c r="AF67" s="6">
        <f>AE67*3.67</f>
        <v>764490.36</v>
      </c>
      <c r="AG67" s="6">
        <f t="shared" si="25"/>
        <v>410.02707999999996</v>
      </c>
      <c r="AH67" s="5">
        <f t="shared" si="26"/>
        <v>294.76119148936169</v>
      </c>
      <c r="AI67" s="5">
        <f>AH67*AL67</f>
        <v>438015.13055319147</v>
      </c>
      <c r="AJ67" s="5">
        <f>AD67/0.47</f>
        <v>237.71063829787232</v>
      </c>
      <c r="AK67" s="5">
        <f>AJ67*0.24</f>
        <v>57.050553191489357</v>
      </c>
      <c r="AL67" s="6">
        <v>1486</v>
      </c>
    </row>
    <row r="68" spans="1:38" x14ac:dyDescent="0.25">
      <c r="A68" s="6">
        <v>67</v>
      </c>
      <c r="B68" s="5">
        <v>52</v>
      </c>
      <c r="C68" s="6" t="s">
        <v>271</v>
      </c>
      <c r="D68" s="6" t="s">
        <v>272</v>
      </c>
      <c r="E68" s="6" t="s">
        <v>22</v>
      </c>
      <c r="F68" s="6">
        <v>2014</v>
      </c>
      <c r="G68" s="6" t="s">
        <v>23</v>
      </c>
      <c r="H68" s="6" t="s">
        <v>24</v>
      </c>
      <c r="I68" s="6">
        <v>1.5100750000000001</v>
      </c>
      <c r="J68" s="6">
        <v>103.632458</v>
      </c>
      <c r="K68" s="5" t="s">
        <v>252</v>
      </c>
      <c r="L68" s="7">
        <v>1711191</v>
      </c>
      <c r="M68" s="7">
        <v>1608</v>
      </c>
      <c r="N68" s="5" t="s">
        <v>26</v>
      </c>
      <c r="O68" s="6" t="s">
        <v>52</v>
      </c>
      <c r="P68" s="6" t="s">
        <v>53</v>
      </c>
      <c r="Q68" s="6">
        <v>2662</v>
      </c>
      <c r="R68" s="6">
        <v>28</v>
      </c>
      <c r="S68" s="6" t="s">
        <v>54</v>
      </c>
      <c r="T68" s="5" t="s">
        <v>55</v>
      </c>
      <c r="U68" s="6" t="s">
        <v>31</v>
      </c>
      <c r="V68" s="6" t="s">
        <v>273</v>
      </c>
      <c r="W68" s="6" t="s">
        <v>201</v>
      </c>
      <c r="X68" s="6" t="s">
        <v>34</v>
      </c>
      <c r="Y68" s="6" t="s">
        <v>47</v>
      </c>
      <c r="Z68" s="6" t="s">
        <v>36</v>
      </c>
      <c r="AA68" s="6" t="s">
        <v>36</v>
      </c>
      <c r="AB68" s="6" t="s">
        <v>36</v>
      </c>
      <c r="AC68" s="6" t="s">
        <v>36</v>
      </c>
      <c r="AD68" s="6">
        <f>70*1.24</f>
        <v>86.8</v>
      </c>
      <c r="AE68" s="6">
        <f>AD68*AL68</f>
        <v>2170</v>
      </c>
      <c r="AF68" s="6">
        <f>AE68*3.67</f>
        <v>7963.9</v>
      </c>
      <c r="AG68" s="6">
        <f t="shared" si="25"/>
        <v>318.55599999999998</v>
      </c>
      <c r="AH68" s="6">
        <f>AD68/0.47</f>
        <v>184.68085106382978</v>
      </c>
      <c r="AI68" s="6">
        <f>AE68/0.47</f>
        <v>4617.0212765957449</v>
      </c>
      <c r="AJ68" s="6">
        <f>70/0.47</f>
        <v>148.93617021276597</v>
      </c>
      <c r="AK68" s="6">
        <f t="shared" ref="AK68:AK73" si="27">AJ68*0.24</f>
        <v>35.744680851063833</v>
      </c>
      <c r="AL68" s="6">
        <v>25</v>
      </c>
    </row>
    <row r="69" spans="1:38" x14ac:dyDescent="0.25">
      <c r="A69" s="6">
        <v>68</v>
      </c>
      <c r="B69" s="5">
        <v>53</v>
      </c>
      <c r="C69" s="6" t="s">
        <v>274</v>
      </c>
      <c r="D69" s="6" t="s">
        <v>275</v>
      </c>
      <c r="E69" s="6" t="s">
        <v>22</v>
      </c>
      <c r="F69" s="6">
        <v>2025</v>
      </c>
      <c r="G69" s="6" t="s">
        <v>50</v>
      </c>
      <c r="H69" s="6" t="s">
        <v>24</v>
      </c>
      <c r="I69" s="6">
        <v>22.410833</v>
      </c>
      <c r="J69" s="6">
        <v>88.188610999999995</v>
      </c>
      <c r="K69" s="5" t="s">
        <v>276</v>
      </c>
      <c r="L69" s="7">
        <v>4496694</v>
      </c>
      <c r="M69" s="7">
        <v>24306</v>
      </c>
      <c r="N69" s="5" t="s">
        <v>26</v>
      </c>
      <c r="O69" s="6" t="s">
        <v>27</v>
      </c>
      <c r="P69" s="6" t="s">
        <v>28</v>
      </c>
      <c r="Q69" s="6">
        <v>1656</v>
      </c>
      <c r="R69" s="6">
        <v>26</v>
      </c>
      <c r="S69" s="6" t="s">
        <v>54</v>
      </c>
      <c r="T69" s="5" t="s">
        <v>55</v>
      </c>
      <c r="U69" s="6" t="s">
        <v>74</v>
      </c>
      <c r="V69" s="6" t="s">
        <v>277</v>
      </c>
      <c r="W69" s="6" t="s">
        <v>172</v>
      </c>
      <c r="X69" s="6" t="s">
        <v>173</v>
      </c>
      <c r="Y69" s="6" t="s">
        <v>35</v>
      </c>
      <c r="Z69" s="6">
        <f>AA69*AL69</f>
        <v>7654.0708446866483</v>
      </c>
      <c r="AA69" s="6">
        <f>AC69/3.67</f>
        <v>6.0940054495912804E-2</v>
      </c>
      <c r="AB69" s="6">
        <f>AC69*AL69</f>
        <v>28090.44</v>
      </c>
      <c r="AC69" s="6">
        <v>0.22364999999999999</v>
      </c>
      <c r="AD69" s="6">
        <f>AE69/AL69</f>
        <v>39.933443501090132</v>
      </c>
      <c r="AE69" s="6">
        <f>((1992*6039109)+(2022*4007357))/(1992+2022)</f>
        <v>5015640.5037369207</v>
      </c>
      <c r="AF69" s="6">
        <f>AE69*3.67</f>
        <v>18407400.648714498</v>
      </c>
      <c r="AG69" s="6">
        <f t="shared" si="25"/>
        <v>146.55573764900078</v>
      </c>
      <c r="AH69" s="6">
        <f>AD69/0.47</f>
        <v>84.96477340657475</v>
      </c>
      <c r="AI69" s="6">
        <f>AE69/0.47</f>
        <v>10671575.53986579</v>
      </c>
      <c r="AJ69" s="6">
        <f t="shared" ref="AJ69" si="28">AD69/1.24</f>
        <v>32.204389920233979</v>
      </c>
      <c r="AK69" s="6">
        <f t="shared" si="27"/>
        <v>7.7290535808561547</v>
      </c>
      <c r="AL69" s="6">
        <v>125600</v>
      </c>
    </row>
    <row r="70" spans="1:38" x14ac:dyDescent="0.25">
      <c r="A70" s="6">
        <v>69</v>
      </c>
      <c r="B70" s="5">
        <v>54</v>
      </c>
      <c r="C70" s="6" t="s">
        <v>278</v>
      </c>
      <c r="D70" s="6" t="s">
        <v>279</v>
      </c>
      <c r="E70" s="6" t="s">
        <v>22</v>
      </c>
      <c r="F70" s="6">
        <v>2014</v>
      </c>
      <c r="G70" s="6" t="s">
        <v>23</v>
      </c>
      <c r="H70" s="6" t="s">
        <v>24</v>
      </c>
      <c r="I70" s="6">
        <v>22.866667</v>
      </c>
      <c r="J70" s="6">
        <v>113.841667</v>
      </c>
      <c r="K70" s="5" t="s">
        <v>280</v>
      </c>
      <c r="L70" s="7">
        <v>10466625</v>
      </c>
      <c r="M70" s="7">
        <v>4246</v>
      </c>
      <c r="N70" s="5" t="s">
        <v>26</v>
      </c>
      <c r="O70" s="6" t="s">
        <v>281</v>
      </c>
      <c r="P70" s="6" t="s">
        <v>43</v>
      </c>
      <c r="Q70" s="6">
        <v>1956</v>
      </c>
      <c r="R70" s="6">
        <v>20.3</v>
      </c>
      <c r="S70" s="6" t="s">
        <v>54</v>
      </c>
      <c r="T70" s="6" t="s">
        <v>133</v>
      </c>
      <c r="U70" s="6" t="s">
        <v>31</v>
      </c>
      <c r="V70" s="6" t="s">
        <v>32</v>
      </c>
      <c r="W70" s="6" t="s">
        <v>33</v>
      </c>
      <c r="X70" s="6" t="s">
        <v>34</v>
      </c>
      <c r="Y70" s="6" t="s">
        <v>47</v>
      </c>
      <c r="Z70" s="6" t="s">
        <v>36</v>
      </c>
      <c r="AA70" s="6" t="s">
        <v>36</v>
      </c>
      <c r="AB70" s="6" t="s">
        <v>36</v>
      </c>
      <c r="AC70" s="6" t="s">
        <v>36</v>
      </c>
      <c r="AD70" s="6">
        <f>125*1.24</f>
        <v>155</v>
      </c>
      <c r="AE70" s="6" t="s">
        <v>36</v>
      </c>
      <c r="AF70" s="6" t="s">
        <v>36</v>
      </c>
      <c r="AG70" s="6">
        <f t="shared" si="25"/>
        <v>568.85</v>
      </c>
      <c r="AH70" s="5">
        <f t="shared" ref="AH70:AH72" si="29">AJ70+AK70</f>
        <v>310</v>
      </c>
      <c r="AI70" s="5" t="s">
        <v>36</v>
      </c>
      <c r="AJ70" s="6">
        <v>250</v>
      </c>
      <c r="AK70" s="5">
        <f t="shared" si="27"/>
        <v>60</v>
      </c>
      <c r="AL70" s="6" t="s">
        <v>36</v>
      </c>
    </row>
    <row r="71" spans="1:38" x14ac:dyDescent="0.25">
      <c r="A71" s="6">
        <v>70</v>
      </c>
      <c r="B71" s="5">
        <v>54</v>
      </c>
      <c r="C71" s="6" t="s">
        <v>278</v>
      </c>
      <c r="D71" s="6" t="s">
        <v>279</v>
      </c>
      <c r="E71" s="6" t="s">
        <v>22</v>
      </c>
      <c r="F71" s="6">
        <v>2014</v>
      </c>
      <c r="G71" s="6" t="s">
        <v>23</v>
      </c>
      <c r="H71" s="6" t="s">
        <v>24</v>
      </c>
      <c r="I71" s="6">
        <v>22.866667</v>
      </c>
      <c r="J71" s="6">
        <v>113.841667</v>
      </c>
      <c r="K71" s="5" t="s">
        <v>280</v>
      </c>
      <c r="L71" s="7">
        <v>10466625</v>
      </c>
      <c r="M71" s="7">
        <v>4246</v>
      </c>
      <c r="N71" s="5" t="s">
        <v>26</v>
      </c>
      <c r="O71" s="6" t="s">
        <v>281</v>
      </c>
      <c r="P71" s="6" t="s">
        <v>43</v>
      </c>
      <c r="Q71" s="6">
        <v>1956</v>
      </c>
      <c r="R71" s="6">
        <v>20.3</v>
      </c>
      <c r="S71" s="6" t="s">
        <v>54</v>
      </c>
      <c r="T71" s="6" t="s">
        <v>133</v>
      </c>
      <c r="U71" s="6" t="s">
        <v>56</v>
      </c>
      <c r="V71" s="6" t="s">
        <v>32</v>
      </c>
      <c r="W71" s="6" t="s">
        <v>33</v>
      </c>
      <c r="X71" s="6" t="s">
        <v>34</v>
      </c>
      <c r="Y71" s="6" t="s">
        <v>47</v>
      </c>
      <c r="Z71" s="6" t="s">
        <v>36</v>
      </c>
      <c r="AA71" s="6" t="s">
        <v>36</v>
      </c>
      <c r="AB71" s="6" t="s">
        <v>36</v>
      </c>
      <c r="AC71" s="6" t="s">
        <v>36</v>
      </c>
      <c r="AD71" s="6">
        <f>174.5*1.24</f>
        <v>216.38</v>
      </c>
      <c r="AE71" s="6" t="s">
        <v>36</v>
      </c>
      <c r="AF71" s="6" t="s">
        <v>36</v>
      </c>
      <c r="AG71" s="6">
        <f t="shared" si="25"/>
        <v>794.1146</v>
      </c>
      <c r="AH71" s="5">
        <f t="shared" si="29"/>
        <v>446.4</v>
      </c>
      <c r="AI71" s="5" t="s">
        <v>36</v>
      </c>
      <c r="AJ71" s="6">
        <v>360</v>
      </c>
      <c r="AK71" s="5">
        <f t="shared" si="27"/>
        <v>86.399999999999991</v>
      </c>
      <c r="AL71" s="6" t="s">
        <v>36</v>
      </c>
    </row>
    <row r="72" spans="1:38" x14ac:dyDescent="0.25">
      <c r="A72" s="6">
        <v>71</v>
      </c>
      <c r="B72" s="5">
        <v>54</v>
      </c>
      <c r="C72" s="6" t="s">
        <v>278</v>
      </c>
      <c r="D72" s="6" t="s">
        <v>279</v>
      </c>
      <c r="E72" s="6" t="s">
        <v>22</v>
      </c>
      <c r="F72" s="6">
        <v>2014</v>
      </c>
      <c r="G72" s="6" t="s">
        <v>23</v>
      </c>
      <c r="H72" s="6" t="s">
        <v>24</v>
      </c>
      <c r="I72" s="6">
        <v>22.866667</v>
      </c>
      <c r="J72" s="6">
        <v>113.841667</v>
      </c>
      <c r="K72" s="5" t="s">
        <v>280</v>
      </c>
      <c r="L72" s="7">
        <v>10466625</v>
      </c>
      <c r="M72" s="7">
        <v>4246</v>
      </c>
      <c r="N72" s="5" t="s">
        <v>26</v>
      </c>
      <c r="O72" s="6" t="s">
        <v>281</v>
      </c>
      <c r="P72" s="6" t="s">
        <v>43</v>
      </c>
      <c r="Q72" s="6">
        <v>1956</v>
      </c>
      <c r="R72" s="6">
        <v>20.3</v>
      </c>
      <c r="S72" s="6" t="s">
        <v>54</v>
      </c>
      <c r="T72" s="6" t="s">
        <v>133</v>
      </c>
      <c r="U72" s="5" t="s">
        <v>178</v>
      </c>
      <c r="V72" s="6" t="s">
        <v>32</v>
      </c>
      <c r="W72" s="6" t="s">
        <v>33</v>
      </c>
      <c r="X72" s="6" t="s">
        <v>34</v>
      </c>
      <c r="Y72" s="6" t="s">
        <v>47</v>
      </c>
      <c r="Z72" s="6" t="s">
        <v>36</v>
      </c>
      <c r="AA72" s="6" t="s">
        <v>36</v>
      </c>
      <c r="AB72" s="6" t="s">
        <v>36</v>
      </c>
      <c r="AC72" s="6" t="s">
        <v>36</v>
      </c>
      <c r="AD72" s="6">
        <f>90*1.24</f>
        <v>111.6</v>
      </c>
      <c r="AE72" s="6" t="s">
        <v>36</v>
      </c>
      <c r="AF72" s="6" t="s">
        <v>36</v>
      </c>
      <c r="AG72" s="6">
        <f t="shared" si="25"/>
        <v>409.57199999999995</v>
      </c>
      <c r="AH72" s="5">
        <f t="shared" si="29"/>
        <v>223.2</v>
      </c>
      <c r="AI72" s="5" t="s">
        <v>36</v>
      </c>
      <c r="AJ72" s="6">
        <v>180</v>
      </c>
      <c r="AK72" s="5">
        <f t="shared" si="27"/>
        <v>43.199999999999996</v>
      </c>
      <c r="AL72" s="6" t="s">
        <v>36</v>
      </c>
    </row>
    <row r="73" spans="1:38" x14ac:dyDescent="0.25">
      <c r="A73" s="6">
        <v>72</v>
      </c>
      <c r="B73" s="5">
        <v>55</v>
      </c>
      <c r="C73" s="6" t="s">
        <v>282</v>
      </c>
      <c r="D73" s="6" t="s">
        <v>283</v>
      </c>
      <c r="E73" s="6" t="s">
        <v>22</v>
      </c>
      <c r="F73" s="6">
        <v>2018</v>
      </c>
      <c r="G73" s="6" t="s">
        <v>23</v>
      </c>
      <c r="H73" s="6" t="s">
        <v>24</v>
      </c>
      <c r="I73" s="6">
        <v>6.6833330000000002</v>
      </c>
      <c r="J73" s="6">
        <v>-1.6166670000000001</v>
      </c>
      <c r="K73" s="5" t="s">
        <v>284</v>
      </c>
      <c r="L73" s="7">
        <v>443981</v>
      </c>
      <c r="M73" s="13">
        <v>6575</v>
      </c>
      <c r="N73" s="5" t="s">
        <v>41</v>
      </c>
      <c r="O73" s="6" t="s">
        <v>226</v>
      </c>
      <c r="P73" s="6" t="s">
        <v>28</v>
      </c>
      <c r="Q73" s="6">
        <v>1250</v>
      </c>
      <c r="R73" s="6">
        <v>26.4</v>
      </c>
      <c r="S73" s="6" t="s">
        <v>54</v>
      </c>
      <c r="T73" s="6" t="s">
        <v>112</v>
      </c>
      <c r="U73" s="6" t="s">
        <v>74</v>
      </c>
      <c r="V73" s="6" t="s">
        <v>32</v>
      </c>
      <c r="W73" s="6" t="s">
        <v>33</v>
      </c>
      <c r="X73" s="6" t="s">
        <v>34</v>
      </c>
      <c r="Y73" s="6" t="s">
        <v>47</v>
      </c>
      <c r="Z73" s="6" t="s">
        <v>36</v>
      </c>
      <c r="AA73" s="6" t="s">
        <v>36</v>
      </c>
      <c r="AB73" s="6" t="s">
        <v>36</v>
      </c>
      <c r="AC73" s="6" t="s">
        <v>36</v>
      </c>
      <c r="AD73" s="6">
        <f>228*1.24</f>
        <v>282.71999999999997</v>
      </c>
      <c r="AE73" s="6">
        <f>1200000*1.24</f>
        <v>1488000</v>
      </c>
      <c r="AF73" s="6">
        <f>AE73*3.67</f>
        <v>5460960</v>
      </c>
      <c r="AG73" s="6">
        <f t="shared" si="25"/>
        <v>1037.5823999999998</v>
      </c>
      <c r="AH73" s="5">
        <f>AJ73+AK73</f>
        <v>123.51181102362204</v>
      </c>
      <c r="AI73" s="5">
        <f>AH73*AL73</f>
        <v>3137200</v>
      </c>
      <c r="AJ73" s="6">
        <f>2530000/AL73</f>
        <v>99.606299212598429</v>
      </c>
      <c r="AK73" s="5">
        <f t="shared" si="27"/>
        <v>23.905511811023622</v>
      </c>
      <c r="AL73" s="6">
        <v>25400</v>
      </c>
    </row>
    <row r="74" spans="1:38" x14ac:dyDescent="0.25">
      <c r="A74" s="6">
        <v>73</v>
      </c>
      <c r="B74" s="5">
        <v>56</v>
      </c>
      <c r="C74" s="6" t="s">
        <v>285</v>
      </c>
      <c r="D74" s="6" t="s">
        <v>286</v>
      </c>
      <c r="E74" s="6" t="s">
        <v>22</v>
      </c>
      <c r="F74" s="6">
        <v>2022</v>
      </c>
      <c r="G74" s="6" t="s">
        <v>23</v>
      </c>
      <c r="H74" s="6" t="s">
        <v>24</v>
      </c>
      <c r="I74" s="6">
        <v>13.7525</v>
      </c>
      <c r="J74" s="6">
        <v>100.494167</v>
      </c>
      <c r="K74" s="5" t="s">
        <v>287</v>
      </c>
      <c r="L74" s="7">
        <v>9034000</v>
      </c>
      <c r="M74" s="14">
        <v>5294.2070000000003</v>
      </c>
      <c r="N74" s="5" t="s">
        <v>26</v>
      </c>
      <c r="O74" s="6" t="s">
        <v>139</v>
      </c>
      <c r="P74" s="6" t="s">
        <v>28</v>
      </c>
      <c r="Q74" s="6">
        <v>1207</v>
      </c>
      <c r="R74" s="6">
        <v>27.7</v>
      </c>
      <c r="S74" s="6" t="s">
        <v>29</v>
      </c>
      <c r="T74" s="6" t="s">
        <v>112</v>
      </c>
      <c r="U74" s="6" t="s">
        <v>74</v>
      </c>
      <c r="V74" s="6" t="s">
        <v>32</v>
      </c>
      <c r="W74" s="6" t="s">
        <v>33</v>
      </c>
      <c r="X74" s="6" t="s">
        <v>34</v>
      </c>
      <c r="Y74" s="6" t="s">
        <v>35</v>
      </c>
      <c r="Z74" s="6" t="s">
        <v>36</v>
      </c>
      <c r="AA74" s="6" t="s">
        <v>36</v>
      </c>
      <c r="AB74" s="6" t="s">
        <v>36</v>
      </c>
      <c r="AC74" s="6" t="s">
        <v>36</v>
      </c>
      <c r="AD74" s="6">
        <v>17.75</v>
      </c>
      <c r="AE74" s="6">
        <f>AD74*AL74</f>
        <v>9940000</v>
      </c>
      <c r="AF74" s="6">
        <f>AE74*3.67</f>
        <v>36479800</v>
      </c>
      <c r="AG74" s="6">
        <f t="shared" si="25"/>
        <v>65.142499999999998</v>
      </c>
      <c r="AH74" s="6">
        <f>AD74/0.48</f>
        <v>36.979166666666671</v>
      </c>
      <c r="AI74" s="6">
        <f>AH74*AL74</f>
        <v>20708333.333333336</v>
      </c>
      <c r="AJ74" s="6">
        <f>AH74/1.24</f>
        <v>29.821908602150543</v>
      </c>
      <c r="AK74" s="6">
        <f>AJ74*0.24</f>
        <v>7.1572580645161299</v>
      </c>
      <c r="AL74" s="6">
        <v>560000</v>
      </c>
    </row>
    <row r="75" spans="1:38" x14ac:dyDescent="0.25">
      <c r="A75" s="6">
        <v>74</v>
      </c>
      <c r="B75" s="5">
        <v>57</v>
      </c>
      <c r="C75" s="6" t="s">
        <v>288</v>
      </c>
      <c r="D75" s="6" t="s">
        <v>289</v>
      </c>
      <c r="E75" s="6" t="s">
        <v>22</v>
      </c>
      <c r="F75" s="6">
        <v>2022</v>
      </c>
      <c r="G75" s="6" t="s">
        <v>23</v>
      </c>
      <c r="H75" s="6" t="s">
        <v>39</v>
      </c>
      <c r="I75" s="6">
        <v>-5.1166669999999996</v>
      </c>
      <c r="J75" s="6">
        <v>105.3</v>
      </c>
      <c r="K75" s="5" t="s">
        <v>290</v>
      </c>
      <c r="L75" s="7">
        <v>142733</v>
      </c>
      <c r="M75" s="7">
        <v>1925</v>
      </c>
      <c r="N75" s="5" t="s">
        <v>26</v>
      </c>
      <c r="O75" s="6" t="s">
        <v>67</v>
      </c>
      <c r="P75" s="6" t="s">
        <v>53</v>
      </c>
      <c r="Q75" s="6">
        <v>2052</v>
      </c>
      <c r="R75" s="6">
        <v>25.9</v>
      </c>
      <c r="S75" s="6" t="s">
        <v>54</v>
      </c>
      <c r="T75" s="6" t="s">
        <v>45</v>
      </c>
      <c r="U75" s="6" t="s">
        <v>31</v>
      </c>
      <c r="V75" s="6" t="s">
        <v>32</v>
      </c>
      <c r="W75" s="6" t="s">
        <v>201</v>
      </c>
      <c r="X75" s="6" t="s">
        <v>34</v>
      </c>
      <c r="Y75" s="6" t="s">
        <v>47</v>
      </c>
      <c r="Z75" s="6">
        <f>AB75/3.67</f>
        <v>15.645776566757494</v>
      </c>
      <c r="AA75" s="6" t="s">
        <v>36</v>
      </c>
      <c r="AB75" s="6">
        <v>57.42</v>
      </c>
      <c r="AC75" s="6" t="s">
        <v>36</v>
      </c>
      <c r="AD75" s="6" t="s">
        <v>36</v>
      </c>
      <c r="AE75" s="6">
        <v>15.65</v>
      </c>
      <c r="AF75" s="6">
        <v>57.42</v>
      </c>
      <c r="AG75" s="6" t="s">
        <v>36</v>
      </c>
      <c r="AH75" s="5" t="s">
        <v>36</v>
      </c>
      <c r="AI75" s="5">
        <f>(34.02)+(34.02*0.24)</f>
        <v>42.184800000000003</v>
      </c>
      <c r="AJ75" s="6" t="s">
        <v>291</v>
      </c>
      <c r="AK75" s="5" t="s">
        <v>36</v>
      </c>
      <c r="AL75" s="6" t="s">
        <v>36</v>
      </c>
    </row>
    <row r="76" spans="1:38" x14ac:dyDescent="0.25">
      <c r="A76" s="6">
        <v>75</v>
      </c>
      <c r="B76" s="5">
        <v>58</v>
      </c>
      <c r="C76" s="6" t="s">
        <v>292</v>
      </c>
      <c r="D76" s="6" t="s">
        <v>293</v>
      </c>
      <c r="E76" s="6" t="s">
        <v>22</v>
      </c>
      <c r="F76" s="6">
        <v>2024</v>
      </c>
      <c r="G76" s="6" t="s">
        <v>23</v>
      </c>
      <c r="H76" s="6" t="s">
        <v>24</v>
      </c>
      <c r="I76" s="6">
        <v>11.183332999999999</v>
      </c>
      <c r="J76" s="6">
        <v>-4.2833329999999998</v>
      </c>
      <c r="K76" s="5" t="s">
        <v>237</v>
      </c>
      <c r="L76" s="7">
        <v>984603</v>
      </c>
      <c r="M76" s="6">
        <v>545.20000000000005</v>
      </c>
      <c r="N76" s="5" t="s">
        <v>41</v>
      </c>
      <c r="O76" s="6" t="s">
        <v>238</v>
      </c>
      <c r="P76" s="6" t="s">
        <v>28</v>
      </c>
      <c r="Q76" s="6">
        <v>1000</v>
      </c>
      <c r="R76" s="6">
        <v>22.5</v>
      </c>
      <c r="S76" s="6" t="s">
        <v>44</v>
      </c>
      <c r="T76" s="5" t="s">
        <v>55</v>
      </c>
      <c r="U76" s="6" t="s">
        <v>56</v>
      </c>
      <c r="V76" s="6" t="s">
        <v>32</v>
      </c>
      <c r="W76" s="6" t="s">
        <v>33</v>
      </c>
      <c r="X76" s="6" t="s">
        <v>34</v>
      </c>
      <c r="Y76" s="6" t="s">
        <v>47</v>
      </c>
      <c r="Z76" s="6" t="s">
        <v>36</v>
      </c>
      <c r="AA76" s="6" t="s">
        <v>36</v>
      </c>
      <c r="AB76" s="6" t="s">
        <v>36</v>
      </c>
      <c r="AC76" s="6" t="s">
        <v>36</v>
      </c>
      <c r="AD76" s="6">
        <f>(((26.21*350)+(13.39*8500))/(350+8500))*1.24</f>
        <v>17.232287005649717</v>
      </c>
      <c r="AE76" s="6">
        <f>AD76*AL76</f>
        <v>152505.74</v>
      </c>
      <c r="AF76" s="6">
        <f>AE76*3.67</f>
        <v>559696.06579999998</v>
      </c>
      <c r="AG76" s="6">
        <f>AD76*3.67</f>
        <v>63.24249331073446</v>
      </c>
      <c r="AH76" s="5">
        <f t="shared" ref="AH76" si="30">AJ76+AK76</f>
        <v>8.6104338983050841</v>
      </c>
      <c r="AI76" s="5">
        <f>AH76*AL76</f>
        <v>76202.34</v>
      </c>
      <c r="AJ76" s="6">
        <f>((13.11*350)+(6.69*8500))/(350+8500)</f>
        <v>6.9438983050847458</v>
      </c>
      <c r="AK76" s="5">
        <f t="shared" ref="AK76:AK77" si="31">AJ76*0.24</f>
        <v>1.666535593220339</v>
      </c>
      <c r="AL76" s="6">
        <f>350+8500</f>
        <v>8850</v>
      </c>
    </row>
    <row r="77" spans="1:38" x14ac:dyDescent="0.25">
      <c r="A77" s="6">
        <v>76</v>
      </c>
      <c r="B77" s="5">
        <v>59</v>
      </c>
      <c r="C77" s="6" t="s">
        <v>294</v>
      </c>
      <c r="D77" s="6" t="s">
        <v>295</v>
      </c>
      <c r="E77" s="6" t="s">
        <v>22</v>
      </c>
      <c r="F77" s="6">
        <v>2025</v>
      </c>
      <c r="G77" s="6" t="s">
        <v>23</v>
      </c>
      <c r="H77" s="6" t="s">
        <v>39</v>
      </c>
      <c r="I77" s="6">
        <v>-6.8848890000000003</v>
      </c>
      <c r="J77" s="6">
        <v>107.61061100000001</v>
      </c>
      <c r="K77" s="5" t="s">
        <v>66</v>
      </c>
      <c r="L77" s="7">
        <v>2394873</v>
      </c>
      <c r="M77" s="7">
        <v>14251</v>
      </c>
      <c r="N77" s="5" t="s">
        <v>26</v>
      </c>
      <c r="O77" s="6" t="s">
        <v>67</v>
      </c>
      <c r="P77" s="6" t="s">
        <v>53</v>
      </c>
      <c r="Q77" s="6">
        <v>3710</v>
      </c>
      <c r="R77" s="6">
        <v>22.4</v>
      </c>
      <c r="S77" s="6" t="s">
        <v>54</v>
      </c>
      <c r="T77" s="5" t="s">
        <v>55</v>
      </c>
      <c r="U77" s="6" t="s">
        <v>31</v>
      </c>
      <c r="V77" s="6" t="s">
        <v>68</v>
      </c>
      <c r="W77" s="6" t="s">
        <v>472</v>
      </c>
      <c r="X77" s="6" t="s">
        <v>34</v>
      </c>
      <c r="Y77" s="6" t="s">
        <v>35</v>
      </c>
      <c r="Z77" s="6">
        <v>25.17</v>
      </c>
      <c r="AA77" s="6">
        <f>Z77/AL77</f>
        <v>5.0340000000000007</v>
      </c>
      <c r="AB77" s="6">
        <f>Z77*3.67</f>
        <v>92.373900000000006</v>
      </c>
      <c r="AC77" s="6">
        <f>AB77/AL77</f>
        <v>18.474780000000003</v>
      </c>
      <c r="AD77" s="6">
        <f>AE77/AL77</f>
        <v>76.2</v>
      </c>
      <c r="AE77" s="6">
        <v>381</v>
      </c>
      <c r="AF77" s="6">
        <f>AE77*3.67</f>
        <v>1398.27</v>
      </c>
      <c r="AG77" s="6">
        <f>AD77*3.67</f>
        <v>279.654</v>
      </c>
      <c r="AH77" s="6">
        <f>AD77/0.47</f>
        <v>162.12765957446811</v>
      </c>
      <c r="AI77" s="6">
        <f>AE77/0.47</f>
        <v>810.63829787234044</v>
      </c>
      <c r="AJ77" s="6">
        <f>AD77/1.24</f>
        <v>61.451612903225808</v>
      </c>
      <c r="AK77" s="6">
        <f t="shared" si="31"/>
        <v>14.748387096774193</v>
      </c>
      <c r="AL77" s="6">
        <v>5</v>
      </c>
    </row>
    <row r="78" spans="1:38" x14ac:dyDescent="0.25">
      <c r="A78" s="6">
        <v>77</v>
      </c>
      <c r="B78" s="5">
        <v>60</v>
      </c>
      <c r="C78" s="6" t="s">
        <v>296</v>
      </c>
      <c r="D78" s="6" t="s">
        <v>297</v>
      </c>
      <c r="E78" s="6" t="s">
        <v>22</v>
      </c>
      <c r="F78" s="6">
        <v>2013</v>
      </c>
      <c r="G78" s="6" t="s">
        <v>50</v>
      </c>
      <c r="H78" s="6" t="s">
        <v>24</v>
      </c>
      <c r="I78" s="6">
        <v>1.3142940000000001</v>
      </c>
      <c r="J78" s="6">
        <v>103.911197</v>
      </c>
      <c r="K78" s="5" t="s">
        <v>161</v>
      </c>
      <c r="L78" s="7">
        <v>6111175</v>
      </c>
      <c r="M78" s="7">
        <v>8681</v>
      </c>
      <c r="N78" s="5" t="s">
        <v>26</v>
      </c>
      <c r="O78" s="6" t="s">
        <v>161</v>
      </c>
      <c r="P78" s="6" t="s">
        <v>102</v>
      </c>
      <c r="Q78" s="6">
        <v>197.5</v>
      </c>
      <c r="R78" s="6">
        <v>27.5</v>
      </c>
      <c r="S78" s="6" t="s">
        <v>54</v>
      </c>
      <c r="T78" s="6" t="s">
        <v>112</v>
      </c>
      <c r="U78" s="6" t="s">
        <v>31</v>
      </c>
      <c r="V78" s="6" t="s">
        <v>32</v>
      </c>
      <c r="W78" s="6" t="s">
        <v>46</v>
      </c>
      <c r="X78" s="6" t="s">
        <v>173</v>
      </c>
      <c r="Y78" s="6" t="s">
        <v>35</v>
      </c>
      <c r="Z78" s="6">
        <f>AB78/3.67</f>
        <v>1.3896457765667574</v>
      </c>
      <c r="AA78" s="6">
        <f>Z78/AL78</f>
        <v>1.770249396900328E-2</v>
      </c>
      <c r="AB78" s="6">
        <v>5.0999999999999996</v>
      </c>
      <c r="AC78" s="6">
        <f>AB78/AL78</f>
        <v>6.4968152866242038E-2</v>
      </c>
      <c r="AD78" s="6">
        <f>AG78/3.67</f>
        <v>1.7267029972752044</v>
      </c>
      <c r="AE78" s="6">
        <f>AD78*AL78</f>
        <v>135.54618528610354</v>
      </c>
      <c r="AF78" s="6">
        <f>AG78*AL78</f>
        <v>497.4545</v>
      </c>
      <c r="AG78" s="6">
        <v>6.3369999999999997</v>
      </c>
      <c r="AH78" s="6">
        <v>3.484</v>
      </c>
      <c r="AI78" s="6">
        <f>AH78*AL78</f>
        <v>273.49399999999997</v>
      </c>
      <c r="AJ78" s="6">
        <f>AH78/1.24</f>
        <v>2.8096774193548386</v>
      </c>
      <c r="AK78" s="6">
        <f>AJ78*0.24</f>
        <v>0.67432258064516126</v>
      </c>
      <c r="AL78" s="6">
        <v>78.5</v>
      </c>
    </row>
    <row r="79" spans="1:38" x14ac:dyDescent="0.25">
      <c r="A79" s="6">
        <v>78</v>
      </c>
      <c r="B79" s="5">
        <v>61</v>
      </c>
      <c r="C79" s="6" t="s">
        <v>298</v>
      </c>
      <c r="D79" s="6" t="s">
        <v>299</v>
      </c>
      <c r="E79" s="6" t="s">
        <v>22</v>
      </c>
      <c r="F79" s="6">
        <v>2020</v>
      </c>
      <c r="G79" s="6" t="s">
        <v>23</v>
      </c>
      <c r="H79" s="6" t="s">
        <v>39</v>
      </c>
      <c r="I79" s="6">
        <v>-1.4837</v>
      </c>
      <c r="J79" s="6">
        <v>-78.002600000000001</v>
      </c>
      <c r="K79" s="5" t="s">
        <v>300</v>
      </c>
      <c r="L79" s="7">
        <v>39473</v>
      </c>
      <c r="M79" s="6">
        <v>430.8</v>
      </c>
      <c r="N79" s="5" t="s">
        <v>72</v>
      </c>
      <c r="O79" s="6" t="s">
        <v>301</v>
      </c>
      <c r="P79" s="6" t="s">
        <v>53</v>
      </c>
      <c r="Q79" s="6">
        <v>2500</v>
      </c>
      <c r="R79" s="6">
        <v>21.35</v>
      </c>
      <c r="S79" s="6" t="s">
        <v>54</v>
      </c>
      <c r="T79" s="5" t="s">
        <v>55</v>
      </c>
      <c r="U79" s="6" t="s">
        <v>56</v>
      </c>
      <c r="V79" s="6" t="s">
        <v>32</v>
      </c>
      <c r="W79" s="6" t="s">
        <v>302</v>
      </c>
      <c r="X79" s="6" t="s">
        <v>173</v>
      </c>
      <c r="Y79" s="6" t="s">
        <v>47</v>
      </c>
      <c r="Z79" s="6" t="s">
        <v>36</v>
      </c>
      <c r="AA79" s="6" t="s">
        <v>36</v>
      </c>
      <c r="AB79" s="6" t="s">
        <v>36</v>
      </c>
      <c r="AC79" s="6" t="s">
        <v>36</v>
      </c>
      <c r="AD79" s="6">
        <f>91.46*1.24</f>
        <v>113.4104</v>
      </c>
      <c r="AE79" s="6">
        <f>AD79*AL79</f>
        <v>725.82655999999997</v>
      </c>
      <c r="AF79" s="6">
        <v>1664683</v>
      </c>
      <c r="AG79" s="6">
        <f>AD79*3.67</f>
        <v>416.21616799999998</v>
      </c>
      <c r="AH79" s="5">
        <f t="shared" ref="AH79" si="32">AJ79+AK79</f>
        <v>146.5804</v>
      </c>
      <c r="AI79" s="5">
        <f>AH79*AL79</f>
        <v>938.11455999999998</v>
      </c>
      <c r="AJ79" s="6">
        <v>118.21</v>
      </c>
      <c r="AK79" s="5">
        <f>AJ79*0.24</f>
        <v>28.370399999999997</v>
      </c>
      <c r="AL79" s="6">
        <v>6.4</v>
      </c>
    </row>
    <row r="80" spans="1:38" x14ac:dyDescent="0.25">
      <c r="A80" s="6">
        <v>79</v>
      </c>
      <c r="B80" s="5">
        <v>62</v>
      </c>
      <c r="C80" s="6" t="s">
        <v>303</v>
      </c>
      <c r="D80" s="6" t="s">
        <v>304</v>
      </c>
      <c r="E80" s="6" t="s">
        <v>22</v>
      </c>
      <c r="F80" s="6">
        <v>2020</v>
      </c>
      <c r="G80" s="6" t="s">
        <v>23</v>
      </c>
      <c r="H80" s="6" t="s">
        <v>24</v>
      </c>
      <c r="I80" s="6">
        <v>22.09</v>
      </c>
      <c r="J80" s="6">
        <v>82.15</v>
      </c>
      <c r="K80" s="5" t="s">
        <v>305</v>
      </c>
      <c r="L80" s="7">
        <v>1625502</v>
      </c>
      <c r="M80" s="6">
        <v>457.2</v>
      </c>
      <c r="N80" s="5" t="s">
        <v>26</v>
      </c>
      <c r="O80" s="6" t="s">
        <v>27</v>
      </c>
      <c r="P80" s="6" t="s">
        <v>28</v>
      </c>
      <c r="Q80" s="6">
        <v>1412</v>
      </c>
      <c r="R80" s="6">
        <v>28</v>
      </c>
      <c r="S80" s="6" t="s">
        <v>54</v>
      </c>
      <c r="T80" s="6" t="s">
        <v>45</v>
      </c>
      <c r="U80" s="6" t="s">
        <v>31</v>
      </c>
      <c r="V80" s="6" t="s">
        <v>32</v>
      </c>
      <c r="W80" s="6" t="s">
        <v>33</v>
      </c>
      <c r="X80" s="6" t="s">
        <v>34</v>
      </c>
      <c r="Y80" s="6" t="s">
        <v>35</v>
      </c>
      <c r="Z80" s="6" t="s">
        <v>36</v>
      </c>
      <c r="AA80" s="6" t="s">
        <v>36</v>
      </c>
      <c r="AB80" s="6" t="s">
        <v>36</v>
      </c>
      <c r="AC80" s="6" t="s">
        <v>36</v>
      </c>
      <c r="AD80" s="6">
        <f>AE80/AL80</f>
        <v>16.059999999999999</v>
      </c>
      <c r="AE80" s="6">
        <v>48.18</v>
      </c>
      <c r="AF80" s="6">
        <v>176.64</v>
      </c>
      <c r="AG80" s="6">
        <f>AD80*3.67</f>
        <v>58.940199999999997</v>
      </c>
      <c r="AH80" s="6">
        <v>33.81</v>
      </c>
      <c r="AI80" s="6">
        <v>101.44</v>
      </c>
      <c r="AJ80" s="5">
        <f>AH80/1.24</f>
        <v>27.266129032258068</v>
      </c>
      <c r="AK80" s="5">
        <f>AJ80*0.24</f>
        <v>6.5438709677419356</v>
      </c>
      <c r="AL80" s="6">
        <v>3</v>
      </c>
    </row>
    <row r="81" spans="1:38" x14ac:dyDescent="0.25">
      <c r="A81" s="6">
        <v>80</v>
      </c>
      <c r="B81" s="5">
        <v>63</v>
      </c>
      <c r="C81" s="6" t="s">
        <v>306</v>
      </c>
      <c r="D81" s="6" t="s">
        <v>307</v>
      </c>
      <c r="E81" s="6" t="s">
        <v>22</v>
      </c>
      <c r="F81" s="6">
        <v>2021</v>
      </c>
      <c r="G81" s="6" t="s">
        <v>23</v>
      </c>
      <c r="H81" s="6" t="s">
        <v>24</v>
      </c>
      <c r="I81" s="6">
        <v>9.8333329999999997</v>
      </c>
      <c r="J81" s="6">
        <v>76.94</v>
      </c>
      <c r="K81" s="5" t="s">
        <v>308</v>
      </c>
      <c r="L81" s="7">
        <v>1108974</v>
      </c>
      <c r="M81" s="6">
        <v>254.6</v>
      </c>
      <c r="N81" s="5" t="s">
        <v>26</v>
      </c>
      <c r="O81" s="6" t="s">
        <v>27</v>
      </c>
      <c r="P81" s="6" t="s">
        <v>102</v>
      </c>
      <c r="Q81" s="6">
        <v>3713</v>
      </c>
      <c r="R81" s="6">
        <v>27.6</v>
      </c>
      <c r="S81" s="6" t="s">
        <v>54</v>
      </c>
      <c r="T81" s="6" t="s">
        <v>45</v>
      </c>
      <c r="U81" s="6" t="s">
        <v>31</v>
      </c>
      <c r="V81" s="6" t="s">
        <v>32</v>
      </c>
      <c r="W81" s="6" t="s">
        <v>33</v>
      </c>
      <c r="X81" s="6" t="s">
        <v>34</v>
      </c>
      <c r="Y81" s="6" t="s">
        <v>35</v>
      </c>
      <c r="Z81" s="6" t="s">
        <v>36</v>
      </c>
      <c r="AA81" s="6" t="s">
        <v>36</v>
      </c>
      <c r="AB81" s="6" t="s">
        <v>36</v>
      </c>
      <c r="AC81" s="6" t="s">
        <v>36</v>
      </c>
      <c r="AD81" s="6">
        <v>127.4</v>
      </c>
      <c r="AE81" s="6">
        <f>AD81*AL81</f>
        <v>509.6</v>
      </c>
      <c r="AF81" s="6">
        <f>AE81*3.67</f>
        <v>1870.232</v>
      </c>
      <c r="AG81" s="6">
        <f>AD81*3.67</f>
        <v>467.55799999999999</v>
      </c>
      <c r="AH81" s="6">
        <v>268.20999999999998</v>
      </c>
      <c r="AI81" s="6">
        <f>AH81*AL81</f>
        <v>1072.8399999999999</v>
      </c>
      <c r="AJ81" s="6">
        <v>211.86</v>
      </c>
      <c r="AK81" s="6">
        <v>56.35</v>
      </c>
      <c r="AL81" s="6">
        <v>4</v>
      </c>
    </row>
    <row r="82" spans="1:38" x14ac:dyDescent="0.25">
      <c r="A82" s="6">
        <v>81</v>
      </c>
      <c r="B82" s="5">
        <v>64</v>
      </c>
      <c r="C82" s="6" t="s">
        <v>309</v>
      </c>
      <c r="D82" s="6" t="s">
        <v>310</v>
      </c>
      <c r="E82" s="6" t="s">
        <v>22</v>
      </c>
      <c r="F82" s="6">
        <v>2021</v>
      </c>
      <c r="G82" s="6" t="s">
        <v>23</v>
      </c>
      <c r="H82" s="6" t="s">
        <v>24</v>
      </c>
      <c r="I82" s="6">
        <v>23.7</v>
      </c>
      <c r="J82" s="6">
        <v>90.366667000000007</v>
      </c>
      <c r="K82" s="5" t="s">
        <v>311</v>
      </c>
      <c r="L82" s="7">
        <v>10295786</v>
      </c>
      <c r="M82" s="7">
        <v>33842</v>
      </c>
      <c r="N82" s="5" t="s">
        <v>26</v>
      </c>
      <c r="O82" s="6" t="s">
        <v>193</v>
      </c>
      <c r="P82" s="6" t="s">
        <v>28</v>
      </c>
      <c r="Q82" s="6">
        <v>2055</v>
      </c>
      <c r="R82" s="6">
        <v>25.3</v>
      </c>
      <c r="S82" s="6" t="s">
        <v>54</v>
      </c>
      <c r="T82" s="6" t="s">
        <v>45</v>
      </c>
      <c r="U82" s="6" t="s">
        <v>31</v>
      </c>
      <c r="V82" s="6" t="s">
        <v>32</v>
      </c>
      <c r="W82" s="6" t="s">
        <v>33</v>
      </c>
      <c r="X82" s="6" t="s">
        <v>34</v>
      </c>
      <c r="Y82" s="6" t="s">
        <v>47</v>
      </c>
      <c r="Z82" s="6" t="s">
        <v>36</v>
      </c>
      <c r="AA82" s="6" t="s">
        <v>36</v>
      </c>
      <c r="AB82" s="6" t="s">
        <v>36</v>
      </c>
      <c r="AC82" s="6" t="s">
        <v>36</v>
      </c>
      <c r="AD82" s="6">
        <f>(AJ82+AK82)*0.47</f>
        <v>38.051418604651161</v>
      </c>
      <c r="AE82" s="6">
        <f>AD82*AL82</f>
        <v>654.48439999999994</v>
      </c>
      <c r="AF82" s="6">
        <v>1938</v>
      </c>
      <c r="AG82" s="6">
        <f>AF82/AL82</f>
        <v>112.67441860465117</v>
      </c>
      <c r="AH82" s="5">
        <f t="shared" ref="AH82" si="33">AJ82+AK82</f>
        <v>80.960465116279067</v>
      </c>
      <c r="AI82" s="5">
        <f>AH82*AL82</f>
        <v>1392.52</v>
      </c>
      <c r="AJ82" s="6">
        <f>1123/AL82</f>
        <v>65.29069767441861</v>
      </c>
      <c r="AK82" s="5">
        <f t="shared" ref="AK82:AK83" si="34">AJ82*0.24</f>
        <v>15.669767441860465</v>
      </c>
      <c r="AL82" s="5">
        <v>17.2</v>
      </c>
    </row>
    <row r="83" spans="1:38" x14ac:dyDescent="0.25">
      <c r="A83" s="6">
        <v>82</v>
      </c>
      <c r="B83" s="5">
        <v>64</v>
      </c>
      <c r="C83" s="6" t="s">
        <v>309</v>
      </c>
      <c r="D83" s="6" t="s">
        <v>310</v>
      </c>
      <c r="E83" s="6" t="s">
        <v>22</v>
      </c>
      <c r="F83" s="6">
        <v>2021</v>
      </c>
      <c r="G83" s="6" t="s">
        <v>23</v>
      </c>
      <c r="H83" s="6" t="s">
        <v>24</v>
      </c>
      <c r="I83" s="6">
        <v>23.7</v>
      </c>
      <c r="J83" s="6">
        <v>90.366667000000007</v>
      </c>
      <c r="K83" s="5" t="s">
        <v>311</v>
      </c>
      <c r="L83" s="7">
        <v>10295786</v>
      </c>
      <c r="M83" s="7">
        <v>33842</v>
      </c>
      <c r="N83" s="5" t="s">
        <v>26</v>
      </c>
      <c r="O83" s="6" t="s">
        <v>193</v>
      </c>
      <c r="P83" s="6" t="s">
        <v>28</v>
      </c>
      <c r="Q83" s="6">
        <v>2055</v>
      </c>
      <c r="R83" s="6">
        <v>25.3</v>
      </c>
      <c r="S83" s="6" t="s">
        <v>54</v>
      </c>
      <c r="T83" s="5" t="s">
        <v>133</v>
      </c>
      <c r="U83" s="6" t="s">
        <v>31</v>
      </c>
      <c r="V83" s="6" t="s">
        <v>32</v>
      </c>
      <c r="W83" s="6" t="s">
        <v>33</v>
      </c>
      <c r="X83" s="6" t="s">
        <v>34</v>
      </c>
      <c r="Y83" s="6" t="s">
        <v>47</v>
      </c>
      <c r="Z83" s="6" t="s">
        <v>36</v>
      </c>
      <c r="AA83" s="6" t="s">
        <v>36</v>
      </c>
      <c r="AB83" s="6" t="s">
        <v>36</v>
      </c>
      <c r="AC83" s="6" t="s">
        <v>36</v>
      </c>
      <c r="AD83" s="5">
        <f>AE83/AL83</f>
        <v>690.52570192307689</v>
      </c>
      <c r="AE83" s="6">
        <v>58126</v>
      </c>
      <c r="AF83" s="6">
        <v>213324</v>
      </c>
      <c r="AG83" s="6">
        <f>AD83*3.67</f>
        <v>2534.2293260576921</v>
      </c>
      <c r="AH83" s="5">
        <f>AJ83+AK83</f>
        <v>1821.8074753846154</v>
      </c>
      <c r="AI83" s="5">
        <f>AH83*AL83</f>
        <v>153353.28</v>
      </c>
      <c r="AJ83" s="6">
        <f>123672/AL83</f>
        <v>1469.1995769230768</v>
      </c>
      <c r="AK83" s="5">
        <f t="shared" si="34"/>
        <v>352.60789846153841</v>
      </c>
      <c r="AL83" s="5">
        <f>208/2.471</f>
        <v>84.176446782679079</v>
      </c>
    </row>
    <row r="84" spans="1:38" x14ac:dyDescent="0.25">
      <c r="A84" s="6">
        <v>83</v>
      </c>
      <c r="B84" s="5">
        <v>65</v>
      </c>
      <c r="C84" s="6" t="s">
        <v>312</v>
      </c>
      <c r="D84" s="6" t="s">
        <v>313</v>
      </c>
      <c r="E84" s="6" t="s">
        <v>22</v>
      </c>
      <c r="F84" s="6">
        <v>2023</v>
      </c>
      <c r="G84" s="6" t="s">
        <v>50</v>
      </c>
      <c r="H84" s="6" t="s">
        <v>39</v>
      </c>
      <c r="I84" s="6">
        <v>-12.05</v>
      </c>
      <c r="J84" s="6">
        <v>-77.033332999999999</v>
      </c>
      <c r="K84" s="5" t="s">
        <v>314</v>
      </c>
      <c r="L84" s="7">
        <v>266887</v>
      </c>
      <c r="M84" s="7">
        <v>12378</v>
      </c>
      <c r="N84" s="5" t="s">
        <v>72</v>
      </c>
      <c r="O84" s="6" t="s">
        <v>315</v>
      </c>
      <c r="P84" s="6" t="s">
        <v>316</v>
      </c>
      <c r="Q84" s="6">
        <v>203</v>
      </c>
      <c r="R84" s="6">
        <v>18.899999999999999</v>
      </c>
      <c r="S84" s="6" t="s">
        <v>219</v>
      </c>
      <c r="T84" s="6" t="s">
        <v>45</v>
      </c>
      <c r="U84" s="6" t="s">
        <v>31</v>
      </c>
      <c r="V84" s="6" t="s">
        <v>32</v>
      </c>
      <c r="W84" s="6" t="s">
        <v>201</v>
      </c>
      <c r="X84" s="6" t="s">
        <v>34</v>
      </c>
      <c r="Y84" s="6" t="s">
        <v>47</v>
      </c>
      <c r="Z84" s="6">
        <f>AB84/3.67</f>
        <v>120391.46321525886</v>
      </c>
      <c r="AA84" s="6">
        <f>Z84/AL84</f>
        <v>11.617433485984643</v>
      </c>
      <c r="AB84" s="6">
        <f>AC84*AL84</f>
        <v>441836.67</v>
      </c>
      <c r="AC84" s="12">
        <f>((39.21*3667)+(25.35*1821)+(51.67*4875))/(3667+1821+4875)</f>
        <v>42.635980893563641</v>
      </c>
      <c r="AD84" s="6" t="s">
        <v>36</v>
      </c>
      <c r="AE84" s="6" t="s">
        <v>36</v>
      </c>
      <c r="AF84" s="6" t="s">
        <v>36</v>
      </c>
      <c r="AG84" s="6" t="s">
        <v>36</v>
      </c>
      <c r="AH84" s="6" t="s">
        <v>36</v>
      </c>
      <c r="AI84" s="6" t="s">
        <v>36</v>
      </c>
      <c r="AJ84" s="6" t="s">
        <v>36</v>
      </c>
      <c r="AK84" s="6" t="s">
        <v>36</v>
      </c>
      <c r="AL84" s="5">
        <f>(3667+1821+4875)</f>
        <v>10363</v>
      </c>
    </row>
    <row r="85" spans="1:38" x14ac:dyDescent="0.25">
      <c r="A85" s="6">
        <v>84</v>
      </c>
      <c r="B85" s="5">
        <v>66</v>
      </c>
      <c r="C85" s="6" t="s">
        <v>317</v>
      </c>
      <c r="D85" s="6" t="s">
        <v>318</v>
      </c>
      <c r="E85" s="6" t="s">
        <v>22</v>
      </c>
      <c r="F85" s="6">
        <v>2017</v>
      </c>
      <c r="G85" s="6" t="s">
        <v>23</v>
      </c>
      <c r="H85" s="6" t="s">
        <v>24</v>
      </c>
      <c r="I85" s="6">
        <v>6.6833330000000002</v>
      </c>
      <c r="J85" s="6">
        <v>-1.6166670000000001</v>
      </c>
      <c r="K85" s="5" t="s">
        <v>284</v>
      </c>
      <c r="L85" s="7">
        <v>443981</v>
      </c>
      <c r="M85" s="13">
        <v>6575</v>
      </c>
      <c r="N85" s="5" t="s">
        <v>41</v>
      </c>
      <c r="O85" s="6" t="s">
        <v>226</v>
      </c>
      <c r="P85" s="6" t="s">
        <v>28</v>
      </c>
      <c r="Q85" s="6">
        <v>1250</v>
      </c>
      <c r="R85" s="6">
        <v>26.4</v>
      </c>
      <c r="S85" s="6" t="s">
        <v>54</v>
      </c>
      <c r="T85" s="5" t="s">
        <v>174</v>
      </c>
      <c r="U85" s="6" t="s">
        <v>74</v>
      </c>
      <c r="V85" s="6" t="s">
        <v>319</v>
      </c>
      <c r="W85" s="6" t="s">
        <v>33</v>
      </c>
      <c r="X85" s="6" t="s">
        <v>173</v>
      </c>
      <c r="Y85" s="6" t="s">
        <v>35</v>
      </c>
      <c r="Z85" s="6" t="s">
        <v>36</v>
      </c>
      <c r="AA85" s="6" t="s">
        <v>36</v>
      </c>
      <c r="AB85" s="6" t="s">
        <v>36</v>
      </c>
      <c r="AC85" s="6" t="s">
        <v>36</v>
      </c>
      <c r="AD85" s="6">
        <v>149.33000000000001</v>
      </c>
      <c r="AE85" s="6">
        <f>333390+77645+18294</f>
        <v>429329</v>
      </c>
      <c r="AF85" s="6">
        <f t="shared" ref="AF85:AF97" si="35">AE85*3.67</f>
        <v>1575637.43</v>
      </c>
      <c r="AG85" s="6">
        <f t="shared" ref="AG85:AG101" si="36">AD85*3.67</f>
        <v>548.04110000000003</v>
      </c>
      <c r="AH85" s="12">
        <v>315.05</v>
      </c>
      <c r="AI85" s="6">
        <f t="shared" ref="AI85:AI87" si="37">AE85/0.47</f>
        <v>913465.95744680858</v>
      </c>
      <c r="AJ85" s="5">
        <f>((255.6 + 94.6 + 41.9)/3)/0.47</f>
        <v>278.08510638297872</v>
      </c>
      <c r="AK85" s="5">
        <f>((36+13.1+ 6.8)/3)/0.47</f>
        <v>39.645390070921984</v>
      </c>
      <c r="AL85" s="5" t="s">
        <v>36</v>
      </c>
    </row>
    <row r="86" spans="1:38" x14ac:dyDescent="0.25">
      <c r="A86" s="6">
        <v>85</v>
      </c>
      <c r="B86" s="5">
        <v>66</v>
      </c>
      <c r="C86" s="6" t="s">
        <v>317</v>
      </c>
      <c r="D86" s="6" t="s">
        <v>318</v>
      </c>
      <c r="E86" s="6" t="s">
        <v>22</v>
      </c>
      <c r="F86" s="6">
        <v>2017</v>
      </c>
      <c r="G86" s="6" t="s">
        <v>23</v>
      </c>
      <c r="H86" s="6" t="s">
        <v>24</v>
      </c>
      <c r="I86" s="6">
        <v>6.6833330000000002</v>
      </c>
      <c r="J86" s="6">
        <v>-1.6166670000000001</v>
      </c>
      <c r="K86" s="5" t="s">
        <v>284</v>
      </c>
      <c r="L86" s="7">
        <v>443981</v>
      </c>
      <c r="M86" s="13">
        <v>6575</v>
      </c>
      <c r="N86" s="5" t="s">
        <v>41</v>
      </c>
      <c r="O86" s="6" t="s">
        <v>226</v>
      </c>
      <c r="P86" s="6" t="s">
        <v>28</v>
      </c>
      <c r="Q86" s="6">
        <v>1250</v>
      </c>
      <c r="R86" s="6">
        <v>26.4</v>
      </c>
      <c r="S86" s="6" t="s">
        <v>54</v>
      </c>
      <c r="T86" s="5" t="s">
        <v>55</v>
      </c>
      <c r="U86" s="6" t="s">
        <v>74</v>
      </c>
      <c r="V86" s="6" t="s">
        <v>319</v>
      </c>
      <c r="W86" s="6" t="s">
        <v>33</v>
      </c>
      <c r="X86" s="6" t="s">
        <v>173</v>
      </c>
      <c r="Y86" s="6" t="s">
        <v>35</v>
      </c>
      <c r="Z86" s="6" t="s">
        <v>36</v>
      </c>
      <c r="AA86" s="6" t="s">
        <v>36</v>
      </c>
      <c r="AB86" s="6" t="s">
        <v>36</v>
      </c>
      <c r="AC86" s="6" t="s">
        <v>36</v>
      </c>
      <c r="AD86" s="6">
        <v>690.4</v>
      </c>
      <c r="AE86" s="7">
        <v>408326</v>
      </c>
      <c r="AF86" s="6">
        <f t="shared" si="35"/>
        <v>1498556.42</v>
      </c>
      <c r="AG86" s="6">
        <f t="shared" si="36"/>
        <v>2533.768</v>
      </c>
      <c r="AH86" s="6">
        <v>1456.54</v>
      </c>
      <c r="AI86" s="6">
        <f>AE86/0.47</f>
        <v>868778.72340425535</v>
      </c>
      <c r="AJ86" s="5">
        <f>617.9/0.47</f>
        <v>1314.6808510638298</v>
      </c>
      <c r="AK86" s="5">
        <f>72.5/0.47</f>
        <v>154.25531914893617</v>
      </c>
      <c r="AL86" s="5" t="s">
        <v>36</v>
      </c>
    </row>
    <row r="87" spans="1:38" x14ac:dyDescent="0.25">
      <c r="A87" s="6">
        <v>86</v>
      </c>
      <c r="B87" s="5">
        <v>66</v>
      </c>
      <c r="C87" s="6" t="s">
        <v>317</v>
      </c>
      <c r="D87" s="6" t="s">
        <v>318</v>
      </c>
      <c r="E87" s="6" t="s">
        <v>22</v>
      </c>
      <c r="F87" s="6">
        <v>2017</v>
      </c>
      <c r="G87" s="6" t="s">
        <v>23</v>
      </c>
      <c r="H87" s="6" t="s">
        <v>24</v>
      </c>
      <c r="I87" s="6">
        <v>6.6833330000000002</v>
      </c>
      <c r="J87" s="6">
        <v>-1.6166670000000001</v>
      </c>
      <c r="K87" s="5" t="s">
        <v>284</v>
      </c>
      <c r="L87" s="7">
        <v>443981</v>
      </c>
      <c r="M87" s="13">
        <v>6575</v>
      </c>
      <c r="N87" s="5" t="s">
        <v>41</v>
      </c>
      <c r="O87" s="6" t="s">
        <v>226</v>
      </c>
      <c r="P87" s="6" t="s">
        <v>28</v>
      </c>
      <c r="Q87" s="6">
        <v>1250</v>
      </c>
      <c r="R87" s="6">
        <v>26.4</v>
      </c>
      <c r="S87" s="6" t="s">
        <v>54</v>
      </c>
      <c r="T87" s="6" t="s">
        <v>45</v>
      </c>
      <c r="U87" s="6" t="s">
        <v>74</v>
      </c>
      <c r="V87" s="6" t="s">
        <v>319</v>
      </c>
      <c r="W87" s="6" t="s">
        <v>33</v>
      </c>
      <c r="X87" s="6" t="s">
        <v>173</v>
      </c>
      <c r="Y87" s="6" t="s">
        <v>35</v>
      </c>
      <c r="Z87" s="6" t="s">
        <v>36</v>
      </c>
      <c r="AA87" s="6" t="s">
        <v>36</v>
      </c>
      <c r="AB87" s="6" t="s">
        <v>36</v>
      </c>
      <c r="AC87" s="6" t="s">
        <v>36</v>
      </c>
      <c r="AD87" s="6">
        <v>82</v>
      </c>
      <c r="AE87" s="6">
        <f>503261+756578</f>
        <v>1259839</v>
      </c>
      <c r="AF87" s="6">
        <f t="shared" si="35"/>
        <v>4623609.13</v>
      </c>
      <c r="AG87" s="6">
        <f t="shared" si="36"/>
        <v>300.94</v>
      </c>
      <c r="AH87" s="12">
        <v>172.99</v>
      </c>
      <c r="AI87" s="6">
        <f t="shared" si="37"/>
        <v>2680508.510638298</v>
      </c>
      <c r="AJ87" s="5">
        <f>71.2/0.47</f>
        <v>151.48936170212767</v>
      </c>
      <c r="AK87" s="5">
        <f>10.8/0.47</f>
        <v>22.978723404255323</v>
      </c>
      <c r="AL87" s="5" t="s">
        <v>36</v>
      </c>
    </row>
    <row r="88" spans="1:38" x14ac:dyDescent="0.25">
      <c r="A88" s="6">
        <v>87</v>
      </c>
      <c r="B88" s="5">
        <v>66</v>
      </c>
      <c r="C88" s="6" t="s">
        <v>317</v>
      </c>
      <c r="D88" s="6" t="s">
        <v>318</v>
      </c>
      <c r="E88" s="6" t="s">
        <v>22</v>
      </c>
      <c r="F88" s="6">
        <v>2017</v>
      </c>
      <c r="G88" s="6" t="s">
        <v>23</v>
      </c>
      <c r="H88" s="6" t="s">
        <v>24</v>
      </c>
      <c r="I88" s="6">
        <v>6.6833330000000002</v>
      </c>
      <c r="J88" s="6">
        <v>-1.6166670000000001</v>
      </c>
      <c r="K88" s="5" t="s">
        <v>284</v>
      </c>
      <c r="L88" s="7">
        <v>443981</v>
      </c>
      <c r="M88" s="13">
        <v>6575</v>
      </c>
      <c r="N88" s="5" t="s">
        <v>41</v>
      </c>
      <c r="O88" s="6" t="s">
        <v>226</v>
      </c>
      <c r="P88" s="6" t="s">
        <v>28</v>
      </c>
      <c r="Q88" s="6">
        <v>1250</v>
      </c>
      <c r="R88" s="6">
        <v>26.4</v>
      </c>
      <c r="S88" s="6" t="s">
        <v>54</v>
      </c>
      <c r="T88" s="5" t="s">
        <v>133</v>
      </c>
      <c r="U88" s="6" t="s">
        <v>74</v>
      </c>
      <c r="V88" s="6" t="s">
        <v>319</v>
      </c>
      <c r="W88" s="6" t="s">
        <v>33</v>
      </c>
      <c r="X88" s="6" t="s">
        <v>173</v>
      </c>
      <c r="Y88" s="6" t="s">
        <v>35</v>
      </c>
      <c r="Z88" s="6" t="s">
        <v>36</v>
      </c>
      <c r="AA88" s="6" t="s">
        <v>36</v>
      </c>
      <c r="AB88" s="6" t="s">
        <v>36</v>
      </c>
      <c r="AC88" s="6" t="s">
        <v>36</v>
      </c>
      <c r="AD88" s="6">
        <f>(329.5+474.7+260.1)/3</f>
        <v>354.76666666666671</v>
      </c>
      <c r="AE88" s="6">
        <f>74021+9331+756578</f>
        <v>839930</v>
      </c>
      <c r="AF88" s="6">
        <f t="shared" si="35"/>
        <v>3082543.1</v>
      </c>
      <c r="AG88" s="6">
        <f t="shared" si="36"/>
        <v>1301.9936666666667</v>
      </c>
      <c r="AH88" s="12">
        <f>(695.15+1001.48+548.73)/3</f>
        <v>748.45333333333338</v>
      </c>
      <c r="AI88" s="6">
        <f>AE88/0.47</f>
        <v>1787085.1063829788</v>
      </c>
      <c r="AJ88" s="5">
        <f>((291.2+420+228.5)/3)/0.47</f>
        <v>666.45390070921997</v>
      </c>
      <c r="AK88" s="5">
        <f>((38.3+54.7+31.6)/3)/0.47</f>
        <v>88.36879432624113</v>
      </c>
      <c r="AL88" s="5" t="s">
        <v>36</v>
      </c>
    </row>
    <row r="89" spans="1:38" x14ac:dyDescent="0.25">
      <c r="A89" s="6">
        <v>88</v>
      </c>
      <c r="B89" s="5">
        <v>67</v>
      </c>
      <c r="C89" s="6" t="s">
        <v>320</v>
      </c>
      <c r="D89" s="6" t="s">
        <v>321</v>
      </c>
      <c r="E89" s="6" t="s">
        <v>22</v>
      </c>
      <c r="F89" s="6">
        <v>2020</v>
      </c>
      <c r="G89" s="6" t="s">
        <v>23</v>
      </c>
      <c r="H89" s="6" t="s">
        <v>24</v>
      </c>
      <c r="I89" s="6">
        <v>21.15</v>
      </c>
      <c r="J89" s="6">
        <v>79.099999999999994</v>
      </c>
      <c r="K89" s="5" t="s">
        <v>322</v>
      </c>
      <c r="L89" s="7">
        <v>2405665</v>
      </c>
      <c r="M89" s="7">
        <v>11057</v>
      </c>
      <c r="N89" s="5" t="s">
        <v>26</v>
      </c>
      <c r="O89" s="6" t="s">
        <v>27</v>
      </c>
      <c r="P89" s="6" t="s">
        <v>28</v>
      </c>
      <c r="Q89" s="6">
        <v>1162</v>
      </c>
      <c r="R89" s="6">
        <v>29</v>
      </c>
      <c r="S89" s="6" t="s">
        <v>108</v>
      </c>
      <c r="T89" s="5" t="s">
        <v>133</v>
      </c>
      <c r="U89" s="6" t="s">
        <v>31</v>
      </c>
      <c r="V89" s="6" t="s">
        <v>32</v>
      </c>
      <c r="W89" s="6" t="s">
        <v>33</v>
      </c>
      <c r="X89" s="6" t="s">
        <v>34</v>
      </c>
      <c r="Y89" s="6" t="s">
        <v>35</v>
      </c>
      <c r="Z89" s="6" t="s">
        <v>36</v>
      </c>
      <c r="AA89" s="6" t="s">
        <v>36</v>
      </c>
      <c r="AB89" s="6" t="s">
        <v>36</v>
      </c>
      <c r="AC89" s="6" t="s">
        <v>36</v>
      </c>
      <c r="AD89" s="6">
        <v>68.16</v>
      </c>
      <c r="AE89" s="6">
        <f>AD89*AL89</f>
        <v>4.2804479999999998</v>
      </c>
      <c r="AF89" s="6">
        <f t="shared" si="35"/>
        <v>15.709244159999999</v>
      </c>
      <c r="AG89" s="6">
        <f t="shared" si="36"/>
        <v>250.14719999999997</v>
      </c>
      <c r="AH89" s="6">
        <v>143.5</v>
      </c>
      <c r="AI89" s="6">
        <f>AH89*AL89</f>
        <v>9.0117999999999991</v>
      </c>
      <c r="AJ89" s="6">
        <f>AH89/1.24</f>
        <v>115.72580645161291</v>
      </c>
      <c r="AK89" s="6">
        <f>AJ89*0.24</f>
        <v>27.774193548387096</v>
      </c>
      <c r="AL89" s="5">
        <v>6.2799999999999995E-2</v>
      </c>
    </row>
    <row r="90" spans="1:38" x14ac:dyDescent="0.25">
      <c r="A90" s="6">
        <v>89</v>
      </c>
      <c r="B90" s="5">
        <v>67</v>
      </c>
      <c r="C90" s="6" t="s">
        <v>320</v>
      </c>
      <c r="D90" s="6" t="s">
        <v>321</v>
      </c>
      <c r="E90" s="6" t="s">
        <v>22</v>
      </c>
      <c r="F90" s="6">
        <v>2020</v>
      </c>
      <c r="G90" s="6" t="s">
        <v>23</v>
      </c>
      <c r="H90" s="6" t="s">
        <v>24</v>
      </c>
      <c r="I90" s="6">
        <v>21.15</v>
      </c>
      <c r="J90" s="6">
        <v>79.099999999999994</v>
      </c>
      <c r="K90" s="5" t="s">
        <v>322</v>
      </c>
      <c r="L90" s="7">
        <v>2405665</v>
      </c>
      <c r="M90" s="7">
        <v>11057</v>
      </c>
      <c r="N90" s="5" t="s">
        <v>26</v>
      </c>
      <c r="O90" s="6" t="s">
        <v>27</v>
      </c>
      <c r="P90" s="6" t="s">
        <v>28</v>
      </c>
      <c r="Q90" s="6">
        <v>1162</v>
      </c>
      <c r="R90" s="6">
        <v>29</v>
      </c>
      <c r="S90" s="6" t="s">
        <v>108</v>
      </c>
      <c r="T90" s="5" t="s">
        <v>55</v>
      </c>
      <c r="U90" s="6" t="s">
        <v>31</v>
      </c>
      <c r="V90" s="6" t="s">
        <v>32</v>
      </c>
      <c r="W90" s="6" t="s">
        <v>33</v>
      </c>
      <c r="X90" s="6" t="s">
        <v>34</v>
      </c>
      <c r="Y90" s="6" t="s">
        <v>35</v>
      </c>
      <c r="Z90" s="6" t="s">
        <v>36</v>
      </c>
      <c r="AA90" s="6" t="s">
        <v>36</v>
      </c>
      <c r="AB90" s="6" t="s">
        <v>36</v>
      </c>
      <c r="AC90" s="6" t="s">
        <v>36</v>
      </c>
      <c r="AD90" s="6">
        <v>105.16</v>
      </c>
      <c r="AE90" s="6">
        <f>AD90*AL90</f>
        <v>3.3020239999999994</v>
      </c>
      <c r="AF90" s="6">
        <f t="shared" si="35"/>
        <v>12.118428079999997</v>
      </c>
      <c r="AG90" s="6">
        <f t="shared" si="36"/>
        <v>385.93719999999996</v>
      </c>
      <c r="AH90" s="6">
        <v>236</v>
      </c>
      <c r="AI90" s="6">
        <f>AH90*AL90</f>
        <v>7.4103999999999992</v>
      </c>
      <c r="AJ90" s="6">
        <f t="shared" ref="AJ90:AJ91" si="38">AH90/1.24</f>
        <v>190.32258064516128</v>
      </c>
      <c r="AK90" s="6">
        <f t="shared" ref="AK90:AK91" si="39">AJ90*0.24</f>
        <v>45.677419354838705</v>
      </c>
      <c r="AL90" s="5">
        <v>3.1399999999999997E-2</v>
      </c>
    </row>
    <row r="91" spans="1:38" x14ac:dyDescent="0.25">
      <c r="A91" s="6">
        <v>90</v>
      </c>
      <c r="B91" s="5">
        <v>67</v>
      </c>
      <c r="C91" s="6" t="s">
        <v>320</v>
      </c>
      <c r="D91" s="6" t="s">
        <v>321</v>
      </c>
      <c r="E91" s="6" t="s">
        <v>22</v>
      </c>
      <c r="F91" s="6">
        <v>2020</v>
      </c>
      <c r="G91" s="6" t="s">
        <v>23</v>
      </c>
      <c r="H91" s="6" t="s">
        <v>24</v>
      </c>
      <c r="I91" s="6">
        <v>21.15</v>
      </c>
      <c r="J91" s="6">
        <v>79.099999999999994</v>
      </c>
      <c r="K91" s="5" t="s">
        <v>322</v>
      </c>
      <c r="L91" s="7">
        <v>2405665</v>
      </c>
      <c r="M91" s="7">
        <v>11057</v>
      </c>
      <c r="N91" s="5" t="s">
        <v>26</v>
      </c>
      <c r="O91" s="6" t="s">
        <v>27</v>
      </c>
      <c r="P91" s="6" t="s">
        <v>28</v>
      </c>
      <c r="Q91" s="6">
        <v>1162</v>
      </c>
      <c r="R91" s="6">
        <v>29</v>
      </c>
      <c r="S91" s="6" t="s">
        <v>108</v>
      </c>
      <c r="T91" s="6" t="s">
        <v>45</v>
      </c>
      <c r="U91" s="6" t="s">
        <v>31</v>
      </c>
      <c r="V91" s="6" t="s">
        <v>32</v>
      </c>
      <c r="W91" s="6" t="s">
        <v>33</v>
      </c>
      <c r="X91" s="6" t="s">
        <v>34</v>
      </c>
      <c r="Y91" s="6" t="s">
        <v>35</v>
      </c>
      <c r="Z91" s="6" t="s">
        <v>36</v>
      </c>
      <c r="AA91" s="6" t="s">
        <v>36</v>
      </c>
      <c r="AB91" s="6" t="s">
        <v>36</v>
      </c>
      <c r="AC91" s="6" t="s">
        <v>36</v>
      </c>
      <c r="AD91" s="6">
        <v>103.1</v>
      </c>
      <c r="AE91" s="6">
        <f>AD91*AL91</f>
        <v>9.5573700000000006</v>
      </c>
      <c r="AF91" s="6">
        <f t="shared" si="35"/>
        <v>35.075547900000004</v>
      </c>
      <c r="AG91" s="6">
        <f t="shared" si="36"/>
        <v>378.37699999999995</v>
      </c>
      <c r="AH91" s="12">
        <v>256.23</v>
      </c>
      <c r="AI91" s="6">
        <f>AH91*AL91</f>
        <v>23.752521000000002</v>
      </c>
      <c r="AJ91" s="6">
        <f t="shared" si="38"/>
        <v>206.63709677419357</v>
      </c>
      <c r="AK91" s="6">
        <f t="shared" si="39"/>
        <v>49.592903225806452</v>
      </c>
      <c r="AL91" s="5">
        <v>9.2700000000000005E-2</v>
      </c>
    </row>
    <row r="92" spans="1:38" x14ac:dyDescent="0.25">
      <c r="A92" s="6">
        <v>91</v>
      </c>
      <c r="B92" s="5">
        <v>68</v>
      </c>
      <c r="C92" s="6" t="s">
        <v>323</v>
      </c>
      <c r="D92" s="6" t="s">
        <v>324</v>
      </c>
      <c r="E92" s="6" t="s">
        <v>22</v>
      </c>
      <c r="F92" s="6">
        <v>2016</v>
      </c>
      <c r="G92" s="6" t="s">
        <v>50</v>
      </c>
      <c r="H92" s="6" t="s">
        <v>39</v>
      </c>
      <c r="I92" s="6">
        <v>-6.5590339999999996</v>
      </c>
      <c r="J92" s="6">
        <v>106.725227</v>
      </c>
      <c r="K92" s="5" t="s">
        <v>325</v>
      </c>
      <c r="L92" s="7">
        <v>950334</v>
      </c>
      <c r="M92" s="7">
        <v>8505</v>
      </c>
      <c r="N92" s="5" t="s">
        <v>26</v>
      </c>
      <c r="O92" s="6" t="s">
        <v>67</v>
      </c>
      <c r="P92" s="6" t="s">
        <v>102</v>
      </c>
      <c r="Q92" s="6">
        <v>374.3</v>
      </c>
      <c r="R92" s="6">
        <v>25</v>
      </c>
      <c r="S92" s="6" t="s">
        <v>54</v>
      </c>
      <c r="T92" s="6" t="s">
        <v>112</v>
      </c>
      <c r="U92" s="6" t="s">
        <v>56</v>
      </c>
      <c r="V92" s="6" t="s">
        <v>326</v>
      </c>
      <c r="W92" s="6" t="s">
        <v>327</v>
      </c>
      <c r="X92" s="6" t="s">
        <v>34</v>
      </c>
      <c r="Y92" s="6" t="s">
        <v>47</v>
      </c>
      <c r="Z92" s="6" t="s">
        <v>36</v>
      </c>
      <c r="AA92" s="6">
        <f>((7031.57/256.97) - (21096.98/256.97))/25</f>
        <v>-2.1894244464334354</v>
      </c>
      <c r="AB92" s="6" t="s">
        <v>36</v>
      </c>
      <c r="AC92" s="6" t="s">
        <v>36</v>
      </c>
      <c r="AD92" s="6">
        <f>27.36*1.24</f>
        <v>33.926400000000001</v>
      </c>
      <c r="AE92" s="6">
        <f>((1989*21096.98)+(1999*15653.6)+(2009*16771.36)+(2014*7031.57))/(1989+1999+2009+2014)</f>
        <v>15117.798507052805</v>
      </c>
      <c r="AF92" s="6">
        <f t="shared" si="35"/>
        <v>55482.32052088379</v>
      </c>
      <c r="AG92" s="6">
        <f t="shared" si="36"/>
        <v>124.509888</v>
      </c>
      <c r="AH92" s="5">
        <f t="shared" ref="AH92" si="40">AJ92+AK92</f>
        <v>72.192800000000005</v>
      </c>
      <c r="AI92" s="6">
        <f>((1989*44887.19)+(1999* 33305.53)+(2009*35683.74)+(2014*14960.79))/(1989+1999+2009+2014)</f>
        <v>32165.527412308074</v>
      </c>
      <c r="AJ92" s="6">
        <v>58.22</v>
      </c>
      <c r="AK92" s="5">
        <f>AJ92*0.24</f>
        <v>13.972799999999999</v>
      </c>
      <c r="AL92" s="5">
        <v>256.97000000000003</v>
      </c>
    </row>
    <row r="93" spans="1:38" x14ac:dyDescent="0.25">
      <c r="A93" s="6">
        <v>92</v>
      </c>
      <c r="B93" s="5">
        <v>70</v>
      </c>
      <c r="C93" s="6" t="s">
        <v>328</v>
      </c>
      <c r="D93" s="6" t="s">
        <v>329</v>
      </c>
      <c r="E93" s="6" t="s">
        <v>22</v>
      </c>
      <c r="F93" s="6">
        <v>2023</v>
      </c>
      <c r="G93" s="6" t="s">
        <v>23</v>
      </c>
      <c r="H93" s="6" t="s">
        <v>24</v>
      </c>
      <c r="I93" s="6">
        <v>8.5833329999999997</v>
      </c>
      <c r="J93" s="6">
        <v>124.45</v>
      </c>
      <c r="K93" s="6" t="s">
        <v>330</v>
      </c>
      <c r="L93" s="7">
        <v>26363</v>
      </c>
      <c r="M93" s="6">
        <v>721.1</v>
      </c>
      <c r="N93" s="5" t="s">
        <v>26</v>
      </c>
      <c r="O93" s="6" t="s">
        <v>157</v>
      </c>
      <c r="P93" s="6" t="s">
        <v>53</v>
      </c>
      <c r="Q93" s="6">
        <v>2080</v>
      </c>
      <c r="R93" s="6">
        <v>25.6</v>
      </c>
      <c r="S93" s="6" t="s">
        <v>29</v>
      </c>
      <c r="T93" s="6" t="s">
        <v>30</v>
      </c>
      <c r="U93" s="6" t="s">
        <v>74</v>
      </c>
      <c r="V93" s="6" t="s">
        <v>32</v>
      </c>
      <c r="W93" s="6" t="s">
        <v>33</v>
      </c>
      <c r="X93" s="6" t="s">
        <v>34</v>
      </c>
      <c r="Y93" s="6" t="s">
        <v>47</v>
      </c>
      <c r="Z93" s="6" t="s">
        <v>36</v>
      </c>
      <c r="AA93" s="6" t="s">
        <v>36</v>
      </c>
      <c r="AB93" s="6" t="s">
        <v>36</v>
      </c>
      <c r="AC93" s="6" t="s">
        <v>36</v>
      </c>
      <c r="AD93" s="6">
        <f>41.76*1.24</f>
        <v>51.782399999999996</v>
      </c>
      <c r="AE93" s="6">
        <f>AD93*AL93</f>
        <v>1139.2127999999998</v>
      </c>
      <c r="AF93" s="6">
        <f t="shared" si="35"/>
        <v>4180.9109759999992</v>
      </c>
      <c r="AG93" s="6">
        <f t="shared" si="36"/>
        <v>190.04140799999999</v>
      </c>
      <c r="AH93" s="6">
        <f>AJ93+AK93</f>
        <v>99.485200000000006</v>
      </c>
      <c r="AI93" s="6">
        <f>AE93/0.47</f>
        <v>2423.8570212765953</v>
      </c>
      <c r="AJ93" s="6">
        <v>80.23</v>
      </c>
      <c r="AK93" s="6">
        <f>AJ93*0.24</f>
        <v>19.255199999999999</v>
      </c>
      <c r="AL93" s="5">
        <v>22</v>
      </c>
    </row>
    <row r="94" spans="1:38" x14ac:dyDescent="0.25">
      <c r="A94" s="6">
        <v>93</v>
      </c>
      <c r="B94" s="5">
        <v>70</v>
      </c>
      <c r="C94" s="6" t="s">
        <v>328</v>
      </c>
      <c r="D94" s="6" t="s">
        <v>329</v>
      </c>
      <c r="E94" s="6" t="s">
        <v>22</v>
      </c>
      <c r="F94" s="6">
        <v>2023</v>
      </c>
      <c r="G94" s="6" t="s">
        <v>23</v>
      </c>
      <c r="H94" s="6" t="s">
        <v>24</v>
      </c>
      <c r="I94" s="6">
        <v>8.5714109999999994</v>
      </c>
      <c r="J94" s="6">
        <v>124.4751</v>
      </c>
      <c r="K94" s="6" t="s">
        <v>331</v>
      </c>
      <c r="L94" s="7">
        <v>32163</v>
      </c>
      <c r="M94" s="6">
        <v>274.8</v>
      </c>
      <c r="N94" s="5" t="s">
        <v>26</v>
      </c>
      <c r="O94" s="6" t="s">
        <v>157</v>
      </c>
      <c r="P94" s="6" t="s">
        <v>53</v>
      </c>
      <c r="Q94" s="6">
        <v>2080</v>
      </c>
      <c r="R94" s="6">
        <v>25.7</v>
      </c>
      <c r="S94" s="6" t="s">
        <v>29</v>
      </c>
      <c r="T94" s="6" t="s">
        <v>30</v>
      </c>
      <c r="U94" s="6" t="s">
        <v>74</v>
      </c>
      <c r="V94" s="6" t="s">
        <v>32</v>
      </c>
      <c r="W94" s="6" t="s">
        <v>33</v>
      </c>
      <c r="X94" s="6" t="s">
        <v>34</v>
      </c>
      <c r="Y94" s="6" t="s">
        <v>47</v>
      </c>
      <c r="Z94" s="6" t="s">
        <v>36</v>
      </c>
      <c r="AA94" s="6" t="s">
        <v>36</v>
      </c>
      <c r="AB94" s="6" t="s">
        <v>36</v>
      </c>
      <c r="AC94" s="6" t="s">
        <v>36</v>
      </c>
      <c r="AD94" s="6">
        <f>135.2*1.24</f>
        <v>167.648</v>
      </c>
      <c r="AE94" s="6">
        <f>AD94*AL94</f>
        <v>4191.2</v>
      </c>
      <c r="AF94" s="6">
        <f t="shared" si="35"/>
        <v>15381.704</v>
      </c>
      <c r="AG94" s="6">
        <f t="shared" si="36"/>
        <v>615.26815999999997</v>
      </c>
      <c r="AH94" s="6">
        <f t="shared" ref="AH94" si="41">AJ94+AK94</f>
        <v>318.55599999999998</v>
      </c>
      <c r="AI94" s="6">
        <f t="shared" ref="AI94" si="42">AE94/0.47</f>
        <v>8917.4468085106382</v>
      </c>
      <c r="AJ94" s="6">
        <v>256.89999999999998</v>
      </c>
      <c r="AK94" s="6">
        <f t="shared" ref="AK94" si="43">AJ94*0.24</f>
        <v>61.655999999999992</v>
      </c>
      <c r="AL94" s="6">
        <v>25</v>
      </c>
    </row>
    <row r="95" spans="1:38" x14ac:dyDescent="0.25">
      <c r="A95" s="6">
        <v>94</v>
      </c>
      <c r="B95" s="5">
        <v>70</v>
      </c>
      <c r="C95" s="6" t="s">
        <v>328</v>
      </c>
      <c r="D95" s="6" t="s">
        <v>329</v>
      </c>
      <c r="E95" s="6" t="s">
        <v>22</v>
      </c>
      <c r="F95" s="6">
        <v>2023</v>
      </c>
      <c r="G95" s="6" t="s">
        <v>23</v>
      </c>
      <c r="H95" s="6" t="s">
        <v>24</v>
      </c>
      <c r="I95" s="6">
        <v>8.5666670000000007</v>
      </c>
      <c r="J95" s="6">
        <v>124.5167</v>
      </c>
      <c r="K95" s="6" t="s">
        <v>332</v>
      </c>
      <c r="L95" s="7">
        <v>58771</v>
      </c>
      <c r="M95" s="6">
        <v>690.4</v>
      </c>
      <c r="N95" s="5" t="s">
        <v>26</v>
      </c>
      <c r="O95" s="6" t="s">
        <v>157</v>
      </c>
      <c r="P95" s="6" t="s">
        <v>53</v>
      </c>
      <c r="Q95" s="6">
        <v>2080</v>
      </c>
      <c r="R95" s="6">
        <v>24.6</v>
      </c>
      <c r="S95" s="6" t="s">
        <v>29</v>
      </c>
      <c r="T95" s="6" t="s">
        <v>30</v>
      </c>
      <c r="U95" s="6" t="s">
        <v>74</v>
      </c>
      <c r="V95" s="6" t="s">
        <v>32</v>
      </c>
      <c r="W95" s="6" t="s">
        <v>33</v>
      </c>
      <c r="X95" s="6" t="s">
        <v>34</v>
      </c>
      <c r="Y95" s="6" t="s">
        <v>47</v>
      </c>
      <c r="Z95" s="6" t="s">
        <v>36</v>
      </c>
      <c r="AA95" s="6" t="s">
        <v>36</v>
      </c>
      <c r="AB95" s="6" t="s">
        <v>36</v>
      </c>
      <c r="AC95" s="6" t="s">
        <v>36</v>
      </c>
      <c r="AD95" s="6">
        <f>43.3*1.24</f>
        <v>53.691999999999993</v>
      </c>
      <c r="AE95" s="6">
        <f>AD95*AL95</f>
        <v>1342.2999999999997</v>
      </c>
      <c r="AF95" s="6">
        <f>AE95*3.67</f>
        <v>4926.2409999999991</v>
      </c>
      <c r="AG95" s="6">
        <f>AD95*3.67</f>
        <v>197.04963999999998</v>
      </c>
      <c r="AH95" s="6">
        <f>AJ95+AK95</f>
        <v>101.80399999999999</v>
      </c>
      <c r="AI95" s="6">
        <f>AE95/0.47</f>
        <v>2855.9574468085102</v>
      </c>
      <c r="AJ95" s="6">
        <v>82.1</v>
      </c>
      <c r="AK95" s="6">
        <f>AJ95*0.24</f>
        <v>19.703999999999997</v>
      </c>
      <c r="AL95" s="6">
        <v>25</v>
      </c>
    </row>
    <row r="96" spans="1:38" x14ac:dyDescent="0.25">
      <c r="A96" s="6">
        <v>95</v>
      </c>
      <c r="B96" s="5">
        <v>71</v>
      </c>
      <c r="C96" s="6" t="s">
        <v>333</v>
      </c>
      <c r="D96" s="6" t="s">
        <v>334</v>
      </c>
      <c r="E96" s="6" t="s">
        <v>22</v>
      </c>
      <c r="F96" s="6">
        <v>2020</v>
      </c>
      <c r="G96" s="6" t="s">
        <v>23</v>
      </c>
      <c r="H96" s="6" t="s">
        <v>24</v>
      </c>
      <c r="I96" s="6">
        <v>4.7894439999999996</v>
      </c>
      <c r="J96" s="6">
        <v>6.9730559999999997</v>
      </c>
      <c r="K96" s="6" t="s">
        <v>335</v>
      </c>
      <c r="L96" s="7">
        <v>1148665</v>
      </c>
      <c r="M96" s="6">
        <v>13132.9</v>
      </c>
      <c r="N96" s="6" t="s">
        <v>41</v>
      </c>
      <c r="O96" s="6" t="s">
        <v>62</v>
      </c>
      <c r="P96" s="6" t="s">
        <v>125</v>
      </c>
      <c r="Q96" s="12">
        <v>2708</v>
      </c>
      <c r="R96" s="6">
        <v>26.4</v>
      </c>
      <c r="S96" s="6" t="s">
        <v>54</v>
      </c>
      <c r="T96" s="6" t="s">
        <v>112</v>
      </c>
      <c r="U96" s="6" t="s">
        <v>31</v>
      </c>
      <c r="V96" s="6" t="s">
        <v>32</v>
      </c>
      <c r="W96" s="6" t="s">
        <v>336</v>
      </c>
      <c r="X96" s="6" t="s">
        <v>34</v>
      </c>
      <c r="Y96" s="6" t="s">
        <v>35</v>
      </c>
      <c r="Z96" s="6" t="s">
        <v>36</v>
      </c>
      <c r="AA96" s="6" t="s">
        <v>36</v>
      </c>
      <c r="AB96" s="6" t="s">
        <v>36</v>
      </c>
      <c r="AC96" s="6" t="s">
        <v>36</v>
      </c>
      <c r="AD96" s="6">
        <v>136.15</v>
      </c>
      <c r="AE96" s="6">
        <v>67979.08</v>
      </c>
      <c r="AF96" s="6">
        <f t="shared" si="35"/>
        <v>249483.2236</v>
      </c>
      <c r="AG96" s="6">
        <f t="shared" si="36"/>
        <v>499.6705</v>
      </c>
      <c r="AH96" s="5">
        <f>AI96/AL96</f>
        <v>289.68983421232963</v>
      </c>
      <c r="AI96" s="5">
        <f xml:space="preserve"> 67979.08/0.47</f>
        <v>144636.34042553193</v>
      </c>
      <c r="AJ96" s="5">
        <f>(56649.23/0.47)/AL96</f>
        <v>241.40818097208921</v>
      </c>
      <c r="AK96" s="5">
        <f>(11329.85/0.47)/AL96</f>
        <v>48.281653240240423</v>
      </c>
      <c r="AL96" s="6">
        <v>499.28</v>
      </c>
    </row>
    <row r="97" spans="1:38" x14ac:dyDescent="0.25">
      <c r="A97" s="6">
        <v>96</v>
      </c>
      <c r="B97" s="5">
        <v>71</v>
      </c>
      <c r="C97" s="6" t="s">
        <v>333</v>
      </c>
      <c r="D97" s="6" t="s">
        <v>334</v>
      </c>
      <c r="E97" s="6" t="s">
        <v>22</v>
      </c>
      <c r="F97" s="6">
        <v>2020</v>
      </c>
      <c r="G97" s="6" t="s">
        <v>23</v>
      </c>
      <c r="H97" s="6" t="s">
        <v>24</v>
      </c>
      <c r="I97" s="6">
        <v>8.4991669999999999</v>
      </c>
      <c r="J97" s="6">
        <v>4.5005559999999996</v>
      </c>
      <c r="K97" s="6" t="s">
        <v>337</v>
      </c>
      <c r="L97" s="7">
        <v>814192</v>
      </c>
      <c r="M97" s="6">
        <v>1188</v>
      </c>
      <c r="N97" s="6" t="s">
        <v>41</v>
      </c>
      <c r="O97" s="6" t="s">
        <v>62</v>
      </c>
      <c r="P97" s="6" t="s">
        <v>28</v>
      </c>
      <c r="Q97" s="6">
        <v>1217</v>
      </c>
      <c r="R97" s="6">
        <v>27.2</v>
      </c>
      <c r="S97" s="6" t="s">
        <v>44</v>
      </c>
      <c r="T97" s="6" t="s">
        <v>112</v>
      </c>
      <c r="U97" s="6" t="s">
        <v>31</v>
      </c>
      <c r="V97" s="6" t="s">
        <v>32</v>
      </c>
      <c r="W97" s="6" t="s">
        <v>336</v>
      </c>
      <c r="X97" s="6" t="s">
        <v>34</v>
      </c>
      <c r="Y97" s="6" t="s">
        <v>35</v>
      </c>
      <c r="Z97" s="6" t="s">
        <v>36</v>
      </c>
      <c r="AA97" s="6" t="s">
        <v>36</v>
      </c>
      <c r="AB97" s="6" t="s">
        <v>36</v>
      </c>
      <c r="AC97" s="6" t="s">
        <v>36</v>
      </c>
      <c r="AD97" s="6">
        <v>7.82</v>
      </c>
      <c r="AE97" s="6">
        <v>91512.49</v>
      </c>
      <c r="AF97" s="6">
        <f t="shared" si="35"/>
        <v>335850.8383</v>
      </c>
      <c r="AG97" s="6">
        <f t="shared" si="36"/>
        <v>28.699400000000001</v>
      </c>
      <c r="AH97" s="5">
        <f>AI97/AL97</f>
        <v>83.176310620665092</v>
      </c>
      <c r="AI97" s="5">
        <f xml:space="preserve"> 91512.49/0.47</f>
        <v>194707.42553191492</v>
      </c>
      <c r="AJ97" s="5">
        <f>(76260.41/0.47)/AL97</f>
        <v>69.313593698731992</v>
      </c>
      <c r="AK97" s="5">
        <f>(15252.08/0.47)/AL97</f>
        <v>13.862716921933099</v>
      </c>
      <c r="AL97" s="6">
        <v>2340.9</v>
      </c>
    </row>
    <row r="98" spans="1:38" x14ac:dyDescent="0.25">
      <c r="A98" s="6">
        <v>97</v>
      </c>
      <c r="B98" s="5">
        <v>72</v>
      </c>
      <c r="C98" s="6" t="s">
        <v>338</v>
      </c>
      <c r="D98" s="6" t="s">
        <v>339</v>
      </c>
      <c r="E98" s="6" t="s">
        <v>22</v>
      </c>
      <c r="F98" s="6">
        <v>2019</v>
      </c>
      <c r="G98" s="6" t="s">
        <v>23</v>
      </c>
      <c r="H98" s="6" t="s">
        <v>24</v>
      </c>
      <c r="I98" s="6">
        <v>13.583333</v>
      </c>
      <c r="J98" s="6">
        <v>2.25</v>
      </c>
      <c r="K98" s="6" t="s">
        <v>340</v>
      </c>
      <c r="L98" s="7">
        <v>1324700</v>
      </c>
      <c r="M98" s="7">
        <v>1977</v>
      </c>
      <c r="N98" s="6" t="s">
        <v>41</v>
      </c>
      <c r="O98" s="6" t="s">
        <v>341</v>
      </c>
      <c r="P98" s="6" t="s">
        <v>316</v>
      </c>
      <c r="Q98" s="6">
        <v>340</v>
      </c>
      <c r="R98" s="6">
        <v>29.1</v>
      </c>
      <c r="S98" s="6" t="s">
        <v>44</v>
      </c>
      <c r="T98" s="5" t="s">
        <v>55</v>
      </c>
      <c r="U98" s="6" t="s">
        <v>56</v>
      </c>
      <c r="V98" s="6" t="s">
        <v>32</v>
      </c>
      <c r="W98" s="6" t="s">
        <v>33</v>
      </c>
      <c r="X98" s="6" t="s">
        <v>34</v>
      </c>
      <c r="Y98" s="6" t="s">
        <v>35</v>
      </c>
      <c r="Z98" s="6" t="s">
        <v>36</v>
      </c>
      <c r="AA98" s="6" t="s">
        <v>36</v>
      </c>
      <c r="AB98" s="6" t="s">
        <v>36</v>
      </c>
      <c r="AC98" s="6" t="s">
        <v>36</v>
      </c>
      <c r="AD98" s="6">
        <v>17.809999999999999</v>
      </c>
      <c r="AE98" s="6" t="s">
        <v>36</v>
      </c>
      <c r="AF98" s="6" t="s">
        <v>36</v>
      </c>
      <c r="AG98" s="6">
        <f t="shared" si="36"/>
        <v>65.36269999999999</v>
      </c>
      <c r="AH98" s="6">
        <f>AJ98+AK98</f>
        <v>37.596800000000002</v>
      </c>
      <c r="AI98" s="6" t="s">
        <v>36</v>
      </c>
      <c r="AJ98" s="6">
        <v>30.32</v>
      </c>
      <c r="AK98" s="6">
        <f>AJ98*0.24</f>
        <v>7.2767999999999997</v>
      </c>
      <c r="AL98" s="6" t="s">
        <v>36</v>
      </c>
    </row>
    <row r="99" spans="1:38" x14ac:dyDescent="0.25">
      <c r="A99" s="6">
        <v>98</v>
      </c>
      <c r="B99" s="5">
        <v>72</v>
      </c>
      <c r="C99" s="6" t="s">
        <v>338</v>
      </c>
      <c r="D99" s="6" t="s">
        <v>339</v>
      </c>
      <c r="E99" s="6" t="s">
        <v>22</v>
      </c>
      <c r="F99" s="6">
        <v>2019</v>
      </c>
      <c r="G99" s="6" t="s">
        <v>23</v>
      </c>
      <c r="H99" s="6" t="s">
        <v>24</v>
      </c>
      <c r="I99" s="6">
        <v>13.583333</v>
      </c>
      <c r="J99" s="6">
        <v>2.25</v>
      </c>
      <c r="K99" s="6" t="s">
        <v>340</v>
      </c>
      <c r="L99" s="7">
        <v>1324700</v>
      </c>
      <c r="M99" s="7">
        <v>1977</v>
      </c>
      <c r="N99" s="6" t="s">
        <v>41</v>
      </c>
      <c r="O99" s="6" t="s">
        <v>341</v>
      </c>
      <c r="P99" s="6" t="s">
        <v>316</v>
      </c>
      <c r="Q99" s="6">
        <v>340</v>
      </c>
      <c r="R99" s="6">
        <v>29.1</v>
      </c>
      <c r="S99" s="6" t="s">
        <v>44</v>
      </c>
      <c r="T99" s="6" t="s">
        <v>45</v>
      </c>
      <c r="U99" s="6" t="s">
        <v>31</v>
      </c>
      <c r="V99" s="6" t="s">
        <v>32</v>
      </c>
      <c r="W99" s="6" t="s">
        <v>33</v>
      </c>
      <c r="X99" s="6" t="s">
        <v>34</v>
      </c>
      <c r="Y99" s="6" t="s">
        <v>35</v>
      </c>
      <c r="Z99" s="6" t="s">
        <v>36</v>
      </c>
      <c r="AA99" s="6" t="s">
        <v>36</v>
      </c>
      <c r="AB99" s="6" t="s">
        <v>36</v>
      </c>
      <c r="AC99" s="6" t="s">
        <v>36</v>
      </c>
      <c r="AD99" s="6">
        <f>185.81/5</f>
        <v>37.161999999999999</v>
      </c>
      <c r="AE99" s="6" t="s">
        <v>36</v>
      </c>
      <c r="AF99" s="6" t="s">
        <v>36</v>
      </c>
      <c r="AG99" s="6">
        <f t="shared" si="36"/>
        <v>136.38453999999999</v>
      </c>
      <c r="AH99" s="6">
        <f>AJ99+AK99</f>
        <v>80.96208</v>
      </c>
      <c r="AI99" s="6" t="s">
        <v>36</v>
      </c>
      <c r="AJ99" s="6">
        <f>326.46/5</f>
        <v>65.292000000000002</v>
      </c>
      <c r="AK99" s="6">
        <f>AJ99*0.24</f>
        <v>15.67008</v>
      </c>
      <c r="AL99" s="6" t="s">
        <v>36</v>
      </c>
    </row>
    <row r="100" spans="1:38" x14ac:dyDescent="0.25">
      <c r="A100" s="6">
        <v>99</v>
      </c>
      <c r="B100" s="5">
        <v>72</v>
      </c>
      <c r="C100" s="6" t="s">
        <v>338</v>
      </c>
      <c r="D100" s="6" t="s">
        <v>339</v>
      </c>
      <c r="E100" s="6" t="s">
        <v>22</v>
      </c>
      <c r="F100" s="6">
        <v>2019</v>
      </c>
      <c r="G100" s="6" t="s">
        <v>23</v>
      </c>
      <c r="H100" s="6" t="s">
        <v>24</v>
      </c>
      <c r="I100" s="6">
        <v>13.533333000000001</v>
      </c>
      <c r="J100" s="6">
        <v>7.6666670000000003</v>
      </c>
      <c r="K100" s="6" t="s">
        <v>342</v>
      </c>
      <c r="L100" s="7">
        <v>267249</v>
      </c>
      <c r="M100" s="7">
        <v>3613</v>
      </c>
      <c r="N100" s="6" t="s">
        <v>41</v>
      </c>
      <c r="O100" s="6" t="s">
        <v>341</v>
      </c>
      <c r="P100" s="6" t="s">
        <v>316</v>
      </c>
      <c r="Q100" s="6">
        <v>340</v>
      </c>
      <c r="R100" s="6">
        <v>27.8</v>
      </c>
      <c r="S100" s="6" t="s">
        <v>44</v>
      </c>
      <c r="T100" s="5" t="s">
        <v>55</v>
      </c>
      <c r="U100" s="6" t="s">
        <v>56</v>
      </c>
      <c r="V100" s="6" t="s">
        <v>32</v>
      </c>
      <c r="W100" s="6" t="s">
        <v>33</v>
      </c>
      <c r="X100" s="6" t="s">
        <v>34</v>
      </c>
      <c r="Y100" s="6" t="s">
        <v>35</v>
      </c>
      <c r="Z100" s="6" t="s">
        <v>36</v>
      </c>
      <c r="AA100" s="6" t="s">
        <v>36</v>
      </c>
      <c r="AB100" s="6" t="s">
        <v>36</v>
      </c>
      <c r="AC100" s="6" t="s">
        <v>36</v>
      </c>
      <c r="AD100" s="6">
        <f>24.61/2</f>
        <v>12.305</v>
      </c>
      <c r="AE100" s="6" t="s">
        <v>36</v>
      </c>
      <c r="AF100" s="6" t="s">
        <v>36</v>
      </c>
      <c r="AG100" s="6">
        <f t="shared" si="36"/>
        <v>45.159349999999996</v>
      </c>
      <c r="AH100" s="6">
        <f>AJ100+AK100</f>
        <v>25.959399999999999</v>
      </c>
      <c r="AI100" s="6" t="s">
        <v>36</v>
      </c>
      <c r="AJ100" s="6">
        <f>41.87/2</f>
        <v>20.934999999999999</v>
      </c>
      <c r="AK100" s="6">
        <f>AJ100*0.24</f>
        <v>5.0243999999999991</v>
      </c>
      <c r="AL100" s="6" t="s">
        <v>36</v>
      </c>
    </row>
    <row r="101" spans="1:38" x14ac:dyDescent="0.25">
      <c r="A101" s="6">
        <v>100</v>
      </c>
      <c r="B101" s="5">
        <v>72</v>
      </c>
      <c r="C101" s="6" t="s">
        <v>338</v>
      </c>
      <c r="D101" s="6" t="s">
        <v>339</v>
      </c>
      <c r="E101" s="6" t="s">
        <v>22</v>
      </c>
      <c r="F101" s="6">
        <v>2019</v>
      </c>
      <c r="G101" s="6" t="s">
        <v>23</v>
      </c>
      <c r="H101" s="6" t="s">
        <v>24</v>
      </c>
      <c r="I101" s="6">
        <v>13.533333000000001</v>
      </c>
      <c r="J101" s="6">
        <v>7.6666670000000003</v>
      </c>
      <c r="K101" s="6" t="s">
        <v>342</v>
      </c>
      <c r="L101" s="7">
        <v>267249</v>
      </c>
      <c r="M101" s="7">
        <v>3613</v>
      </c>
      <c r="N101" s="6" t="s">
        <v>41</v>
      </c>
      <c r="O101" s="6" t="s">
        <v>341</v>
      </c>
      <c r="P101" s="6" t="s">
        <v>316</v>
      </c>
      <c r="Q101" s="6">
        <v>340</v>
      </c>
      <c r="R101" s="6">
        <v>27.8</v>
      </c>
      <c r="S101" s="6" t="s">
        <v>44</v>
      </c>
      <c r="T101" s="6" t="s">
        <v>45</v>
      </c>
      <c r="U101" s="6" t="s">
        <v>31</v>
      </c>
      <c r="V101" s="6" t="s">
        <v>32</v>
      </c>
      <c r="W101" s="6" t="s">
        <v>33</v>
      </c>
      <c r="X101" s="6" t="s">
        <v>34</v>
      </c>
      <c r="Y101" s="6" t="s">
        <v>35</v>
      </c>
      <c r="Z101" s="6" t="s">
        <v>36</v>
      </c>
      <c r="AA101" s="6" t="s">
        <v>36</v>
      </c>
      <c r="AB101" s="6" t="s">
        <v>36</v>
      </c>
      <c r="AC101" s="6" t="s">
        <v>36</v>
      </c>
      <c r="AD101" s="6">
        <f>383.51/5</f>
        <v>76.701999999999998</v>
      </c>
      <c r="AE101" s="6" t="s">
        <v>36</v>
      </c>
      <c r="AF101" s="6" t="s">
        <v>36</v>
      </c>
      <c r="AG101" s="6">
        <f t="shared" si="36"/>
        <v>281.49633999999998</v>
      </c>
      <c r="AH101" s="6">
        <f>AJ101+AK101</f>
        <v>161.87456</v>
      </c>
      <c r="AI101" s="6" t="s">
        <v>36</v>
      </c>
      <c r="AJ101" s="6">
        <f>652.72/5</f>
        <v>130.54400000000001</v>
      </c>
      <c r="AK101" s="6">
        <f>AJ101*0.24</f>
        <v>31.330560000000002</v>
      </c>
      <c r="AL101" s="6" t="s">
        <v>36</v>
      </c>
    </row>
    <row r="102" spans="1:38" x14ac:dyDescent="0.25">
      <c r="A102" s="6">
        <v>101</v>
      </c>
      <c r="B102" s="5">
        <v>69</v>
      </c>
      <c r="C102" s="6" t="s">
        <v>343</v>
      </c>
      <c r="D102" s="6" t="s">
        <v>344</v>
      </c>
      <c r="E102" s="6" t="s">
        <v>22</v>
      </c>
      <c r="F102" s="6">
        <v>2025</v>
      </c>
      <c r="G102" s="6" t="s">
        <v>50</v>
      </c>
      <c r="H102" s="6" t="s">
        <v>39</v>
      </c>
      <c r="I102" s="6">
        <v>-10.9095</v>
      </c>
      <c r="J102" s="6">
        <v>-37.074800000000003</v>
      </c>
      <c r="K102" s="6" t="s">
        <v>345</v>
      </c>
      <c r="L102" s="7">
        <v>602757</v>
      </c>
      <c r="M102" s="7">
        <v>3309</v>
      </c>
      <c r="N102" s="6" t="s">
        <v>72</v>
      </c>
      <c r="O102" s="6" t="s">
        <v>73</v>
      </c>
      <c r="P102" s="6" t="s">
        <v>125</v>
      </c>
      <c r="Q102" s="6">
        <v>1222</v>
      </c>
      <c r="R102" s="6">
        <v>24.5</v>
      </c>
      <c r="S102" s="6" t="s">
        <v>29</v>
      </c>
      <c r="T102" s="6" t="s">
        <v>112</v>
      </c>
      <c r="U102" s="6" t="s">
        <v>31</v>
      </c>
      <c r="V102" s="6" t="s">
        <v>346</v>
      </c>
      <c r="W102" s="6" t="s">
        <v>172</v>
      </c>
      <c r="X102" s="6" t="s">
        <v>173</v>
      </c>
      <c r="Y102" s="6" t="s">
        <v>35</v>
      </c>
      <c r="Z102" s="6">
        <v>5320</v>
      </c>
      <c r="AA102" s="6">
        <f t="shared" ref="AA102:AA116" si="44">Z102/AL102</f>
        <v>0.62906468014662409</v>
      </c>
      <c r="AB102" s="6">
        <v>19500</v>
      </c>
      <c r="AC102" s="6">
        <f t="shared" ref="AC102:AC116" si="45">AB102/AL102</f>
        <v>2.3057821922667614</v>
      </c>
      <c r="AD102" s="6">
        <f t="shared" ref="AD102:AD116" si="46">AE102/AL102</f>
        <v>12.989239683102754</v>
      </c>
      <c r="AE102" s="6">
        <v>109850</v>
      </c>
      <c r="AF102" s="6">
        <v>402780</v>
      </c>
      <c r="AG102" s="6">
        <f t="shared" ref="AG102:AG116" si="47">AF102/AL102</f>
        <v>47.626818020574675</v>
      </c>
      <c r="AH102" s="6">
        <f t="shared" ref="AH102:AI117" si="48">AD102/0.47</f>
        <v>27.636680176814373</v>
      </c>
      <c r="AI102" s="6">
        <f t="shared" si="48"/>
        <v>233723.40425531915</v>
      </c>
      <c r="AJ102" s="6">
        <f>AH102/1.24</f>
        <v>22.287645303882559</v>
      </c>
      <c r="AK102" s="6">
        <f>AJ102*0.24</f>
        <v>5.3490348729318145</v>
      </c>
      <c r="AL102" s="6">
        <v>8457</v>
      </c>
    </row>
    <row r="103" spans="1:38" x14ac:dyDescent="0.25">
      <c r="A103" s="6">
        <v>102</v>
      </c>
      <c r="B103" s="5">
        <v>69</v>
      </c>
      <c r="C103" s="6" t="s">
        <v>343</v>
      </c>
      <c r="D103" s="6" t="s">
        <v>344</v>
      </c>
      <c r="E103" s="6" t="s">
        <v>22</v>
      </c>
      <c r="F103" s="6">
        <v>2025</v>
      </c>
      <c r="G103" s="6" t="s">
        <v>50</v>
      </c>
      <c r="H103" s="6" t="s">
        <v>39</v>
      </c>
      <c r="I103" s="6">
        <v>-19.916699999999999</v>
      </c>
      <c r="J103" s="6">
        <v>-43.933300000000003</v>
      </c>
      <c r="K103" s="6" t="s">
        <v>347</v>
      </c>
      <c r="L103" s="7">
        <v>2315560</v>
      </c>
      <c r="M103" s="6">
        <v>6988</v>
      </c>
      <c r="N103" s="6" t="s">
        <v>72</v>
      </c>
      <c r="O103" s="6" t="s">
        <v>73</v>
      </c>
      <c r="P103" s="6" t="s">
        <v>43</v>
      </c>
      <c r="Q103" s="6">
        <v>1205</v>
      </c>
      <c r="R103" s="6">
        <v>20.8</v>
      </c>
      <c r="S103" s="6" t="s">
        <v>54</v>
      </c>
      <c r="T103" s="6" t="s">
        <v>112</v>
      </c>
      <c r="U103" s="6" t="s">
        <v>31</v>
      </c>
      <c r="V103" s="6" t="s">
        <v>346</v>
      </c>
      <c r="W103" s="6" t="s">
        <v>172</v>
      </c>
      <c r="X103" s="6" t="s">
        <v>173</v>
      </c>
      <c r="Y103" s="6" t="s">
        <v>35</v>
      </c>
      <c r="Z103" s="6">
        <v>17200</v>
      </c>
      <c r="AA103" s="6">
        <f t="shared" si="44"/>
        <v>0.6276455991826011</v>
      </c>
      <c r="AB103" s="6">
        <v>63060</v>
      </c>
      <c r="AC103" s="6">
        <f t="shared" si="45"/>
        <v>2.3011239235148153</v>
      </c>
      <c r="AD103" s="6">
        <f t="shared" si="46"/>
        <v>12.964165815209459</v>
      </c>
      <c r="AE103" s="6">
        <v>355270</v>
      </c>
      <c r="AF103" s="6">
        <v>1302640</v>
      </c>
      <c r="AG103" s="6">
        <f t="shared" si="47"/>
        <v>47.534666472047874</v>
      </c>
      <c r="AH103" s="6">
        <f t="shared" si="48"/>
        <v>27.583331521722254</v>
      </c>
      <c r="AI103" s="6">
        <f t="shared" si="48"/>
        <v>755893.61702127662</v>
      </c>
      <c r="AJ103" s="6">
        <f t="shared" ref="AJ103:AJ118" si="49">AH103/1.24</f>
        <v>22.244622194937303</v>
      </c>
      <c r="AK103" s="6">
        <f t="shared" ref="AK103:AK118" si="50">AJ103*0.24</f>
        <v>5.3387093267849526</v>
      </c>
      <c r="AL103" s="6">
        <v>27404</v>
      </c>
    </row>
    <row r="104" spans="1:38" x14ac:dyDescent="0.25">
      <c r="A104" s="6">
        <v>103</v>
      </c>
      <c r="B104" s="5">
        <v>69</v>
      </c>
      <c r="C104" s="6" t="s">
        <v>343</v>
      </c>
      <c r="D104" s="6" t="s">
        <v>344</v>
      </c>
      <c r="E104" s="6" t="s">
        <v>22</v>
      </c>
      <c r="F104" s="6">
        <v>2025</v>
      </c>
      <c r="G104" s="6" t="s">
        <v>50</v>
      </c>
      <c r="H104" s="6" t="s">
        <v>39</v>
      </c>
      <c r="I104" s="6">
        <v>-12.697800000000001</v>
      </c>
      <c r="J104" s="6">
        <v>-38.324199999999998</v>
      </c>
      <c r="K104" s="6" t="s">
        <v>348</v>
      </c>
      <c r="L104" s="7">
        <v>300372</v>
      </c>
      <c r="M104" s="6">
        <v>382.4</v>
      </c>
      <c r="N104" s="6" t="s">
        <v>72</v>
      </c>
      <c r="O104" s="6" t="s">
        <v>73</v>
      </c>
      <c r="P104" s="6" t="s">
        <v>28</v>
      </c>
      <c r="Q104" s="6">
        <v>919</v>
      </c>
      <c r="R104" s="6">
        <v>25.4</v>
      </c>
      <c r="S104" s="6" t="s">
        <v>54</v>
      </c>
      <c r="T104" s="6" t="s">
        <v>112</v>
      </c>
      <c r="U104" s="6" t="s">
        <v>31</v>
      </c>
      <c r="V104" s="6" t="s">
        <v>346</v>
      </c>
      <c r="W104" s="6" t="s">
        <v>172</v>
      </c>
      <c r="X104" s="6" t="s">
        <v>173</v>
      </c>
      <c r="Y104" s="6" t="s">
        <v>35</v>
      </c>
      <c r="Z104" s="6">
        <v>21210</v>
      </c>
      <c r="AA104" s="6">
        <f t="shared" si="44"/>
        <v>2.070682417260568</v>
      </c>
      <c r="AB104" s="6">
        <v>77790</v>
      </c>
      <c r="AC104" s="6">
        <f t="shared" si="45"/>
        <v>7.5944547495850827</v>
      </c>
      <c r="AD104" s="6">
        <f t="shared" si="46"/>
        <v>42.785316801718245</v>
      </c>
      <c r="AE104" s="6">
        <v>438250</v>
      </c>
      <c r="AF104" s="6">
        <v>1606900</v>
      </c>
      <c r="AG104" s="6">
        <f t="shared" si="47"/>
        <v>156.8778678121644</v>
      </c>
      <c r="AH104" s="6">
        <f t="shared" si="48"/>
        <v>91.032588939826056</v>
      </c>
      <c r="AI104" s="6">
        <f t="shared" si="48"/>
        <v>932446.80851063831</v>
      </c>
      <c r="AJ104" s="6">
        <f t="shared" si="49"/>
        <v>73.413378177279071</v>
      </c>
      <c r="AK104" s="6">
        <f t="shared" si="50"/>
        <v>17.619210762546977</v>
      </c>
      <c r="AL104" s="6">
        <v>10243</v>
      </c>
    </row>
    <row r="105" spans="1:38" x14ac:dyDescent="0.25">
      <c r="A105" s="6">
        <v>104</v>
      </c>
      <c r="B105" s="5">
        <v>69</v>
      </c>
      <c r="C105" s="6" t="s">
        <v>343</v>
      </c>
      <c r="D105" s="6" t="s">
        <v>344</v>
      </c>
      <c r="E105" s="6" t="s">
        <v>22</v>
      </c>
      <c r="F105" s="6">
        <v>2025</v>
      </c>
      <c r="G105" s="6" t="s">
        <v>50</v>
      </c>
      <c r="H105" s="6" t="s">
        <v>39</v>
      </c>
      <c r="I105" s="6">
        <v>-21.752199999999998</v>
      </c>
      <c r="J105" s="6">
        <v>-41.324399999999997</v>
      </c>
      <c r="K105" s="6" t="s">
        <v>349</v>
      </c>
      <c r="L105" s="7">
        <v>483540</v>
      </c>
      <c r="M105" s="6">
        <v>119.9</v>
      </c>
      <c r="N105" s="6" t="s">
        <v>72</v>
      </c>
      <c r="O105" s="6" t="s">
        <v>73</v>
      </c>
      <c r="P105" s="6" t="s">
        <v>28</v>
      </c>
      <c r="Q105" s="6">
        <v>1112</v>
      </c>
      <c r="R105" s="6">
        <v>23.9</v>
      </c>
      <c r="S105" s="6" t="s">
        <v>54</v>
      </c>
      <c r="T105" s="6" t="s">
        <v>112</v>
      </c>
      <c r="U105" s="6" t="s">
        <v>31</v>
      </c>
      <c r="V105" s="6" t="s">
        <v>346</v>
      </c>
      <c r="W105" s="6" t="s">
        <v>172</v>
      </c>
      <c r="X105" s="6" t="s">
        <v>173</v>
      </c>
      <c r="Y105" s="6" t="s">
        <v>35</v>
      </c>
      <c r="Z105" s="6">
        <v>10630</v>
      </c>
      <c r="AA105" s="6">
        <f t="shared" si="44"/>
        <v>1.1169486182620574</v>
      </c>
      <c r="AB105" s="6">
        <v>38970</v>
      </c>
      <c r="AC105" s="6">
        <f t="shared" si="45"/>
        <v>4.0947777661027631</v>
      </c>
      <c r="AD105" s="6">
        <f t="shared" si="46"/>
        <v>23.068193758537355</v>
      </c>
      <c r="AE105" s="6">
        <v>219540</v>
      </c>
      <c r="AF105" s="6">
        <v>804990</v>
      </c>
      <c r="AG105" s="6">
        <f t="shared" si="47"/>
        <v>84.584427865924141</v>
      </c>
      <c r="AH105" s="6">
        <f t="shared" si="48"/>
        <v>49.081263316036924</v>
      </c>
      <c r="AI105" s="6">
        <f t="shared" si="48"/>
        <v>467106.38297872344</v>
      </c>
      <c r="AJ105" s="6">
        <f t="shared" si="49"/>
        <v>39.581663964545911</v>
      </c>
      <c r="AK105" s="6">
        <f t="shared" si="50"/>
        <v>9.4995993514910175</v>
      </c>
      <c r="AL105" s="6">
        <v>9517</v>
      </c>
    </row>
    <row r="106" spans="1:38" x14ac:dyDescent="0.25">
      <c r="A106" s="6">
        <v>105</v>
      </c>
      <c r="B106" s="5">
        <v>69</v>
      </c>
      <c r="C106" s="6" t="s">
        <v>343</v>
      </c>
      <c r="D106" s="6" t="s">
        <v>344</v>
      </c>
      <c r="E106" s="6" t="s">
        <v>22</v>
      </c>
      <c r="F106" s="6">
        <v>2025</v>
      </c>
      <c r="G106" s="6" t="s">
        <v>50</v>
      </c>
      <c r="H106" s="6" t="s">
        <v>39</v>
      </c>
      <c r="I106" s="6">
        <v>-22.785799999999998</v>
      </c>
      <c r="J106" s="6">
        <v>-43.309699999999999</v>
      </c>
      <c r="K106" s="6" t="s">
        <v>350</v>
      </c>
      <c r="L106" s="7">
        <v>808161</v>
      </c>
      <c r="M106" s="7">
        <v>1729</v>
      </c>
      <c r="N106" s="6" t="s">
        <v>72</v>
      </c>
      <c r="O106" s="6" t="s">
        <v>73</v>
      </c>
      <c r="P106" s="6" t="s">
        <v>102</v>
      </c>
      <c r="Q106" s="6">
        <v>1704</v>
      </c>
      <c r="R106" s="6">
        <v>23.4</v>
      </c>
      <c r="S106" s="6" t="s">
        <v>54</v>
      </c>
      <c r="T106" s="6" t="s">
        <v>112</v>
      </c>
      <c r="U106" s="6" t="s">
        <v>31</v>
      </c>
      <c r="V106" s="6" t="s">
        <v>346</v>
      </c>
      <c r="W106" s="6" t="s">
        <v>172</v>
      </c>
      <c r="X106" s="6" t="s">
        <v>173</v>
      </c>
      <c r="Y106" s="6" t="s">
        <v>35</v>
      </c>
      <c r="Z106" s="6">
        <v>12730</v>
      </c>
      <c r="AA106" s="6">
        <f t="shared" si="44"/>
        <v>0.91794058263628497</v>
      </c>
      <c r="AB106" s="6">
        <v>48680</v>
      </c>
      <c r="AC106" s="6">
        <f t="shared" si="45"/>
        <v>3.5102394000576869</v>
      </c>
      <c r="AD106" s="6">
        <f t="shared" si="46"/>
        <v>18.965243726564754</v>
      </c>
      <c r="AE106" s="6">
        <v>263010</v>
      </c>
      <c r="AF106" s="6">
        <v>964370</v>
      </c>
      <c r="AG106" s="6">
        <f t="shared" si="47"/>
        <v>69.5392269974041</v>
      </c>
      <c r="AH106" s="6">
        <f t="shared" si="48"/>
        <v>40.351582396946284</v>
      </c>
      <c r="AI106" s="6">
        <f t="shared" si="48"/>
        <v>559595.74468085112</v>
      </c>
      <c r="AJ106" s="6">
        <f t="shared" si="49"/>
        <v>32.541598707214746</v>
      </c>
      <c r="AK106" s="6">
        <f t="shared" si="50"/>
        <v>7.8099836897315384</v>
      </c>
      <c r="AL106" s="6">
        <v>13868</v>
      </c>
    </row>
    <row r="107" spans="1:38" x14ac:dyDescent="0.25">
      <c r="A107" s="6">
        <v>106</v>
      </c>
      <c r="B107" s="5">
        <v>69</v>
      </c>
      <c r="C107" s="6" t="s">
        <v>343</v>
      </c>
      <c r="D107" s="6" t="s">
        <v>344</v>
      </c>
      <c r="E107" s="6" t="s">
        <v>22</v>
      </c>
      <c r="F107" s="6">
        <v>2025</v>
      </c>
      <c r="G107" s="6" t="s">
        <v>50</v>
      </c>
      <c r="H107" s="6" t="s">
        <v>39</v>
      </c>
      <c r="I107" s="6">
        <v>-12.2669</v>
      </c>
      <c r="J107" s="6">
        <v>-38.966900000000003</v>
      </c>
      <c r="K107" s="6" t="s">
        <v>351</v>
      </c>
      <c r="L107" s="7">
        <v>616272</v>
      </c>
      <c r="M107" s="6">
        <v>472.4</v>
      </c>
      <c r="N107" s="6" t="s">
        <v>72</v>
      </c>
      <c r="O107" s="6" t="s">
        <v>73</v>
      </c>
      <c r="P107" s="6" t="s">
        <v>28</v>
      </c>
      <c r="Q107" s="6">
        <v>692</v>
      </c>
      <c r="R107" s="6">
        <v>24.5</v>
      </c>
      <c r="S107" s="6" t="s">
        <v>54</v>
      </c>
      <c r="T107" s="6" t="s">
        <v>112</v>
      </c>
      <c r="U107" s="6" t="s">
        <v>31</v>
      </c>
      <c r="V107" s="6" t="s">
        <v>346</v>
      </c>
      <c r="W107" s="6" t="s">
        <v>172</v>
      </c>
      <c r="X107" s="6" t="s">
        <v>173</v>
      </c>
      <c r="Y107" s="6" t="s">
        <v>35</v>
      </c>
      <c r="Z107" s="6">
        <v>8590</v>
      </c>
      <c r="AA107" s="6">
        <f t="shared" si="44"/>
        <v>0.60006985679357316</v>
      </c>
      <c r="AB107" s="6">
        <v>31490</v>
      </c>
      <c r="AC107" s="6">
        <f t="shared" si="45"/>
        <v>2.1997904296192803</v>
      </c>
      <c r="AD107" s="6">
        <f t="shared" si="46"/>
        <v>12.391896611945512</v>
      </c>
      <c r="AE107" s="6">
        <v>177390</v>
      </c>
      <c r="AF107" s="6">
        <v>650450</v>
      </c>
      <c r="AG107" s="6">
        <f t="shared" si="47"/>
        <v>45.438351379671673</v>
      </c>
      <c r="AH107" s="6">
        <f t="shared" si="48"/>
        <v>26.365737472224495</v>
      </c>
      <c r="AI107" s="6">
        <f t="shared" si="48"/>
        <v>377425.53191489365</v>
      </c>
      <c r="AJ107" s="6">
        <f t="shared" si="49"/>
        <v>21.262691509858463</v>
      </c>
      <c r="AK107" s="6">
        <f t="shared" si="50"/>
        <v>5.1030459623660311</v>
      </c>
      <c r="AL107" s="6">
        <v>14315</v>
      </c>
    </row>
    <row r="108" spans="1:38" x14ac:dyDescent="0.25">
      <c r="A108" s="6">
        <v>107</v>
      </c>
      <c r="B108" s="5">
        <v>69</v>
      </c>
      <c r="C108" s="6" t="s">
        <v>343</v>
      </c>
      <c r="D108" s="6" t="s">
        <v>344</v>
      </c>
      <c r="E108" s="6" t="s">
        <v>22</v>
      </c>
      <c r="F108" s="6">
        <v>2025</v>
      </c>
      <c r="G108" s="6" t="s">
        <v>50</v>
      </c>
      <c r="H108" s="6" t="s">
        <v>39</v>
      </c>
      <c r="I108" s="6">
        <v>-14.7889</v>
      </c>
      <c r="J108" s="6">
        <v>-39.049399999999999</v>
      </c>
      <c r="K108" s="6" t="s">
        <v>352</v>
      </c>
      <c r="L108" s="7">
        <v>178649</v>
      </c>
      <c r="M108" s="6">
        <v>112.5</v>
      </c>
      <c r="N108" s="6" t="s">
        <v>72</v>
      </c>
      <c r="O108" s="6" t="s">
        <v>73</v>
      </c>
      <c r="P108" s="6" t="s">
        <v>53</v>
      </c>
      <c r="Q108" s="6">
        <v>1325</v>
      </c>
      <c r="R108" s="6">
        <v>23.9</v>
      </c>
      <c r="S108" s="6" t="s">
        <v>54</v>
      </c>
      <c r="T108" s="6" t="s">
        <v>112</v>
      </c>
      <c r="U108" s="6" t="s">
        <v>31</v>
      </c>
      <c r="V108" s="6" t="s">
        <v>346</v>
      </c>
      <c r="W108" s="6" t="s">
        <v>172</v>
      </c>
      <c r="X108" s="6" t="s">
        <v>173</v>
      </c>
      <c r="Y108" s="6" t="s">
        <v>35</v>
      </c>
      <c r="Z108" s="6">
        <v>2800</v>
      </c>
      <c r="AA108" s="6">
        <f t="shared" si="44"/>
        <v>0.79252759694310781</v>
      </c>
      <c r="AB108" s="6">
        <v>10280</v>
      </c>
      <c r="AC108" s="6">
        <f t="shared" si="45"/>
        <v>2.9097084630625529</v>
      </c>
      <c r="AD108" s="6">
        <f t="shared" si="46"/>
        <v>16.391168978205492</v>
      </c>
      <c r="AE108" s="6">
        <v>57910</v>
      </c>
      <c r="AF108" s="6">
        <v>212320</v>
      </c>
      <c r="AG108" s="6">
        <f t="shared" si="47"/>
        <v>60.09623549391452</v>
      </c>
      <c r="AH108" s="6">
        <f t="shared" si="48"/>
        <v>34.874827613203173</v>
      </c>
      <c r="AI108" s="6">
        <f t="shared" si="48"/>
        <v>123212.76595744681</v>
      </c>
      <c r="AJ108" s="6">
        <f t="shared" si="49"/>
        <v>28.124860978389655</v>
      </c>
      <c r="AK108" s="6">
        <f t="shared" si="50"/>
        <v>6.749966634813517</v>
      </c>
      <c r="AL108" s="6">
        <v>3533</v>
      </c>
    </row>
    <row r="109" spans="1:38" x14ac:dyDescent="0.25">
      <c r="A109" s="6">
        <v>108</v>
      </c>
      <c r="B109" s="5">
        <v>69</v>
      </c>
      <c r="C109" s="6" t="s">
        <v>343</v>
      </c>
      <c r="D109" s="6" t="s">
        <v>344</v>
      </c>
      <c r="E109" s="6" t="s">
        <v>22</v>
      </c>
      <c r="F109" s="6">
        <v>2025</v>
      </c>
      <c r="G109" s="6" t="s">
        <v>50</v>
      </c>
      <c r="H109" s="6" t="s">
        <v>39</v>
      </c>
      <c r="I109" s="6">
        <v>-8.1130999999999993</v>
      </c>
      <c r="J109" s="6">
        <v>-35.015000000000001</v>
      </c>
      <c r="K109" s="6" t="s">
        <v>353</v>
      </c>
      <c r="L109" s="7">
        <v>644037</v>
      </c>
      <c r="M109" s="6">
        <v>2489</v>
      </c>
      <c r="N109" s="6" t="s">
        <v>72</v>
      </c>
      <c r="O109" s="6" t="s">
        <v>73</v>
      </c>
      <c r="P109" s="6" t="s">
        <v>28</v>
      </c>
      <c r="Q109" s="6">
        <v>988</v>
      </c>
      <c r="R109" s="6">
        <v>25.4</v>
      </c>
      <c r="S109" s="6" t="s">
        <v>54</v>
      </c>
      <c r="T109" s="6" t="s">
        <v>112</v>
      </c>
      <c r="U109" s="6" t="s">
        <v>31</v>
      </c>
      <c r="V109" s="6" t="s">
        <v>346</v>
      </c>
      <c r="W109" s="6" t="s">
        <v>172</v>
      </c>
      <c r="X109" s="6" t="s">
        <v>173</v>
      </c>
      <c r="Y109" s="6" t="s">
        <v>35</v>
      </c>
      <c r="Z109" s="6">
        <v>6740</v>
      </c>
      <c r="AA109" s="6">
        <f t="shared" si="44"/>
        <v>0.90445517981749868</v>
      </c>
      <c r="AB109" s="6">
        <v>24720</v>
      </c>
      <c r="AC109" s="6">
        <f t="shared" si="45"/>
        <v>3.317230273752013</v>
      </c>
      <c r="AD109" s="6">
        <f t="shared" si="46"/>
        <v>18.691626409017715</v>
      </c>
      <c r="AE109" s="6">
        <v>139290</v>
      </c>
      <c r="AF109" s="6">
        <v>510720</v>
      </c>
      <c r="AG109" s="6">
        <f t="shared" si="47"/>
        <v>68.534621578099845</v>
      </c>
      <c r="AH109" s="6">
        <f t="shared" si="48"/>
        <v>39.769417891527056</v>
      </c>
      <c r="AI109" s="6">
        <f t="shared" si="48"/>
        <v>296361.70212765958</v>
      </c>
      <c r="AJ109" s="6">
        <f t="shared" si="49"/>
        <v>32.072111202844397</v>
      </c>
      <c r="AK109" s="6">
        <f t="shared" si="50"/>
        <v>7.6973066886826551</v>
      </c>
      <c r="AL109" s="6">
        <v>7452</v>
      </c>
    </row>
    <row r="110" spans="1:38" x14ac:dyDescent="0.25">
      <c r="A110" s="6">
        <v>109</v>
      </c>
      <c r="B110" s="5">
        <v>69</v>
      </c>
      <c r="C110" s="6" t="s">
        <v>343</v>
      </c>
      <c r="D110" s="6" t="s">
        <v>344</v>
      </c>
      <c r="E110" s="6" t="s">
        <v>22</v>
      </c>
      <c r="F110" s="6">
        <v>2025</v>
      </c>
      <c r="G110" s="6" t="s">
        <v>50</v>
      </c>
      <c r="H110" s="6" t="s">
        <v>39</v>
      </c>
      <c r="I110" s="6">
        <v>-22.185600000000001</v>
      </c>
      <c r="J110" s="6">
        <v>-47.39</v>
      </c>
      <c r="K110" s="6" t="s">
        <v>354</v>
      </c>
      <c r="L110" s="7">
        <v>98161</v>
      </c>
      <c r="M110" s="6">
        <v>243.7</v>
      </c>
      <c r="N110" s="6" t="s">
        <v>72</v>
      </c>
      <c r="O110" s="6" t="s">
        <v>73</v>
      </c>
      <c r="P110" s="6" t="s">
        <v>28</v>
      </c>
      <c r="Q110" s="6">
        <v>1575</v>
      </c>
      <c r="R110" s="6">
        <v>21.6</v>
      </c>
      <c r="S110" s="6" t="s">
        <v>54</v>
      </c>
      <c r="T110" s="6" t="s">
        <v>112</v>
      </c>
      <c r="U110" s="6" t="s">
        <v>31</v>
      </c>
      <c r="V110" s="6" t="s">
        <v>346</v>
      </c>
      <c r="W110" s="6" t="s">
        <v>172</v>
      </c>
      <c r="X110" s="6" t="s">
        <v>173</v>
      </c>
      <c r="Y110" s="6" t="s">
        <v>35</v>
      </c>
      <c r="Z110" s="6">
        <v>950</v>
      </c>
      <c r="AA110" s="6">
        <f t="shared" si="44"/>
        <v>0.3763866877971474</v>
      </c>
      <c r="AB110" s="6">
        <v>3500</v>
      </c>
      <c r="AC110" s="6">
        <f t="shared" si="45"/>
        <v>1.386687797147385</v>
      </c>
      <c r="AD110" s="6">
        <f t="shared" si="46"/>
        <v>7.8129952456418383</v>
      </c>
      <c r="AE110" s="6">
        <v>19720</v>
      </c>
      <c r="AF110" s="6">
        <v>72310</v>
      </c>
      <c r="AG110" s="6">
        <f t="shared" si="47"/>
        <v>28.648969889064976</v>
      </c>
      <c r="AH110" s="6">
        <f t="shared" si="48"/>
        <v>16.623394139663485</v>
      </c>
      <c r="AI110" s="6">
        <f t="shared" si="48"/>
        <v>41957.446808510642</v>
      </c>
      <c r="AJ110" s="6">
        <f t="shared" si="49"/>
        <v>13.405963015857649</v>
      </c>
      <c r="AK110" s="6">
        <f t="shared" si="50"/>
        <v>3.2174311238058357</v>
      </c>
      <c r="AL110" s="6">
        <v>2524</v>
      </c>
    </row>
    <row r="111" spans="1:38" x14ac:dyDescent="0.25">
      <c r="A111" s="6">
        <v>110</v>
      </c>
      <c r="B111" s="5">
        <v>69</v>
      </c>
      <c r="C111" s="6" t="s">
        <v>343</v>
      </c>
      <c r="D111" s="6" t="s">
        <v>344</v>
      </c>
      <c r="E111" s="6" t="s">
        <v>22</v>
      </c>
      <c r="F111" s="6">
        <v>2025</v>
      </c>
      <c r="G111" s="6" t="s">
        <v>50</v>
      </c>
      <c r="H111" s="6" t="s">
        <v>39</v>
      </c>
      <c r="I111" s="6">
        <v>-22.370799999999999</v>
      </c>
      <c r="J111" s="6">
        <v>-41.786900000000003</v>
      </c>
      <c r="K111" s="6" t="s">
        <v>355</v>
      </c>
      <c r="L111" s="7">
        <v>246391</v>
      </c>
      <c r="M111" s="6">
        <v>202.5</v>
      </c>
      <c r="N111" s="6" t="s">
        <v>72</v>
      </c>
      <c r="O111" s="6" t="s">
        <v>73</v>
      </c>
      <c r="P111" s="6" t="s">
        <v>28</v>
      </c>
      <c r="Q111" s="6">
        <v>1222</v>
      </c>
      <c r="R111" s="6">
        <v>23.3</v>
      </c>
      <c r="S111" s="6" t="s">
        <v>54</v>
      </c>
      <c r="T111" s="6" t="s">
        <v>112</v>
      </c>
      <c r="U111" s="6" t="s">
        <v>31</v>
      </c>
      <c r="V111" s="6" t="s">
        <v>346</v>
      </c>
      <c r="W111" s="6" t="s">
        <v>172</v>
      </c>
      <c r="X111" s="6" t="s">
        <v>173</v>
      </c>
      <c r="Y111" s="6" t="s">
        <v>35</v>
      </c>
      <c r="Z111" s="6">
        <v>4300</v>
      </c>
      <c r="AA111" s="6">
        <f t="shared" si="44"/>
        <v>0.89639357932040864</v>
      </c>
      <c r="AB111" s="6">
        <v>15780</v>
      </c>
      <c r="AC111" s="6">
        <f t="shared" si="45"/>
        <v>3.2895559724828018</v>
      </c>
      <c r="AD111" s="6">
        <f t="shared" si="46"/>
        <v>18.534500729622682</v>
      </c>
      <c r="AE111" s="6">
        <v>88910</v>
      </c>
      <c r="AF111" s="6">
        <v>326010</v>
      </c>
      <c r="AG111" s="6">
        <f t="shared" si="47"/>
        <v>67.961225766103809</v>
      </c>
      <c r="AH111" s="6">
        <f t="shared" si="48"/>
        <v>39.435107935367412</v>
      </c>
      <c r="AI111" s="6">
        <f t="shared" si="48"/>
        <v>189170.21276595746</v>
      </c>
      <c r="AJ111" s="6">
        <f t="shared" si="49"/>
        <v>31.80250639948985</v>
      </c>
      <c r="AK111" s="6">
        <f t="shared" si="50"/>
        <v>7.6326015358775638</v>
      </c>
      <c r="AL111" s="6">
        <v>4797</v>
      </c>
    </row>
    <row r="112" spans="1:38" x14ac:dyDescent="0.25">
      <c r="A112" s="6">
        <v>111</v>
      </c>
      <c r="B112" s="5">
        <v>69</v>
      </c>
      <c r="C112" s="6" t="s">
        <v>343</v>
      </c>
      <c r="D112" s="6" t="s">
        <v>344</v>
      </c>
      <c r="E112" s="6" t="s">
        <v>22</v>
      </c>
      <c r="F112" s="6">
        <v>2025</v>
      </c>
      <c r="G112" s="6" t="s">
        <v>50</v>
      </c>
      <c r="H112" s="6" t="s">
        <v>39</v>
      </c>
      <c r="I112" s="6">
        <v>-9.6658000000000008</v>
      </c>
      <c r="J112" s="6">
        <v>-35.735300000000002</v>
      </c>
      <c r="K112" s="6" t="s">
        <v>356</v>
      </c>
      <c r="L112" s="7">
        <v>957916</v>
      </c>
      <c r="M112" s="7">
        <v>1881</v>
      </c>
      <c r="N112" s="6" t="s">
        <v>72</v>
      </c>
      <c r="O112" s="6" t="s">
        <v>73</v>
      </c>
      <c r="P112" s="6" t="s">
        <v>125</v>
      </c>
      <c r="Q112" s="6">
        <v>1304</v>
      </c>
      <c r="R112" s="6">
        <v>25.2</v>
      </c>
      <c r="S112" s="6" t="s">
        <v>29</v>
      </c>
      <c r="T112" s="6" t="s">
        <v>112</v>
      </c>
      <c r="U112" s="6" t="s">
        <v>31</v>
      </c>
      <c r="V112" s="6" t="s">
        <v>346</v>
      </c>
      <c r="W112" s="6" t="s">
        <v>172</v>
      </c>
      <c r="X112" s="6" t="s">
        <v>173</v>
      </c>
      <c r="Y112" s="6" t="s">
        <v>35</v>
      </c>
      <c r="Z112" s="6">
        <v>10870</v>
      </c>
      <c r="AA112" s="6">
        <f t="shared" si="44"/>
        <v>0.9445603058741745</v>
      </c>
      <c r="AB112" s="6">
        <v>39840</v>
      </c>
      <c r="AC112" s="6">
        <f t="shared" si="45"/>
        <v>3.4619395203336811</v>
      </c>
      <c r="AD112" s="6">
        <f t="shared" si="46"/>
        <v>19.506430309350016</v>
      </c>
      <c r="AE112" s="6">
        <v>224480</v>
      </c>
      <c r="AF112" s="6">
        <v>823080</v>
      </c>
      <c r="AG112" s="6">
        <f t="shared" si="47"/>
        <v>71.522419186652769</v>
      </c>
      <c r="AH112" s="6">
        <f t="shared" si="48"/>
        <v>41.503043211383016</v>
      </c>
      <c r="AI112" s="6">
        <f t="shared" si="48"/>
        <v>477617.02127659577</v>
      </c>
      <c r="AJ112" s="6">
        <f t="shared" si="49"/>
        <v>33.47019613821211</v>
      </c>
      <c r="AK112" s="6">
        <f t="shared" si="50"/>
        <v>8.0328470731709061</v>
      </c>
      <c r="AL112" s="6">
        <v>11508</v>
      </c>
    </row>
    <row r="113" spans="1:38" x14ac:dyDescent="0.25">
      <c r="A113" s="6">
        <v>112</v>
      </c>
      <c r="B113" s="5">
        <v>69</v>
      </c>
      <c r="C113" s="6" t="s">
        <v>343</v>
      </c>
      <c r="D113" s="6" t="s">
        <v>344</v>
      </c>
      <c r="E113" s="6" t="s">
        <v>22</v>
      </c>
      <c r="F113" s="6">
        <v>2025</v>
      </c>
      <c r="G113" s="6" t="s">
        <v>50</v>
      </c>
      <c r="H113" s="6" t="s">
        <v>39</v>
      </c>
      <c r="I113" s="6">
        <v>-8.0475999999999992</v>
      </c>
      <c r="J113" s="6">
        <v>-34.877000000000002</v>
      </c>
      <c r="K113" s="6" t="s">
        <v>357</v>
      </c>
      <c r="L113" s="7">
        <v>1488920</v>
      </c>
      <c r="M113" s="7">
        <v>6804</v>
      </c>
      <c r="N113" s="6" t="s">
        <v>72</v>
      </c>
      <c r="O113" s="6" t="s">
        <v>73</v>
      </c>
      <c r="P113" s="6" t="s">
        <v>28</v>
      </c>
      <c r="Q113" s="6">
        <v>988</v>
      </c>
      <c r="R113" s="6">
        <v>25.7</v>
      </c>
      <c r="S113" s="6" t="s">
        <v>29</v>
      </c>
      <c r="T113" s="6" t="s">
        <v>112</v>
      </c>
      <c r="U113" s="6" t="s">
        <v>31</v>
      </c>
      <c r="V113" s="6" t="s">
        <v>346</v>
      </c>
      <c r="W113" s="6" t="s">
        <v>172</v>
      </c>
      <c r="X113" s="6" t="s">
        <v>173</v>
      </c>
      <c r="Y113" s="6" t="s">
        <v>35</v>
      </c>
      <c r="Z113" s="6">
        <v>10690</v>
      </c>
      <c r="AA113" s="6">
        <f t="shared" si="44"/>
        <v>0.74760472760332886</v>
      </c>
      <c r="AB113" s="6">
        <v>39190</v>
      </c>
      <c r="AC113" s="6">
        <f t="shared" si="45"/>
        <v>2.7407511014756278</v>
      </c>
      <c r="AD113" s="6">
        <f t="shared" si="46"/>
        <v>15.441639275473809</v>
      </c>
      <c r="AE113" s="6">
        <v>220800</v>
      </c>
      <c r="AF113" s="6">
        <v>809580</v>
      </c>
      <c r="AG113" s="6">
        <f t="shared" si="47"/>
        <v>56.617945310860897</v>
      </c>
      <c r="AH113" s="6">
        <f t="shared" si="48"/>
        <v>32.854551649944277</v>
      </c>
      <c r="AI113" s="6">
        <f t="shared" si="48"/>
        <v>469787.23404255323</v>
      </c>
      <c r="AJ113" s="6">
        <f t="shared" si="49"/>
        <v>26.495606169309902</v>
      </c>
      <c r="AK113" s="6">
        <f t="shared" si="50"/>
        <v>6.3589454806343761</v>
      </c>
      <c r="AL113" s="6">
        <v>14299</v>
      </c>
    </row>
    <row r="114" spans="1:38" x14ac:dyDescent="0.25">
      <c r="A114" s="6">
        <v>113</v>
      </c>
      <c r="B114" s="5">
        <v>69</v>
      </c>
      <c r="C114" s="6" t="s">
        <v>343</v>
      </c>
      <c r="D114" s="6" t="s">
        <v>344</v>
      </c>
      <c r="E114" s="6" t="s">
        <v>22</v>
      </c>
      <c r="F114" s="6">
        <v>2025</v>
      </c>
      <c r="G114" s="6" t="s">
        <v>50</v>
      </c>
      <c r="H114" s="6" t="s">
        <v>39</v>
      </c>
      <c r="I114" s="6">
        <v>-22.8231</v>
      </c>
      <c r="J114" s="6">
        <v>-43.053899999999999</v>
      </c>
      <c r="K114" s="6" t="s">
        <v>358</v>
      </c>
      <c r="L114" s="7">
        <v>896744</v>
      </c>
      <c r="M114" s="7">
        <v>3614</v>
      </c>
      <c r="N114" s="6" t="s">
        <v>72</v>
      </c>
      <c r="O114" s="6" t="s">
        <v>73</v>
      </c>
      <c r="P114" s="6" t="s">
        <v>102</v>
      </c>
      <c r="Q114" s="6">
        <v>1634</v>
      </c>
      <c r="R114" s="6">
        <v>23</v>
      </c>
      <c r="S114" s="6" t="s">
        <v>54</v>
      </c>
      <c r="T114" s="6" t="s">
        <v>112</v>
      </c>
      <c r="U114" s="6" t="s">
        <v>31</v>
      </c>
      <c r="V114" s="6" t="s">
        <v>346</v>
      </c>
      <c r="W114" s="6" t="s">
        <v>172</v>
      </c>
      <c r="X114" s="6" t="s">
        <v>173</v>
      </c>
      <c r="Y114" s="6" t="s">
        <v>35</v>
      </c>
      <c r="Z114" s="6">
        <v>10600</v>
      </c>
      <c r="AA114" s="6">
        <f t="shared" si="44"/>
        <v>0.81645228375568046</v>
      </c>
      <c r="AB114" s="6">
        <v>38850</v>
      </c>
      <c r="AC114" s="6">
        <f t="shared" si="45"/>
        <v>2.9923746437649235</v>
      </c>
      <c r="AD114" s="6">
        <f t="shared" si="46"/>
        <v>16.860509897558345</v>
      </c>
      <c r="AE114" s="6">
        <v>218900</v>
      </c>
      <c r="AF114" s="6">
        <v>802640</v>
      </c>
      <c r="AG114" s="6">
        <f t="shared" si="47"/>
        <v>61.822383116382966</v>
      </c>
      <c r="AH114" s="6">
        <f t="shared" si="48"/>
        <v>35.873425313953923</v>
      </c>
      <c r="AI114" s="6">
        <f t="shared" si="48"/>
        <v>465744.68085106387</v>
      </c>
      <c r="AJ114" s="6">
        <f t="shared" si="49"/>
        <v>28.930181704801551</v>
      </c>
      <c r="AK114" s="6">
        <f t="shared" si="50"/>
        <v>6.9432436091523719</v>
      </c>
      <c r="AL114" s="6">
        <v>12983</v>
      </c>
    </row>
    <row r="115" spans="1:38" x14ac:dyDescent="0.25">
      <c r="A115" s="6">
        <v>114</v>
      </c>
      <c r="B115" s="5">
        <v>69</v>
      </c>
      <c r="C115" s="6" t="s">
        <v>343</v>
      </c>
      <c r="D115" s="6" t="s">
        <v>344</v>
      </c>
      <c r="E115" s="6" t="s">
        <v>22</v>
      </c>
      <c r="F115" s="6">
        <v>2025</v>
      </c>
      <c r="G115" s="6" t="s">
        <v>50</v>
      </c>
      <c r="H115" s="6" t="s">
        <v>39</v>
      </c>
      <c r="I115" s="6">
        <v>-20.128599999999999</v>
      </c>
      <c r="J115" s="6">
        <v>-40.3078</v>
      </c>
      <c r="K115" s="6" t="s">
        <v>359</v>
      </c>
      <c r="L115" s="7">
        <v>520653</v>
      </c>
      <c r="M115" s="6">
        <v>950.7</v>
      </c>
      <c r="N115" s="6" t="s">
        <v>72</v>
      </c>
      <c r="O115" s="6" t="s">
        <v>73</v>
      </c>
      <c r="P115" s="6" t="s">
        <v>28</v>
      </c>
      <c r="Q115" s="6">
        <v>1123</v>
      </c>
      <c r="R115" s="6">
        <v>23.6</v>
      </c>
      <c r="S115" s="6" t="s">
        <v>54</v>
      </c>
      <c r="T115" s="6" t="s">
        <v>112</v>
      </c>
      <c r="U115" s="6" t="s">
        <v>31</v>
      </c>
      <c r="V115" s="6" t="s">
        <v>346</v>
      </c>
      <c r="W115" s="6" t="s">
        <v>172</v>
      </c>
      <c r="X115" s="6" t="s">
        <v>173</v>
      </c>
      <c r="Y115" s="6" t="s">
        <v>35</v>
      </c>
      <c r="Z115" s="6">
        <v>10000</v>
      </c>
      <c r="AA115" s="6">
        <f t="shared" si="44"/>
        <v>1.0673497705197994</v>
      </c>
      <c r="AB115" s="6">
        <v>36680</v>
      </c>
      <c r="AC115" s="6">
        <f t="shared" si="45"/>
        <v>3.9150389582666238</v>
      </c>
      <c r="AD115" s="6">
        <f t="shared" si="46"/>
        <v>22.058917707332693</v>
      </c>
      <c r="AE115" s="6">
        <v>206670</v>
      </c>
      <c r="AF115" s="6">
        <v>757780</v>
      </c>
      <c r="AG115" s="6">
        <f t="shared" si="47"/>
        <v>80.88163091044936</v>
      </c>
      <c r="AH115" s="6">
        <f t="shared" si="48"/>
        <v>46.933867462409985</v>
      </c>
      <c r="AI115" s="6">
        <f t="shared" si="48"/>
        <v>439723.40425531915</v>
      </c>
      <c r="AJ115" s="6">
        <f t="shared" si="49"/>
        <v>37.849893114846765</v>
      </c>
      <c r="AK115" s="6">
        <f t="shared" si="50"/>
        <v>9.083974347563224</v>
      </c>
      <c r="AL115" s="6">
        <v>9369</v>
      </c>
    </row>
    <row r="116" spans="1:38" x14ac:dyDescent="0.25">
      <c r="A116" s="6">
        <v>115</v>
      </c>
      <c r="B116" s="5">
        <v>69</v>
      </c>
      <c r="C116" s="6" t="s">
        <v>343</v>
      </c>
      <c r="D116" s="6" t="s">
        <v>344</v>
      </c>
      <c r="E116" s="6" t="s">
        <v>22</v>
      </c>
      <c r="F116" s="6">
        <v>2025</v>
      </c>
      <c r="G116" s="6" t="s">
        <v>50</v>
      </c>
      <c r="H116" s="6" t="s">
        <v>39</v>
      </c>
      <c r="I116" s="6">
        <v>-12.785</v>
      </c>
      <c r="J116" s="6">
        <v>-38.404200000000003</v>
      </c>
      <c r="K116" s="6" t="s">
        <v>360</v>
      </c>
      <c r="L116" s="7">
        <v>114559</v>
      </c>
      <c r="M116" s="6">
        <v>568.4</v>
      </c>
      <c r="N116" s="6" t="s">
        <v>72</v>
      </c>
      <c r="O116" s="6" t="s">
        <v>73</v>
      </c>
      <c r="P116" s="6" t="s">
        <v>102</v>
      </c>
      <c r="Q116" s="6">
        <v>1319</v>
      </c>
      <c r="R116" s="6">
        <v>25.3</v>
      </c>
      <c r="S116" s="6" t="s">
        <v>54</v>
      </c>
      <c r="T116" s="6" t="s">
        <v>112</v>
      </c>
      <c r="U116" s="6" t="s">
        <v>31</v>
      </c>
      <c r="V116" s="6" t="s">
        <v>346</v>
      </c>
      <c r="W116" s="6" t="s">
        <v>172</v>
      </c>
      <c r="X116" s="6" t="s">
        <v>173</v>
      </c>
      <c r="Y116" s="6" t="s">
        <v>35</v>
      </c>
      <c r="Z116" s="6">
        <v>4480</v>
      </c>
      <c r="AA116" s="6">
        <f t="shared" si="44"/>
        <v>1.4048291000313577</v>
      </c>
      <c r="AB116" s="6">
        <v>16430</v>
      </c>
      <c r="AC116" s="6">
        <f t="shared" si="45"/>
        <v>5.1520852931953591</v>
      </c>
      <c r="AD116" s="6">
        <f t="shared" si="46"/>
        <v>29.03417999372844</v>
      </c>
      <c r="AE116" s="6">
        <v>92590</v>
      </c>
      <c r="AF116" s="6">
        <v>339510</v>
      </c>
      <c r="AG116" s="6">
        <f t="shared" si="47"/>
        <v>106.46284101599248</v>
      </c>
      <c r="AH116" s="6">
        <f t="shared" si="48"/>
        <v>61.774851050486049</v>
      </c>
      <c r="AI116" s="6">
        <f t="shared" si="48"/>
        <v>197000</v>
      </c>
      <c r="AJ116" s="6">
        <f t="shared" si="49"/>
        <v>49.818428266521011</v>
      </c>
      <c r="AK116" s="6">
        <f t="shared" si="50"/>
        <v>11.956422783965042</v>
      </c>
      <c r="AL116" s="6">
        <v>3189</v>
      </c>
    </row>
    <row r="117" spans="1:38" x14ac:dyDescent="0.25">
      <c r="A117" s="6">
        <v>116</v>
      </c>
      <c r="B117" s="5">
        <v>73</v>
      </c>
      <c r="C117" s="6" t="s">
        <v>361</v>
      </c>
      <c r="D117" s="6" t="s">
        <v>362</v>
      </c>
      <c r="E117" s="6" t="s">
        <v>22</v>
      </c>
      <c r="F117" s="6">
        <v>2025</v>
      </c>
      <c r="G117" s="6" t="s">
        <v>50</v>
      </c>
      <c r="H117" s="6" t="s">
        <v>24</v>
      </c>
      <c r="I117" s="6">
        <v>21.50151</v>
      </c>
      <c r="J117" s="6">
        <v>111.299848</v>
      </c>
      <c r="K117" s="6" t="s">
        <v>363</v>
      </c>
      <c r="L117" s="7">
        <v>126012510</v>
      </c>
      <c r="M117" s="6">
        <v>639.29999999999995</v>
      </c>
      <c r="N117" s="6" t="s">
        <v>26</v>
      </c>
      <c r="O117" s="6" t="s">
        <v>281</v>
      </c>
      <c r="P117" s="6" t="s">
        <v>102</v>
      </c>
      <c r="Q117" s="6">
        <v>2000</v>
      </c>
      <c r="R117" s="6">
        <v>22.5</v>
      </c>
      <c r="S117" s="6" t="s">
        <v>29</v>
      </c>
      <c r="T117" s="6" t="s">
        <v>30</v>
      </c>
      <c r="U117" s="6" t="s">
        <v>56</v>
      </c>
      <c r="V117" s="6" t="s">
        <v>364</v>
      </c>
      <c r="W117" s="6" t="s">
        <v>36</v>
      </c>
      <c r="X117" s="6" t="s">
        <v>173</v>
      </c>
      <c r="Y117" s="6" t="s">
        <v>47</v>
      </c>
      <c r="Z117" s="6">
        <f>AA117*AL117</f>
        <v>273944.02277684532</v>
      </c>
      <c r="AA117" s="6">
        <f>AC117/3.67</f>
        <v>4.8918575495865237E-2</v>
      </c>
      <c r="AB117" s="6">
        <f>AC117*AL117</f>
        <v>1005374.5635910223</v>
      </c>
      <c r="AC117" s="6">
        <f>AG117/30</f>
        <v>0.17953117206982541</v>
      </c>
      <c r="AD117" s="6">
        <f>(((1.22*1990)+(9.49*2020))/(1990+2020))/3.67</f>
        <v>1.4675572648759572</v>
      </c>
      <c r="AE117" s="6">
        <f>AD117*AL117</f>
        <v>8218320.6833053604</v>
      </c>
      <c r="AF117" s="6">
        <f>AG117*AL117</f>
        <v>30161236.907730669</v>
      </c>
      <c r="AG117" s="6">
        <f>((1.22*1990)+(9.49*2020))/(1990+2020)</f>
        <v>5.3859351620947624</v>
      </c>
      <c r="AH117" s="6">
        <f>AD117/0.47</f>
        <v>3.1224622656935259</v>
      </c>
      <c r="AI117" s="6">
        <f>AH117*AL117</f>
        <v>17485788.687883746</v>
      </c>
      <c r="AJ117" s="6">
        <f>AH117/1.24</f>
        <v>2.5181147303980049</v>
      </c>
      <c r="AK117" s="6">
        <f t="shared" si="50"/>
        <v>0.60434753529552121</v>
      </c>
      <c r="AL117" s="6">
        <v>5600000</v>
      </c>
    </row>
    <row r="118" spans="1:38" x14ac:dyDescent="0.25">
      <c r="A118" s="6">
        <v>117</v>
      </c>
      <c r="B118" s="5">
        <v>74</v>
      </c>
      <c r="C118" s="6" t="s">
        <v>365</v>
      </c>
      <c r="D118" s="6" t="s">
        <v>366</v>
      </c>
      <c r="E118" s="6" t="s">
        <v>22</v>
      </c>
      <c r="F118" s="6">
        <v>2025</v>
      </c>
      <c r="G118" s="6" t="s">
        <v>50</v>
      </c>
      <c r="H118" s="6" t="s">
        <v>24</v>
      </c>
      <c r="I118" s="6">
        <v>7.2507710000000003</v>
      </c>
      <c r="J118" s="6">
        <v>5.2102659999999998</v>
      </c>
      <c r="K118" s="6" t="s">
        <v>61</v>
      </c>
      <c r="L118" s="6">
        <f>M118*1252.05</f>
        <v>1105560.1499999999</v>
      </c>
      <c r="M118" s="6">
        <v>883</v>
      </c>
      <c r="N118" s="6" t="s">
        <v>41</v>
      </c>
      <c r="O118" s="6" t="s">
        <v>62</v>
      </c>
      <c r="P118" s="6" t="s">
        <v>28</v>
      </c>
      <c r="Q118" s="6">
        <v>1650</v>
      </c>
      <c r="R118" s="6">
        <v>24</v>
      </c>
      <c r="S118" s="6" t="s">
        <v>54</v>
      </c>
      <c r="T118" s="6" t="s">
        <v>112</v>
      </c>
      <c r="U118" s="6" t="s">
        <v>74</v>
      </c>
      <c r="V118" s="6" t="s">
        <v>367</v>
      </c>
      <c r="W118" s="6" t="s">
        <v>172</v>
      </c>
      <c r="X118" s="6" t="s">
        <v>173</v>
      </c>
      <c r="Y118" s="6" t="s">
        <v>35</v>
      </c>
      <c r="Z118" s="6">
        <f t="shared" ref="Z118:Z124" si="51">AA118*AL118</f>
        <v>-138882.25149999998</v>
      </c>
      <c r="AA118" s="6">
        <f>((-2777645.03)/20)/AL118</f>
        <v>-1.1092388602691585</v>
      </c>
      <c r="AB118" s="6">
        <f>Z118*3.67</f>
        <v>-509697.86300499993</v>
      </c>
      <c r="AC118" s="6">
        <f>AA118*3.67</f>
        <v>-4.0709066171878119</v>
      </c>
      <c r="AD118" s="6">
        <f t="shared" ref="AD118:AD124" si="52">AE118/AL118</f>
        <v>109.7490856129149</v>
      </c>
      <c r="AE118" s="6">
        <f>((2002*15136887.67)+(2022*12359186.53))/(2002+2022)</f>
        <v>13741134.26416501</v>
      </c>
      <c r="AF118" s="6">
        <f>AE118*3.67</f>
        <v>50429962.74948559</v>
      </c>
      <c r="AG118" s="6">
        <f>AD118*3.67</f>
        <v>402.77914419939765</v>
      </c>
      <c r="AH118" s="6">
        <f>AD118/0.47</f>
        <v>233.50869279343596</v>
      </c>
      <c r="AI118" s="6">
        <f>AH118*AL118</f>
        <v>29236455.88120215</v>
      </c>
      <c r="AJ118" s="6">
        <f>AH118/1.24</f>
        <v>188.3134619301903</v>
      </c>
      <c r="AK118" s="6">
        <f>AJ118*0.24</f>
        <v>45.195230863245669</v>
      </c>
      <c r="AL118" s="6">
        <v>125205</v>
      </c>
    </row>
    <row r="119" spans="1:38" x14ac:dyDescent="0.25">
      <c r="A119" s="6">
        <v>118</v>
      </c>
      <c r="B119" s="5">
        <v>74</v>
      </c>
      <c r="C119" s="6" t="s">
        <v>365</v>
      </c>
      <c r="D119" s="6" t="s">
        <v>366</v>
      </c>
      <c r="E119" s="6" t="s">
        <v>22</v>
      </c>
      <c r="F119" s="6">
        <v>2025</v>
      </c>
      <c r="G119" s="6" t="s">
        <v>50</v>
      </c>
      <c r="H119" s="6" t="s">
        <v>24</v>
      </c>
      <c r="I119" s="6">
        <v>5.483333</v>
      </c>
      <c r="J119" s="6">
        <v>7.0333329999999998</v>
      </c>
      <c r="K119" s="6" t="s">
        <v>368</v>
      </c>
      <c r="L119" s="6">
        <f>M119*537.36</f>
        <v>890942.88</v>
      </c>
      <c r="M119" s="6">
        <v>1658</v>
      </c>
      <c r="N119" s="6" t="s">
        <v>41</v>
      </c>
      <c r="O119" s="6" t="s">
        <v>62</v>
      </c>
      <c r="P119" s="6" t="s">
        <v>102</v>
      </c>
      <c r="Q119" s="6">
        <v>1650</v>
      </c>
      <c r="R119" s="6">
        <v>24</v>
      </c>
      <c r="S119" s="6" t="s">
        <v>54</v>
      </c>
      <c r="T119" s="6" t="s">
        <v>112</v>
      </c>
      <c r="U119" s="6" t="s">
        <v>74</v>
      </c>
      <c r="V119" s="6" t="s">
        <v>367</v>
      </c>
      <c r="W119" s="6" t="s">
        <v>172</v>
      </c>
      <c r="X119" s="6" t="s">
        <v>173</v>
      </c>
      <c r="Y119" s="6" t="s">
        <v>35</v>
      </c>
      <c r="Z119" s="6">
        <f t="shared" si="51"/>
        <v>-69832.874500000005</v>
      </c>
      <c r="AA119" s="6">
        <f>((-1396657.49)/20)/AL119</f>
        <v>-1.2995547584487124</v>
      </c>
      <c r="AB119" s="6">
        <f t="shared" ref="AB119:AB124" si="53">Z119*3.67</f>
        <v>-256286.64941500002</v>
      </c>
      <c r="AC119" s="6">
        <f t="shared" ref="AC119:AC124" si="54">AA119*3.67</f>
        <v>-4.7693659635067744</v>
      </c>
      <c r="AD119" s="6">
        <f t="shared" si="52"/>
        <v>105.36344502750507</v>
      </c>
      <c r="AE119" s="6">
        <f>((2002*6363617.57)+(2022*4966944.31))/(2002+2022)</f>
        <v>5661810.081998012</v>
      </c>
      <c r="AF119" s="6">
        <f t="shared" ref="AF119:AF124" si="55">AE119*3.67</f>
        <v>20778843.000932705</v>
      </c>
      <c r="AG119" s="6">
        <f t="shared" ref="AG119:AG124" si="56">AD119*3.67</f>
        <v>386.6838432509436</v>
      </c>
      <c r="AH119" s="6">
        <f t="shared" ref="AH119:AH124" si="57">AD119/0.47</f>
        <v>224.17754261171291</v>
      </c>
      <c r="AI119" s="6">
        <f t="shared" ref="AI119:AI124" si="58">AH119*AL119</f>
        <v>12046404.429783005</v>
      </c>
      <c r="AJ119" s="6">
        <f t="shared" ref="AJ119:AJ124" si="59">AH119/1.24</f>
        <v>180.7883408158975</v>
      </c>
      <c r="AK119" s="6">
        <f t="shared" ref="AK119:AK124" si="60">AJ119*0.24</f>
        <v>43.389201795815396</v>
      </c>
      <c r="AL119" s="6">
        <v>53736</v>
      </c>
    </row>
    <row r="120" spans="1:38" x14ac:dyDescent="0.25">
      <c r="A120" s="6">
        <v>119</v>
      </c>
      <c r="B120" s="5">
        <v>74</v>
      </c>
      <c r="C120" s="6" t="s">
        <v>365</v>
      </c>
      <c r="D120" s="6" t="s">
        <v>366</v>
      </c>
      <c r="E120" s="6" t="s">
        <v>22</v>
      </c>
      <c r="F120" s="6">
        <v>2025</v>
      </c>
      <c r="G120" s="6" t="s">
        <v>50</v>
      </c>
      <c r="H120" s="6" t="s">
        <v>24</v>
      </c>
      <c r="I120" s="6">
        <v>7.7321350000000004</v>
      </c>
      <c r="J120" s="6">
        <v>8.5390809999999995</v>
      </c>
      <c r="K120" s="6" t="s">
        <v>369</v>
      </c>
      <c r="L120" s="6">
        <f>M120*841</f>
        <v>433956</v>
      </c>
      <c r="M120" s="6">
        <v>516</v>
      </c>
      <c r="N120" s="6" t="s">
        <v>41</v>
      </c>
      <c r="O120" s="6" t="s">
        <v>62</v>
      </c>
      <c r="P120" s="6" t="s">
        <v>28</v>
      </c>
      <c r="Q120" s="6">
        <v>1000</v>
      </c>
      <c r="R120" s="6">
        <v>25</v>
      </c>
      <c r="S120" s="6" t="s">
        <v>44</v>
      </c>
      <c r="T120" s="6" t="s">
        <v>112</v>
      </c>
      <c r="U120" s="6" t="s">
        <v>74</v>
      </c>
      <c r="V120" s="6" t="s">
        <v>367</v>
      </c>
      <c r="W120" s="6" t="s">
        <v>172</v>
      </c>
      <c r="X120" s="6" t="s">
        <v>173</v>
      </c>
      <c r="Y120" s="6" t="s">
        <v>35</v>
      </c>
      <c r="Z120" s="6">
        <f t="shared" si="51"/>
        <v>-18386.9215</v>
      </c>
      <c r="AA120" s="6">
        <f>((-367738.43/20))/AL120</f>
        <v>-0.21863164684898931</v>
      </c>
      <c r="AB120" s="6">
        <f t="shared" si="53"/>
        <v>-67480.001904999997</v>
      </c>
      <c r="AC120" s="6">
        <f t="shared" si="54"/>
        <v>-0.80237814393579077</v>
      </c>
      <c r="AD120" s="6">
        <f t="shared" si="52"/>
        <v>48.675416299295613</v>
      </c>
      <c r="AE120" s="6">
        <f>((2002*4276351)+(2022*3908612.56))/(2002+2020)</f>
        <v>4093602.5107707609</v>
      </c>
      <c r="AF120" s="6">
        <f t="shared" si="55"/>
        <v>15023521.214528693</v>
      </c>
      <c r="AG120" s="6">
        <f t="shared" si="56"/>
        <v>178.63877781841489</v>
      </c>
      <c r="AH120" s="6">
        <f t="shared" si="57"/>
        <v>103.56471553041621</v>
      </c>
      <c r="AI120" s="6">
        <f t="shared" si="58"/>
        <v>8709792.576108003</v>
      </c>
      <c r="AJ120" s="6">
        <f t="shared" si="59"/>
        <v>83.519931879367917</v>
      </c>
      <c r="AK120" s="6">
        <f t="shared" si="60"/>
        <v>20.044783651048299</v>
      </c>
      <c r="AL120" s="6">
        <v>84100</v>
      </c>
    </row>
    <row r="121" spans="1:38" x14ac:dyDescent="0.25">
      <c r="A121" s="6">
        <v>120</v>
      </c>
      <c r="B121" s="5">
        <v>74</v>
      </c>
      <c r="C121" s="6" t="s">
        <v>365</v>
      </c>
      <c r="D121" s="6" t="s">
        <v>366</v>
      </c>
      <c r="E121" s="6" t="s">
        <v>22</v>
      </c>
      <c r="F121" s="6">
        <v>2025</v>
      </c>
      <c r="G121" s="6" t="s">
        <v>50</v>
      </c>
      <c r="H121" s="6" t="s">
        <v>24</v>
      </c>
      <c r="I121" s="6">
        <v>9.6111570000000004</v>
      </c>
      <c r="J121" s="6">
        <v>6.5437339999999997</v>
      </c>
      <c r="K121" s="6" t="s">
        <v>370</v>
      </c>
      <c r="L121" s="6">
        <f>M121*1661.04</f>
        <v>601296.48</v>
      </c>
      <c r="M121" s="6">
        <v>362</v>
      </c>
      <c r="N121" s="6" t="s">
        <v>41</v>
      </c>
      <c r="O121" s="6" t="s">
        <v>62</v>
      </c>
      <c r="P121" s="6" t="s">
        <v>28</v>
      </c>
      <c r="Q121" s="6">
        <v>1000</v>
      </c>
      <c r="R121" s="6">
        <v>25</v>
      </c>
      <c r="S121" s="6" t="s">
        <v>44</v>
      </c>
      <c r="T121" s="6" t="s">
        <v>112</v>
      </c>
      <c r="U121" s="6" t="s">
        <v>74</v>
      </c>
      <c r="V121" s="6" t="s">
        <v>367</v>
      </c>
      <c r="W121" s="6" t="s">
        <v>172</v>
      </c>
      <c r="X121" s="6" t="s">
        <v>173</v>
      </c>
      <c r="Y121" s="6" t="s">
        <v>35</v>
      </c>
      <c r="Z121" s="6">
        <f t="shared" si="51"/>
        <v>-127609.00900000001</v>
      </c>
      <c r="AA121" s="6">
        <f>((-2552180.18)/20)/AL121</f>
        <v>-0.76824765809372442</v>
      </c>
      <c r="AB121" s="6">
        <f t="shared" si="53"/>
        <v>-468325.06303000002</v>
      </c>
      <c r="AC121" s="6">
        <f t="shared" si="54"/>
        <v>-2.8194689052039688</v>
      </c>
      <c r="AD121" s="6">
        <f t="shared" si="52"/>
        <v>37.719607177231623</v>
      </c>
      <c r="AE121" s="6">
        <f>((2002*7544698.77)+(2022*4992513.3))/(2002+2020)</f>
        <v>6265377.630566882</v>
      </c>
      <c r="AF121" s="6">
        <f t="shared" si="55"/>
        <v>22993935.904180456</v>
      </c>
      <c r="AG121" s="6">
        <f t="shared" si="56"/>
        <v>138.43095834044004</v>
      </c>
      <c r="AH121" s="6">
        <f t="shared" si="57"/>
        <v>80.254483355811971</v>
      </c>
      <c r="AI121" s="6">
        <f t="shared" si="58"/>
        <v>13330590.703333791</v>
      </c>
      <c r="AJ121" s="6">
        <f t="shared" si="59"/>
        <v>64.721357545009653</v>
      </c>
      <c r="AK121" s="6">
        <f t="shared" si="60"/>
        <v>15.533125810802316</v>
      </c>
      <c r="AL121" s="6">
        <v>166104</v>
      </c>
    </row>
    <row r="122" spans="1:38" x14ac:dyDescent="0.25">
      <c r="A122" s="6">
        <v>121</v>
      </c>
      <c r="B122" s="5">
        <v>75</v>
      </c>
      <c r="C122" s="6" t="s">
        <v>371</v>
      </c>
      <c r="D122" s="6" t="s">
        <v>372</v>
      </c>
      <c r="E122" s="6" t="s">
        <v>22</v>
      </c>
      <c r="F122" s="6">
        <v>2025</v>
      </c>
      <c r="G122" s="6" t="s">
        <v>50</v>
      </c>
      <c r="H122" s="6" t="s">
        <v>24</v>
      </c>
      <c r="I122" s="6">
        <v>5.6503690000000004</v>
      </c>
      <c r="J122" s="6">
        <v>-0.19648499999999999</v>
      </c>
      <c r="K122" s="6" t="s">
        <v>225</v>
      </c>
      <c r="L122" s="7">
        <v>284124</v>
      </c>
      <c r="M122" s="6">
        <v>9816</v>
      </c>
      <c r="N122" s="6" t="s">
        <v>41</v>
      </c>
      <c r="O122" s="6" t="s">
        <v>226</v>
      </c>
      <c r="P122" s="6" t="s">
        <v>227</v>
      </c>
      <c r="Q122" s="6">
        <v>809</v>
      </c>
      <c r="R122" s="6">
        <v>26.6</v>
      </c>
      <c r="S122" s="6" t="s">
        <v>44</v>
      </c>
      <c r="T122" s="6" t="s">
        <v>112</v>
      </c>
      <c r="U122" s="6" t="s">
        <v>31</v>
      </c>
      <c r="V122" s="6" t="s">
        <v>367</v>
      </c>
      <c r="W122" s="6" t="s">
        <v>172</v>
      </c>
      <c r="X122" s="6" t="s">
        <v>173</v>
      </c>
      <c r="Y122" s="6" t="s">
        <v>35</v>
      </c>
      <c r="Z122" s="6">
        <f t="shared" si="51"/>
        <v>-3282.3333333333335</v>
      </c>
      <c r="AA122" s="6">
        <f>((95325-115019)/6)/AL122</f>
        <v>-2.6174906964380651</v>
      </c>
      <c r="AB122" s="6">
        <f t="shared" si="53"/>
        <v>-12046.163333333334</v>
      </c>
      <c r="AC122" s="6">
        <f t="shared" si="54"/>
        <v>-9.6061908559276983</v>
      </c>
      <c r="AD122" s="6">
        <f t="shared" si="52"/>
        <v>83.857556413536088</v>
      </c>
      <c r="AE122" s="6">
        <f>((2017*115019)+(2023*95325))/(2017+2023)</f>
        <v>105157.37574257425</v>
      </c>
      <c r="AF122" s="6">
        <f t="shared" si="55"/>
        <v>385927.5689752475</v>
      </c>
      <c r="AG122" s="6">
        <f t="shared" si="56"/>
        <v>307.75723203767745</v>
      </c>
      <c r="AH122" s="6">
        <f t="shared" si="57"/>
        <v>178.42033279475766</v>
      </c>
      <c r="AI122" s="6">
        <f t="shared" si="58"/>
        <v>223739.09732462611</v>
      </c>
      <c r="AJ122" s="6">
        <f t="shared" si="59"/>
        <v>143.88736515706262</v>
      </c>
      <c r="AK122" s="6">
        <f t="shared" si="60"/>
        <v>34.53296763769503</v>
      </c>
      <c r="AL122" s="6">
        <v>1254</v>
      </c>
    </row>
    <row r="123" spans="1:38" x14ac:dyDescent="0.25">
      <c r="A123" s="6">
        <v>122</v>
      </c>
      <c r="B123" s="5">
        <v>75</v>
      </c>
      <c r="C123" s="6" t="s">
        <v>371</v>
      </c>
      <c r="D123" s="6" t="s">
        <v>372</v>
      </c>
      <c r="E123" s="6" t="s">
        <v>22</v>
      </c>
      <c r="F123" s="6">
        <v>2025</v>
      </c>
      <c r="G123" s="6" t="s">
        <v>50</v>
      </c>
      <c r="H123" s="6" t="s">
        <v>24</v>
      </c>
      <c r="I123" s="6">
        <v>6.6743439999999996</v>
      </c>
      <c r="J123" s="6">
        <v>-1.571671</v>
      </c>
      <c r="K123" s="6" t="s">
        <v>284</v>
      </c>
      <c r="L123" s="7">
        <v>443981</v>
      </c>
      <c r="M123" s="13">
        <v>6575</v>
      </c>
      <c r="N123" s="6" t="s">
        <v>41</v>
      </c>
      <c r="O123" s="6" t="s">
        <v>226</v>
      </c>
      <c r="P123" s="6" t="s">
        <v>28</v>
      </c>
      <c r="Q123" s="6">
        <v>1250</v>
      </c>
      <c r="R123" s="6">
        <v>26.4</v>
      </c>
      <c r="S123" s="6" t="s">
        <v>54</v>
      </c>
      <c r="T123" s="6" t="s">
        <v>112</v>
      </c>
      <c r="U123" s="6" t="s">
        <v>31</v>
      </c>
      <c r="V123" s="6" t="s">
        <v>367</v>
      </c>
      <c r="W123" s="6" t="s">
        <v>172</v>
      </c>
      <c r="X123" s="6" t="s">
        <v>173</v>
      </c>
      <c r="Y123" s="6" t="s">
        <v>35</v>
      </c>
      <c r="Z123" s="6">
        <f t="shared" si="51"/>
        <v>-3343.8333333333335</v>
      </c>
      <c r="AA123" s="6">
        <f>((47927-67990)/6)/AL123</f>
        <v>-3.3421622522072298</v>
      </c>
      <c r="AB123" s="6">
        <f t="shared" si="53"/>
        <v>-12271.868333333334</v>
      </c>
      <c r="AC123" s="6">
        <f t="shared" si="54"/>
        <v>-12.265735465600534</v>
      </c>
      <c r="AD123" s="6">
        <f t="shared" si="52"/>
        <v>57.914644410468036</v>
      </c>
      <c r="AE123" s="6">
        <f>((2017*67990)+(2023*47927))/(2017+2023)</f>
        <v>57943.601732673269</v>
      </c>
      <c r="AF123" s="6">
        <f t="shared" si="55"/>
        <v>212653.01835891089</v>
      </c>
      <c r="AG123" s="6">
        <f t="shared" si="56"/>
        <v>212.54674498641768</v>
      </c>
      <c r="AH123" s="6">
        <f t="shared" si="57"/>
        <v>123.22264768184689</v>
      </c>
      <c r="AI123" s="6">
        <f t="shared" si="58"/>
        <v>123284.25900568781</v>
      </c>
      <c r="AJ123" s="6">
        <f t="shared" si="59"/>
        <v>99.373102969231368</v>
      </c>
      <c r="AK123" s="6">
        <f t="shared" si="60"/>
        <v>23.849544712615529</v>
      </c>
      <c r="AL123" s="6">
        <v>1000.5</v>
      </c>
    </row>
    <row r="124" spans="1:38" x14ac:dyDescent="0.25">
      <c r="A124" s="6">
        <v>123</v>
      </c>
      <c r="B124" s="5">
        <v>75</v>
      </c>
      <c r="C124" s="6" t="s">
        <v>371</v>
      </c>
      <c r="D124" s="6" t="s">
        <v>372</v>
      </c>
      <c r="E124" s="6" t="s">
        <v>22</v>
      </c>
      <c r="F124" s="6">
        <v>2025</v>
      </c>
      <c r="G124" s="6" t="s">
        <v>50</v>
      </c>
      <c r="H124" s="6" t="s">
        <v>24</v>
      </c>
      <c r="I124" s="6">
        <v>5.1153700000000004</v>
      </c>
      <c r="J124" s="6">
        <v>-1.2908379999999999</v>
      </c>
      <c r="K124" s="6" t="s">
        <v>373</v>
      </c>
      <c r="L124" s="7">
        <v>189925</v>
      </c>
      <c r="M124" s="6">
        <v>1557</v>
      </c>
      <c r="N124" s="6" t="s">
        <v>41</v>
      </c>
      <c r="O124" s="6" t="s">
        <v>226</v>
      </c>
      <c r="P124" s="6" t="s">
        <v>28</v>
      </c>
      <c r="Q124" s="6">
        <v>979</v>
      </c>
      <c r="R124" s="6">
        <v>26</v>
      </c>
      <c r="S124" s="6" t="s">
        <v>54</v>
      </c>
      <c r="T124" s="6" t="s">
        <v>112</v>
      </c>
      <c r="U124" s="6" t="s">
        <v>31</v>
      </c>
      <c r="V124" s="6" t="s">
        <v>367</v>
      </c>
      <c r="W124" s="6" t="s">
        <v>172</v>
      </c>
      <c r="X124" s="6" t="s">
        <v>173</v>
      </c>
      <c r="Y124" s="6" t="s">
        <v>35</v>
      </c>
      <c r="Z124" s="6">
        <f>AA124*AL124</f>
        <v>-548.66666666666663</v>
      </c>
      <c r="AA124" s="6">
        <f>((38297-41589)/6)/AL124</f>
        <v>-1.1108861442937166</v>
      </c>
      <c r="AB124" s="6">
        <f t="shared" si="53"/>
        <v>-2013.6066666666666</v>
      </c>
      <c r="AC124" s="6">
        <f t="shared" si="54"/>
        <v>-4.0769521495579397</v>
      </c>
      <c r="AD124" s="6">
        <f t="shared" si="52"/>
        <v>80.867696791950905</v>
      </c>
      <c r="AE124" s="6">
        <f>((2017*41589)+(2023*38297))/(2017+2023)</f>
        <v>39940.555445544553</v>
      </c>
      <c r="AF124" s="6">
        <f t="shared" si="55"/>
        <v>146581.8384851485</v>
      </c>
      <c r="AG124" s="6">
        <f>AD124*3.67</f>
        <v>296.7844472264598</v>
      </c>
      <c r="AH124" s="6">
        <f t="shared" si="57"/>
        <v>172.0589293445764</v>
      </c>
      <c r="AI124" s="6">
        <f t="shared" si="58"/>
        <v>84979.905203286282</v>
      </c>
      <c r="AJ124" s="6">
        <f t="shared" si="59"/>
        <v>138.7572010843358</v>
      </c>
      <c r="AK124" s="6">
        <f t="shared" si="60"/>
        <v>33.301728260240594</v>
      </c>
      <c r="AL124" s="6">
        <v>493.9</v>
      </c>
    </row>
    <row r="125" spans="1:38" x14ac:dyDescent="0.25">
      <c r="A125" s="6">
        <v>124</v>
      </c>
      <c r="B125" s="5">
        <v>76</v>
      </c>
      <c r="C125" s="6" t="s">
        <v>374</v>
      </c>
      <c r="D125" s="6" t="s">
        <v>375</v>
      </c>
      <c r="E125" s="6" t="s">
        <v>22</v>
      </c>
      <c r="F125" s="6">
        <v>2025</v>
      </c>
      <c r="G125" s="6" t="s">
        <v>23</v>
      </c>
      <c r="H125" s="6" t="s">
        <v>39</v>
      </c>
      <c r="I125" s="6">
        <v>-19.042006000000001</v>
      </c>
      <c r="J125" s="6">
        <v>-65.264031000000003</v>
      </c>
      <c r="K125" s="6" t="s">
        <v>376</v>
      </c>
      <c r="L125" s="7">
        <v>296746</v>
      </c>
      <c r="M125" s="6">
        <v>163.1</v>
      </c>
      <c r="N125" s="6" t="s">
        <v>72</v>
      </c>
      <c r="O125" s="6" t="s">
        <v>377</v>
      </c>
      <c r="P125" s="6" t="s">
        <v>96</v>
      </c>
      <c r="Q125" s="6">
        <v>1087</v>
      </c>
      <c r="R125" s="6">
        <v>12.6</v>
      </c>
      <c r="S125" s="6" t="s">
        <v>54</v>
      </c>
      <c r="T125" s="6" t="s">
        <v>55</v>
      </c>
      <c r="U125" s="6" t="s">
        <v>31</v>
      </c>
      <c r="V125" s="6" t="s">
        <v>378</v>
      </c>
      <c r="W125" s="6" t="s">
        <v>46</v>
      </c>
      <c r="X125" s="6" t="s">
        <v>34</v>
      </c>
      <c r="Y125" s="6" t="s">
        <v>47</v>
      </c>
      <c r="Z125" s="6" t="s">
        <v>36</v>
      </c>
      <c r="AA125" s="6" t="s">
        <v>36</v>
      </c>
      <c r="AB125" s="6" t="s">
        <v>36</v>
      </c>
      <c r="AC125" s="6" t="s">
        <v>36</v>
      </c>
      <c r="AD125" s="6">
        <f>(AJ125+AK125)*0.47</f>
        <v>332.76639999999998</v>
      </c>
      <c r="AE125" s="6">
        <f>AD125*AL125</f>
        <v>391333.28639999998</v>
      </c>
      <c r="AF125" s="6">
        <f>AE125*3.67</f>
        <v>1436193.1610879998</v>
      </c>
      <c r="AG125" s="6">
        <f>AD125*3.67</f>
        <v>1221.2526879999998</v>
      </c>
      <c r="AH125" s="6">
        <f t="shared" ref="AH125:AH130" si="61">AJ125+AK125</f>
        <v>708.01361702127656</v>
      </c>
      <c r="AI125" s="6">
        <f t="shared" ref="AI125:AI130" si="62">AE125/0.47</f>
        <v>832624.01361702126</v>
      </c>
      <c r="AJ125" s="6">
        <f>268.36/0.47</f>
        <v>570.97872340425533</v>
      </c>
      <c r="AK125" s="6">
        <f>AJ125*0.24</f>
        <v>137.03489361702128</v>
      </c>
      <c r="AL125" s="6">
        <v>1176</v>
      </c>
    </row>
    <row r="126" spans="1:38" x14ac:dyDescent="0.25">
      <c r="A126" s="6">
        <v>125</v>
      </c>
      <c r="B126" s="5">
        <v>76</v>
      </c>
      <c r="C126" s="6" t="s">
        <v>374</v>
      </c>
      <c r="D126" s="6" t="s">
        <v>375</v>
      </c>
      <c r="E126" s="6" t="s">
        <v>22</v>
      </c>
      <c r="F126" s="6">
        <v>2025</v>
      </c>
      <c r="G126" s="6" t="s">
        <v>23</v>
      </c>
      <c r="H126" s="6" t="s">
        <v>39</v>
      </c>
      <c r="I126" s="6">
        <v>-19.042006000000001</v>
      </c>
      <c r="J126" s="6">
        <v>-65.264031000000003</v>
      </c>
      <c r="K126" s="6" t="s">
        <v>376</v>
      </c>
      <c r="L126" s="7">
        <v>296746</v>
      </c>
      <c r="M126" s="6">
        <v>163.1</v>
      </c>
      <c r="N126" s="6" t="s">
        <v>72</v>
      </c>
      <c r="O126" s="6" t="s">
        <v>377</v>
      </c>
      <c r="P126" s="6" t="s">
        <v>96</v>
      </c>
      <c r="Q126" s="6">
        <v>1087</v>
      </c>
      <c r="R126" s="6">
        <v>12.6</v>
      </c>
      <c r="S126" s="6" t="s">
        <v>54</v>
      </c>
      <c r="T126" s="6" t="s">
        <v>55</v>
      </c>
      <c r="U126" s="6" t="s">
        <v>178</v>
      </c>
      <c r="V126" s="6" t="s">
        <v>378</v>
      </c>
      <c r="W126" s="6" t="s">
        <v>46</v>
      </c>
      <c r="X126" s="6" t="s">
        <v>34</v>
      </c>
      <c r="Y126" s="6" t="s">
        <v>47</v>
      </c>
      <c r="Z126" s="6" t="s">
        <v>36</v>
      </c>
      <c r="AA126" s="6" t="s">
        <v>36</v>
      </c>
      <c r="AB126" s="6" t="s">
        <v>36</v>
      </c>
      <c r="AC126" s="6" t="s">
        <v>36</v>
      </c>
      <c r="AD126" s="6">
        <f t="shared" ref="AD126:AD130" si="63">(AJ126+AK126)*0.47</f>
        <v>49.153600000000004</v>
      </c>
      <c r="AE126" s="6">
        <f>AD126*AL126</f>
        <v>577849.72160000005</v>
      </c>
      <c r="AF126" s="6">
        <f t="shared" ref="AF125:AF130" si="64">AE126*3.67</f>
        <v>2120708.4782720003</v>
      </c>
      <c r="AG126" s="6">
        <f t="shared" ref="AG125:AG130" si="65">AD126*3.67</f>
        <v>180.39371200000002</v>
      </c>
      <c r="AH126" s="6">
        <f t="shared" si="61"/>
        <v>104.58212765957448</v>
      </c>
      <c r="AI126" s="6">
        <f t="shared" si="62"/>
        <v>1229467.4927659577</v>
      </c>
      <c r="AJ126" s="6">
        <f>39.64/0.47</f>
        <v>84.340425531914903</v>
      </c>
      <c r="AK126" s="6">
        <f t="shared" ref="AK126:AK131" si="66">AJ126*0.24</f>
        <v>20.241702127659575</v>
      </c>
      <c r="AL126" s="6">
        <v>11756</v>
      </c>
    </row>
    <row r="127" spans="1:38" x14ac:dyDescent="0.25">
      <c r="A127" s="6">
        <v>126</v>
      </c>
      <c r="B127" s="5">
        <v>76</v>
      </c>
      <c r="C127" s="6" t="s">
        <v>374</v>
      </c>
      <c r="D127" s="6" t="s">
        <v>375</v>
      </c>
      <c r="E127" s="6" t="s">
        <v>22</v>
      </c>
      <c r="F127" s="6">
        <v>2025</v>
      </c>
      <c r="G127" s="6" t="s">
        <v>23</v>
      </c>
      <c r="H127" s="6" t="s">
        <v>39</v>
      </c>
      <c r="I127" s="6">
        <v>-19.042006000000001</v>
      </c>
      <c r="J127" s="6">
        <v>-65.264031000000003</v>
      </c>
      <c r="K127" s="6" t="s">
        <v>376</v>
      </c>
      <c r="L127" s="7">
        <v>296746</v>
      </c>
      <c r="M127" s="6">
        <v>163.1</v>
      </c>
      <c r="N127" s="6" t="s">
        <v>72</v>
      </c>
      <c r="O127" s="6" t="s">
        <v>377</v>
      </c>
      <c r="P127" s="6" t="s">
        <v>96</v>
      </c>
      <c r="Q127" s="6">
        <v>1087</v>
      </c>
      <c r="R127" s="6">
        <v>12.6</v>
      </c>
      <c r="S127" s="6" t="s">
        <v>54</v>
      </c>
      <c r="T127" s="6" t="s">
        <v>55</v>
      </c>
      <c r="U127" s="6" t="s">
        <v>178</v>
      </c>
      <c r="V127" s="6" t="s">
        <v>378</v>
      </c>
      <c r="W127" s="6" t="s">
        <v>46</v>
      </c>
      <c r="X127" s="6" t="s">
        <v>34</v>
      </c>
      <c r="Y127" s="6" t="s">
        <v>47</v>
      </c>
      <c r="Z127" s="6" t="s">
        <v>36</v>
      </c>
      <c r="AA127" s="6" t="s">
        <v>36</v>
      </c>
      <c r="AB127" s="6" t="s">
        <v>36</v>
      </c>
      <c r="AC127" s="6" t="s">
        <v>36</v>
      </c>
      <c r="AD127" s="6">
        <f t="shared" si="63"/>
        <v>197.81719999999999</v>
      </c>
      <c r="AE127" s="6">
        <f>AD127*AL127</f>
        <v>377830.85199999996</v>
      </c>
      <c r="AF127" s="6">
        <f t="shared" si="64"/>
        <v>1386639.2268399999</v>
      </c>
      <c r="AG127" s="6">
        <f t="shared" si="65"/>
        <v>725.98912399999995</v>
      </c>
      <c r="AH127" s="6">
        <f t="shared" si="61"/>
        <v>420.8876595744681</v>
      </c>
      <c r="AI127" s="6">
        <f t="shared" si="62"/>
        <v>803895.42978723394</v>
      </c>
      <c r="AJ127" s="6">
        <f>159.53/0.47</f>
        <v>339.42553191489361</v>
      </c>
      <c r="AK127" s="6">
        <f t="shared" si="66"/>
        <v>81.462127659574463</v>
      </c>
      <c r="AL127" s="6">
        <v>1910</v>
      </c>
    </row>
    <row r="128" spans="1:38" x14ac:dyDescent="0.25">
      <c r="A128" s="6">
        <v>127</v>
      </c>
      <c r="B128" s="5">
        <v>77</v>
      </c>
      <c r="C128" s="6" t="s">
        <v>379</v>
      </c>
      <c r="D128" s="6" t="s">
        <v>380</v>
      </c>
      <c r="E128" s="6" t="s">
        <v>22</v>
      </c>
      <c r="F128" s="6">
        <v>2025</v>
      </c>
      <c r="G128" s="6" t="s">
        <v>23</v>
      </c>
      <c r="H128" s="6" t="s">
        <v>24</v>
      </c>
      <c r="I128" s="6">
        <v>11.0464</v>
      </c>
      <c r="J128" s="6">
        <v>-74.846699999999998</v>
      </c>
      <c r="K128" s="6" t="s">
        <v>381</v>
      </c>
      <c r="L128" s="7">
        <v>1275264</v>
      </c>
      <c r="M128" s="6">
        <v>8270</v>
      </c>
      <c r="N128" s="6" t="s">
        <v>72</v>
      </c>
      <c r="O128" s="6" t="s">
        <v>187</v>
      </c>
      <c r="P128" s="6" t="s">
        <v>28</v>
      </c>
      <c r="Q128" s="6">
        <v>900</v>
      </c>
      <c r="R128" s="6">
        <v>28</v>
      </c>
      <c r="S128" s="6" t="s">
        <v>29</v>
      </c>
      <c r="T128" s="6" t="s">
        <v>30</v>
      </c>
      <c r="U128" s="6" t="s">
        <v>31</v>
      </c>
      <c r="V128" s="6" t="s">
        <v>378</v>
      </c>
      <c r="W128" s="6" t="s">
        <v>46</v>
      </c>
      <c r="X128" s="6" t="s">
        <v>34</v>
      </c>
      <c r="Y128" s="6" t="s">
        <v>47</v>
      </c>
      <c r="Z128" s="6" t="s">
        <v>36</v>
      </c>
      <c r="AA128" s="6" t="s">
        <v>36</v>
      </c>
      <c r="AB128" s="6" t="s">
        <v>36</v>
      </c>
      <c r="AC128" s="6" t="s">
        <v>36</v>
      </c>
      <c r="AD128" s="6">
        <f t="shared" si="63"/>
        <v>151.25785714285715</v>
      </c>
      <c r="AE128" s="6">
        <v>4098.6000000000004</v>
      </c>
      <c r="AF128" s="6">
        <f t="shared" si="64"/>
        <v>15041.862000000001</v>
      </c>
      <c r="AG128" s="6">
        <f t="shared" si="65"/>
        <v>555.1163357142857</v>
      </c>
      <c r="AH128" s="6">
        <f t="shared" si="61"/>
        <v>321.82522796352589</v>
      </c>
      <c r="AI128" s="6">
        <f t="shared" si="62"/>
        <v>8720.4255319148942</v>
      </c>
      <c r="AJ128" s="6">
        <f>(4098.6/AL128)/0.47</f>
        <v>259.53647416413378</v>
      </c>
      <c r="AK128" s="6">
        <f t="shared" si="66"/>
        <v>62.288753799392104</v>
      </c>
      <c r="AL128" s="6">
        <v>33.6</v>
      </c>
    </row>
    <row r="129" spans="1:38" x14ac:dyDescent="0.25">
      <c r="A129" s="6">
        <v>128</v>
      </c>
      <c r="B129" s="5">
        <v>77</v>
      </c>
      <c r="C129" s="6" t="s">
        <v>379</v>
      </c>
      <c r="D129" s="6" t="s">
        <v>380</v>
      </c>
      <c r="E129" s="6" t="s">
        <v>22</v>
      </c>
      <c r="F129" s="6">
        <v>2025</v>
      </c>
      <c r="G129" s="6" t="s">
        <v>23</v>
      </c>
      <c r="H129" s="6" t="s">
        <v>24</v>
      </c>
      <c r="I129" s="6">
        <v>11.0464</v>
      </c>
      <c r="J129" s="6">
        <v>-74.846699999999998</v>
      </c>
      <c r="K129" s="6" t="s">
        <v>381</v>
      </c>
      <c r="L129" s="7">
        <v>1275264</v>
      </c>
      <c r="M129" s="6">
        <v>8270</v>
      </c>
      <c r="N129" s="6" t="s">
        <v>72</v>
      </c>
      <c r="O129" s="6" t="s">
        <v>187</v>
      </c>
      <c r="P129" s="6" t="s">
        <v>28</v>
      </c>
      <c r="Q129" s="6">
        <v>900</v>
      </c>
      <c r="R129" s="6">
        <v>28</v>
      </c>
      <c r="S129" s="6" t="s">
        <v>29</v>
      </c>
      <c r="T129" s="6" t="s">
        <v>30</v>
      </c>
      <c r="U129" s="6" t="s">
        <v>31</v>
      </c>
      <c r="V129" s="6" t="s">
        <v>378</v>
      </c>
      <c r="W129" s="6" t="s">
        <v>46</v>
      </c>
      <c r="X129" s="6" t="s">
        <v>34</v>
      </c>
      <c r="Y129" s="6" t="s">
        <v>47</v>
      </c>
      <c r="Z129" s="6" t="s">
        <v>36</v>
      </c>
      <c r="AA129" s="6" t="s">
        <v>36</v>
      </c>
      <c r="AB129" s="6" t="s">
        <v>36</v>
      </c>
      <c r="AC129" s="6" t="s">
        <v>36</v>
      </c>
      <c r="AD129" s="6">
        <f t="shared" si="63"/>
        <v>1.7340106951871659</v>
      </c>
      <c r="AE129" s="6">
        <v>104.6</v>
      </c>
      <c r="AF129" s="6">
        <f t="shared" si="64"/>
        <v>383.88199999999995</v>
      </c>
      <c r="AG129" s="6">
        <f t="shared" si="65"/>
        <v>6.3638192513368983</v>
      </c>
      <c r="AH129" s="6">
        <f t="shared" si="61"/>
        <v>3.6893844578450339</v>
      </c>
      <c r="AI129" s="6">
        <f t="shared" si="62"/>
        <v>222.55319148936169</v>
      </c>
      <c r="AJ129" s="6">
        <f>(104.6/AL129)/0.47</f>
        <v>2.9753100466492208</v>
      </c>
      <c r="AK129" s="6">
        <f t="shared" si="66"/>
        <v>0.71407441119581294</v>
      </c>
      <c r="AL129" s="6">
        <v>74.8</v>
      </c>
    </row>
    <row r="130" spans="1:38" x14ac:dyDescent="0.25">
      <c r="A130" s="6">
        <v>129</v>
      </c>
      <c r="B130" s="5">
        <v>77</v>
      </c>
      <c r="C130" s="6" t="s">
        <v>379</v>
      </c>
      <c r="D130" s="6" t="s">
        <v>380</v>
      </c>
      <c r="E130" s="6" t="s">
        <v>22</v>
      </c>
      <c r="F130" s="6">
        <v>2025</v>
      </c>
      <c r="G130" s="6" t="s">
        <v>23</v>
      </c>
      <c r="H130" s="6" t="s">
        <v>24</v>
      </c>
      <c r="I130" s="6">
        <v>11.0464</v>
      </c>
      <c r="J130" s="6">
        <v>-74.846699999999998</v>
      </c>
      <c r="K130" s="6" t="s">
        <v>381</v>
      </c>
      <c r="L130" s="7">
        <v>1275264</v>
      </c>
      <c r="M130" s="6">
        <v>8270</v>
      </c>
      <c r="N130" s="6" t="s">
        <v>72</v>
      </c>
      <c r="O130" s="6" t="s">
        <v>187</v>
      </c>
      <c r="P130" s="6" t="s">
        <v>28</v>
      </c>
      <c r="Q130" s="6">
        <v>900</v>
      </c>
      <c r="R130" s="6">
        <v>28</v>
      </c>
      <c r="S130" s="6" t="s">
        <v>29</v>
      </c>
      <c r="T130" s="6" t="s">
        <v>30</v>
      </c>
      <c r="U130" s="6" t="s">
        <v>31</v>
      </c>
      <c r="V130" s="6" t="s">
        <v>378</v>
      </c>
      <c r="W130" s="6" t="s">
        <v>46</v>
      </c>
      <c r="X130" s="6" t="s">
        <v>34</v>
      </c>
      <c r="Y130" s="6" t="s">
        <v>47</v>
      </c>
      <c r="Z130" s="6" t="s">
        <v>36</v>
      </c>
      <c r="AA130" s="6" t="s">
        <v>36</v>
      </c>
      <c r="AB130" s="6" t="s">
        <v>36</v>
      </c>
      <c r="AC130" s="6" t="s">
        <v>36</v>
      </c>
      <c r="AD130" s="6">
        <f t="shared" si="63"/>
        <v>242.62666666666667</v>
      </c>
      <c r="AE130" s="6">
        <v>1761</v>
      </c>
      <c r="AF130" s="6">
        <f t="shared" si="64"/>
        <v>6462.87</v>
      </c>
      <c r="AG130" s="6">
        <f t="shared" si="65"/>
        <v>890.4398666666666</v>
      </c>
      <c r="AH130" s="6">
        <f t="shared" si="61"/>
        <v>516.22695035460993</v>
      </c>
      <c r="AI130" s="6">
        <f t="shared" si="62"/>
        <v>3746.8085106382982</v>
      </c>
      <c r="AJ130" s="6">
        <f>(1761/AL130)/0.47</f>
        <v>416.31205673758865</v>
      </c>
      <c r="AK130" s="6">
        <f t="shared" si="66"/>
        <v>99.914893617021278</v>
      </c>
      <c r="AL130" s="6">
        <v>9</v>
      </c>
    </row>
    <row r="131" spans="1:38" x14ac:dyDescent="0.25">
      <c r="A131" s="6">
        <v>130</v>
      </c>
      <c r="B131" s="5">
        <v>78</v>
      </c>
      <c r="C131" s="6" t="s">
        <v>382</v>
      </c>
      <c r="D131" s="6" t="s">
        <v>383</v>
      </c>
      <c r="E131" s="6" t="s">
        <v>22</v>
      </c>
      <c r="F131" s="6">
        <v>2025</v>
      </c>
      <c r="G131" s="6" t="s">
        <v>50</v>
      </c>
      <c r="H131" s="6" t="s">
        <v>24</v>
      </c>
      <c r="I131" s="6">
        <v>18.506591</v>
      </c>
      <c r="J131" s="6">
        <v>73.873874999999998</v>
      </c>
      <c r="K131" s="6" t="s">
        <v>384</v>
      </c>
      <c r="L131" s="6">
        <v>6200000</v>
      </c>
      <c r="M131" s="6">
        <f>L131/484</f>
        <v>12809.917355371901</v>
      </c>
      <c r="N131" s="6" t="s">
        <v>26</v>
      </c>
      <c r="O131" s="6" t="s">
        <v>27</v>
      </c>
      <c r="P131" s="6" t="s">
        <v>28</v>
      </c>
      <c r="Q131" s="6">
        <v>1200</v>
      </c>
      <c r="R131" s="6">
        <v>24.3</v>
      </c>
      <c r="S131" s="6" t="s">
        <v>108</v>
      </c>
      <c r="T131" s="6" t="s">
        <v>112</v>
      </c>
      <c r="U131" s="6" t="s">
        <v>74</v>
      </c>
      <c r="V131" s="6" t="s">
        <v>367</v>
      </c>
      <c r="W131" s="6" t="s">
        <v>172</v>
      </c>
      <c r="X131" s="6" t="s">
        <v>173</v>
      </c>
      <c r="Y131" s="6" t="s">
        <v>35</v>
      </c>
      <c r="Z131" s="6">
        <f>AA131*AL131</f>
        <v>-32553.666666666668</v>
      </c>
      <c r="AA131" s="6">
        <f>((577010-869993)/9)/AL131</f>
        <v>-0.67259641873278242</v>
      </c>
      <c r="AB131" s="6">
        <f>Z131*3.67</f>
        <v>-119471.95666666667</v>
      </c>
      <c r="AC131" s="6">
        <f>AA131*3.67</f>
        <v>-2.4684288567493113</v>
      </c>
      <c r="AD131" s="6">
        <f>1761/AL131</f>
        <v>3.6384297520661156E-2</v>
      </c>
      <c r="AE131" s="6">
        <f>((2013*869993)+(2022*577010))/(2013+2022)</f>
        <v>723174.7531598513</v>
      </c>
      <c r="AF131" s="6">
        <f t="shared" ref="AF131" si="67">AE131*3.67</f>
        <v>2654051.3440966541</v>
      </c>
      <c r="AG131" s="6">
        <f t="shared" ref="AG131" si="68">AD131*3.67</f>
        <v>0.13353037190082645</v>
      </c>
      <c r="AH131" s="6">
        <f t="shared" ref="AH131" si="69">AD131/0.47</f>
        <v>7.7413398980130124E-2</v>
      </c>
      <c r="AI131" s="6">
        <f t="shared" ref="AI131" si="70">AH131*AL131</f>
        <v>3746.8085106382982</v>
      </c>
      <c r="AJ131" s="6">
        <f t="shared" ref="AJ131" si="71">AH131/1.24</f>
        <v>6.2430160467846878E-2</v>
      </c>
      <c r="AK131" s="6">
        <f t="shared" si="66"/>
        <v>1.498323851228325E-2</v>
      </c>
      <c r="AL131" s="6">
        <v>48400</v>
      </c>
    </row>
    <row r="132" spans="1:38" x14ac:dyDescent="0.25">
      <c r="A132" s="6">
        <v>131</v>
      </c>
      <c r="B132" s="5">
        <v>79</v>
      </c>
      <c r="C132" s="6" t="s">
        <v>385</v>
      </c>
      <c r="D132" s="6" t="s">
        <v>386</v>
      </c>
      <c r="E132" s="6" t="s">
        <v>22</v>
      </c>
      <c r="F132" s="6">
        <v>2025</v>
      </c>
      <c r="G132" s="6" t="s">
        <v>50</v>
      </c>
      <c r="H132" s="6" t="s">
        <v>24</v>
      </c>
      <c r="I132" s="6">
        <v>6.4132749999999996</v>
      </c>
      <c r="J132" s="6">
        <v>38.304234999999998</v>
      </c>
      <c r="K132" s="6" t="s">
        <v>387</v>
      </c>
      <c r="L132" s="6">
        <v>158800</v>
      </c>
      <c r="M132" s="6">
        <f>(L132/2139.52)/100</f>
        <v>0.74222255459168407</v>
      </c>
      <c r="N132" s="6" t="s">
        <v>41</v>
      </c>
      <c r="O132" s="6" t="s">
        <v>150</v>
      </c>
      <c r="P132" s="6" t="s">
        <v>167</v>
      </c>
      <c r="Q132" s="6">
        <v>2038</v>
      </c>
      <c r="R132" s="6">
        <v>18.8</v>
      </c>
      <c r="S132" s="6" t="s">
        <v>151</v>
      </c>
      <c r="T132" s="6" t="s">
        <v>55</v>
      </c>
      <c r="U132" s="6" t="s">
        <v>56</v>
      </c>
      <c r="V132" s="6" t="s">
        <v>388</v>
      </c>
      <c r="W132" s="6" t="s">
        <v>473</v>
      </c>
      <c r="X132" s="6" t="s">
        <v>34</v>
      </c>
      <c r="Y132" s="6" t="s">
        <v>35</v>
      </c>
      <c r="Z132" s="6">
        <f>AA132*AL132</f>
        <v>-5.3525809056881258E-7</v>
      </c>
      <c r="AA132" s="6">
        <f>AC132/3.67</f>
        <v>-5.5700779340617705E-10</v>
      </c>
      <c r="AB132" s="6">
        <f>AC132*AL132</f>
        <v>-1.9643971923875419E-6</v>
      </c>
      <c r="AC132" s="6">
        <f>((11347.46/718.11)-(18102.115/1145.57))/30</f>
        <v>-2.0442186018006698E-9</v>
      </c>
      <c r="AD132" s="6">
        <f>AF132/3.67</f>
        <v>4.3051771117166213</v>
      </c>
      <c r="AE132" s="6">
        <f>AD132*AL132</f>
        <v>4137.0711642765309</v>
      </c>
      <c r="AF132" s="6">
        <v>15.8</v>
      </c>
      <c r="AG132" s="6">
        <f>AF132/AL132</f>
        <v>1.644201795523571E-2</v>
      </c>
      <c r="AH132" s="6">
        <f t="shared" ref="AH132:AH135" si="72">AD132/0.47</f>
        <v>9.1599513015247265</v>
      </c>
      <c r="AI132" s="6">
        <f t="shared" ref="AI132:AI135" si="73">AH132*AL132</f>
        <v>8802.2790729287881</v>
      </c>
      <c r="AJ132" s="6">
        <f t="shared" ref="AJ132:AJ136" si="74">AH132/1.24</f>
        <v>7.3870575012296182</v>
      </c>
      <c r="AK132" s="6">
        <f t="shared" ref="AK132:AK136" si="75">AJ132*0.24</f>
        <v>1.7728938002951082</v>
      </c>
      <c r="AL132" s="6">
        <f>((1992*1145.57)+(2002*952.39)+(2012*1030.74)+(2022*718.11))/(1992+2002+2012+2022)</f>
        <v>960.95260587942198</v>
      </c>
    </row>
    <row r="133" spans="1:38" x14ac:dyDescent="0.25">
      <c r="A133" s="6">
        <v>132</v>
      </c>
      <c r="B133" s="5">
        <v>79</v>
      </c>
      <c r="C133" s="6" t="s">
        <v>385</v>
      </c>
      <c r="D133" s="6" t="s">
        <v>386</v>
      </c>
      <c r="E133" s="6" t="s">
        <v>22</v>
      </c>
      <c r="F133" s="6">
        <v>2025</v>
      </c>
      <c r="G133" s="6" t="s">
        <v>50</v>
      </c>
      <c r="H133" s="6" t="s">
        <v>24</v>
      </c>
      <c r="I133" s="6">
        <v>7.0451030000000001</v>
      </c>
      <c r="J133" s="6">
        <v>38.494920999999998</v>
      </c>
      <c r="K133" s="6" t="s">
        <v>389</v>
      </c>
      <c r="L133" s="6">
        <v>422200</v>
      </c>
      <c r="M133" s="6">
        <f>(L133/15961.3)/100</f>
        <v>0.26451479516079518</v>
      </c>
      <c r="N133" s="6" t="s">
        <v>41</v>
      </c>
      <c r="O133" s="6" t="s">
        <v>150</v>
      </c>
      <c r="P133" s="6" t="s">
        <v>96</v>
      </c>
      <c r="Q133" s="6">
        <v>1255</v>
      </c>
      <c r="R133" s="6">
        <v>20</v>
      </c>
      <c r="S133" s="6" t="s">
        <v>151</v>
      </c>
      <c r="T133" s="6" t="s">
        <v>55</v>
      </c>
      <c r="U133" s="6" t="s">
        <v>56</v>
      </c>
      <c r="V133" s="6" t="s">
        <v>388</v>
      </c>
      <c r="W133" s="6" t="s">
        <v>473</v>
      </c>
      <c r="X133" s="6" t="s">
        <v>34</v>
      </c>
      <c r="Y133" s="6" t="s">
        <v>35</v>
      </c>
      <c r="Z133" s="6">
        <f>AA133*AL133</f>
        <v>-38.255846688782398</v>
      </c>
      <c r="AA133" s="6">
        <f t="shared" ref="AA133:AA135" si="76">AC133/3.67</f>
        <v>-3.1051930168118469E-2</v>
      </c>
      <c r="AB133" s="6">
        <f xml:space="preserve"> ((4938.84) - (2625.97))/30</f>
        <v>77.095666666666673</v>
      </c>
      <c r="AC133" s="6">
        <f xml:space="preserve"> ((4938.84/2206.89) - (2625.97/464.22))/30</f>
        <v>-0.11396058371699477</v>
      </c>
      <c r="AD133" s="6">
        <f>(((1992*(2625.97/464.22)) + (2002*(6712.17/1186.58)) + (2012*(5982.5/1057.59)) + (2022*(4938.84/2206.89)))/(1992+ 2002+2012+2022))/3.67</f>
        <v>1.3067144397228703</v>
      </c>
      <c r="AE133" s="6">
        <f t="shared" ref="AE133:AE140" si="77">AD133*AL133</f>
        <v>1609.8666653379676</v>
      </c>
      <c r="AF133" s="6">
        <v>5.66</v>
      </c>
      <c r="AG133" s="6">
        <f t="shared" ref="AG133:AG135" si="78">AF133/AL133</f>
        <v>4.5941716094101276E-3</v>
      </c>
      <c r="AH133" s="6">
        <f t="shared" si="72"/>
        <v>2.7802434887720646</v>
      </c>
      <c r="AI133" s="6">
        <f t="shared" si="73"/>
        <v>3425.2482241233356</v>
      </c>
      <c r="AJ133" s="6">
        <f t="shared" si="74"/>
        <v>2.242131845783923</v>
      </c>
      <c r="AK133" s="6">
        <f t="shared" si="75"/>
        <v>0.53811164298814151</v>
      </c>
      <c r="AL133" s="6">
        <f>((1992*464.22)+(2002*1186.58)+(2012*1057.59)+ (2022*2206.89))/(1992+2002+2012+2022)</f>
        <v>1231.9957722969605</v>
      </c>
    </row>
    <row r="134" spans="1:38" x14ac:dyDescent="0.25">
      <c r="A134" s="6">
        <v>133</v>
      </c>
      <c r="B134" s="5">
        <v>79</v>
      </c>
      <c r="C134" s="6" t="s">
        <v>385</v>
      </c>
      <c r="D134" s="6" t="s">
        <v>386</v>
      </c>
      <c r="E134" s="6" t="s">
        <v>22</v>
      </c>
      <c r="F134" s="6">
        <v>2025</v>
      </c>
      <c r="G134" s="6" t="s">
        <v>50</v>
      </c>
      <c r="H134" s="6" t="s">
        <v>24</v>
      </c>
      <c r="I134" s="6">
        <v>7.0451030000000001</v>
      </c>
      <c r="J134" s="6">
        <v>38.494920999999998</v>
      </c>
      <c r="K134" s="6" t="s">
        <v>389</v>
      </c>
      <c r="L134" s="6">
        <v>422200</v>
      </c>
      <c r="M134" s="6">
        <f>(L134/15961.3)/100</f>
        <v>0.26451479516079518</v>
      </c>
      <c r="N134" s="6" t="s">
        <v>41</v>
      </c>
      <c r="O134" s="6" t="s">
        <v>150</v>
      </c>
      <c r="P134" s="6" t="s">
        <v>96</v>
      </c>
      <c r="Q134" s="6">
        <v>1255</v>
      </c>
      <c r="R134" s="6">
        <v>20</v>
      </c>
      <c r="S134" s="6" t="s">
        <v>151</v>
      </c>
      <c r="T134" s="6" t="s">
        <v>55</v>
      </c>
      <c r="U134" s="6" t="s">
        <v>56</v>
      </c>
      <c r="V134" s="6" t="s">
        <v>388</v>
      </c>
      <c r="W134" s="6" t="s">
        <v>473</v>
      </c>
      <c r="X134" s="6" t="s">
        <v>34</v>
      </c>
      <c r="Y134" s="6" t="s">
        <v>35</v>
      </c>
      <c r="Z134" s="6">
        <f t="shared" ref="Z134:Z135" si="79">AA134*AL134</f>
        <v>-3.408102488717579E-5</v>
      </c>
      <c r="AA134" s="6">
        <f t="shared" si="76"/>
        <v>-5.5131491439914161E-9</v>
      </c>
      <c r="AB134" s="6">
        <f>((10345.8) - (12038.6))/30</f>
        <v>-56.426666666666705</v>
      </c>
      <c r="AC134" s="6">
        <f>((10345.8/5676.33) - (12038.6/6605.1))/30</f>
        <v>-2.0233257358448497E-8</v>
      </c>
      <c r="AD134" s="6">
        <f>(((1992*(12038.6/6605.1)) +(2002*(11540.69/6331.92)) + (2012*(11156.62/6121.2)) + (2022*(10345.8/5676.33)))/ (1992+2002+2012+2022))/3.67</f>
        <v>0.49662696885348651</v>
      </c>
      <c r="AE134" s="6">
        <f t="shared" si="77"/>
        <v>3070.0341389430587</v>
      </c>
      <c r="AF134" s="6">
        <v>1.8220000000000001</v>
      </c>
      <c r="AG134" s="6">
        <f t="shared" si="78"/>
        <v>2.9473754893245997E-4</v>
      </c>
      <c r="AH134" s="6">
        <f t="shared" si="72"/>
        <v>1.0566531252201841</v>
      </c>
      <c r="AI134" s="6">
        <f t="shared" si="73"/>
        <v>6531.9875296660821</v>
      </c>
      <c r="AJ134" s="6">
        <f t="shared" si="74"/>
        <v>0.85213961711305164</v>
      </c>
      <c r="AK134" s="6">
        <f t="shared" si="75"/>
        <v>0.2045135081071324</v>
      </c>
      <c r="AL134" s="6">
        <f>((1992*6605.1)+(2002*6331.92)+(2012*6121.2)+(2022*5676.33))/(1992+2002+2012+2022)</f>
        <v>6181.7708893871441</v>
      </c>
    </row>
    <row r="135" spans="1:38" x14ac:dyDescent="0.25">
      <c r="A135" s="6">
        <v>134</v>
      </c>
      <c r="B135" s="5">
        <v>79</v>
      </c>
      <c r="C135" s="6" t="s">
        <v>385</v>
      </c>
      <c r="D135" s="6" t="s">
        <v>386</v>
      </c>
      <c r="E135" s="6" t="s">
        <v>22</v>
      </c>
      <c r="F135" s="6">
        <v>2025</v>
      </c>
      <c r="G135" s="6" t="s">
        <v>50</v>
      </c>
      <c r="H135" s="6" t="s">
        <v>24</v>
      </c>
      <c r="I135" s="12">
        <v>7.1973729999999998</v>
      </c>
      <c r="J135" s="6">
        <v>38.602775000000001</v>
      </c>
      <c r="K135" s="6" t="s">
        <v>390</v>
      </c>
      <c r="L135" s="6">
        <v>208400</v>
      </c>
      <c r="M135" s="6">
        <f>(L135/12927.6)/100</f>
        <v>0.16120548284290973</v>
      </c>
      <c r="N135" s="6" t="s">
        <v>41</v>
      </c>
      <c r="O135" s="6" t="s">
        <v>150</v>
      </c>
      <c r="P135" s="6" t="s">
        <v>96</v>
      </c>
      <c r="Q135" s="6">
        <v>1255</v>
      </c>
      <c r="R135" s="6">
        <v>20</v>
      </c>
      <c r="S135" s="6" t="s">
        <v>151</v>
      </c>
      <c r="T135" s="6" t="s">
        <v>55</v>
      </c>
      <c r="U135" s="6" t="s">
        <v>56</v>
      </c>
      <c r="V135" s="6" t="s">
        <v>388</v>
      </c>
      <c r="W135" s="6" t="s">
        <v>473</v>
      </c>
      <c r="X135" s="6" t="s">
        <v>34</v>
      </c>
      <c r="Y135" s="6" t="s">
        <v>35</v>
      </c>
      <c r="Z135" s="6">
        <f t="shared" si="79"/>
        <v>7.3907288270102012E-5</v>
      </c>
      <c r="AA135" s="6">
        <f t="shared" si="76"/>
        <v>9.2758467242869415E-8</v>
      </c>
      <c r="AB135" s="6">
        <f>AC135*AL135</f>
        <v>2.7123974795127437E-4</v>
      </c>
      <c r="AC135" s="6">
        <f>((4818.21/630.1)-(8249.52/1078.83))/30</f>
        <v>3.4042357478133074E-7</v>
      </c>
      <c r="AD135" s="6">
        <f t="shared" ref="AD135" si="80">AF135/3.67</f>
        <v>2.0844686648501365</v>
      </c>
      <c r="AE135" s="6">
        <f t="shared" si="77"/>
        <v>1660.8448919245859</v>
      </c>
      <c r="AF135" s="6">
        <v>7.65</v>
      </c>
      <c r="AG135" s="6">
        <f t="shared" si="78"/>
        <v>9.6012489568638275E-3</v>
      </c>
      <c r="AH135" s="6">
        <f t="shared" si="72"/>
        <v>4.4350397124470993</v>
      </c>
      <c r="AI135" s="6">
        <f t="shared" si="73"/>
        <v>3533.7125360097575</v>
      </c>
      <c r="AJ135" s="6">
        <f t="shared" si="74"/>
        <v>3.5766449293928222</v>
      </c>
      <c r="AK135" s="6">
        <f t="shared" si="75"/>
        <v>0.8583947830542773</v>
      </c>
      <c r="AL135" s="6">
        <f>((1992*1078.83)+(2002*734.9)+(2012*746.58)+(2022*630.1))/(1992+2002+2012+2022)</f>
        <v>796.77134030891887</v>
      </c>
    </row>
    <row r="136" spans="1:38" x14ac:dyDescent="0.25">
      <c r="A136" s="6">
        <v>135</v>
      </c>
      <c r="B136" s="5">
        <v>80</v>
      </c>
      <c r="C136" s="6" t="s">
        <v>391</v>
      </c>
      <c r="D136" s="6" t="s">
        <v>392</v>
      </c>
      <c r="E136" s="6" t="s">
        <v>22</v>
      </c>
      <c r="F136" s="6">
        <v>2025</v>
      </c>
      <c r="G136" s="6" t="s">
        <v>23</v>
      </c>
      <c r="H136" s="6" t="s">
        <v>24</v>
      </c>
      <c r="I136" s="6">
        <v>13.743219</v>
      </c>
      <c r="J136" s="6">
        <v>121.057939</v>
      </c>
      <c r="K136" s="6" t="s">
        <v>393</v>
      </c>
      <c r="L136" s="6">
        <v>358267</v>
      </c>
      <c r="M136" s="6">
        <v>1306</v>
      </c>
      <c r="N136" s="6" t="s">
        <v>26</v>
      </c>
      <c r="O136" s="6" t="s">
        <v>157</v>
      </c>
      <c r="P136" s="6" t="s">
        <v>102</v>
      </c>
      <c r="Q136" s="6">
        <v>2013</v>
      </c>
      <c r="R136" s="6">
        <v>25.7</v>
      </c>
      <c r="S136" s="6" t="s">
        <v>29</v>
      </c>
      <c r="T136" s="6" t="s">
        <v>30</v>
      </c>
      <c r="U136" s="6" t="s">
        <v>31</v>
      </c>
      <c r="V136" s="6" t="s">
        <v>378</v>
      </c>
      <c r="W136" s="6" t="s">
        <v>473</v>
      </c>
      <c r="X136" s="6" t="s">
        <v>34</v>
      </c>
      <c r="Y136" s="6" t="s">
        <v>35</v>
      </c>
      <c r="Z136" s="6" t="s">
        <v>36</v>
      </c>
      <c r="AA136" s="6" t="s">
        <v>36</v>
      </c>
      <c r="AB136" s="6" t="s">
        <v>36</v>
      </c>
      <c r="AC136" s="6" t="s">
        <v>36</v>
      </c>
      <c r="AD136" s="6">
        <v>7.7910000000000004</v>
      </c>
      <c r="AE136" s="6">
        <f t="shared" si="77"/>
        <v>34.046670000000006</v>
      </c>
      <c r="AF136" s="6">
        <f t="shared" ref="AF136:AF140" si="81">AE136*3.67</f>
        <v>124.95127890000002</v>
      </c>
      <c r="AG136" s="6">
        <f>AD136*3.67</f>
        <v>28.592970000000001</v>
      </c>
      <c r="AH136" s="6">
        <v>17.707999999999998</v>
      </c>
      <c r="AI136" s="6">
        <f>AH136*AL136</f>
        <v>77.383960000000002</v>
      </c>
      <c r="AJ136" s="6">
        <f t="shared" si="74"/>
        <v>14.280645161290321</v>
      </c>
      <c r="AK136" s="6">
        <f t="shared" si="75"/>
        <v>3.4273548387096771</v>
      </c>
      <c r="AL136" s="6">
        <v>4.37</v>
      </c>
    </row>
    <row r="137" spans="1:38" x14ac:dyDescent="0.25">
      <c r="A137" s="6">
        <v>136</v>
      </c>
      <c r="B137" s="5">
        <v>81</v>
      </c>
      <c r="C137" s="6" t="s">
        <v>394</v>
      </c>
      <c r="D137" s="6" t="s">
        <v>395</v>
      </c>
      <c r="E137" s="6" t="s">
        <v>22</v>
      </c>
      <c r="F137" s="6">
        <v>2025</v>
      </c>
      <c r="G137" s="6" t="s">
        <v>23</v>
      </c>
      <c r="H137" s="6" t="s">
        <v>24</v>
      </c>
      <c r="I137" s="6">
        <v>5.2874189999999999</v>
      </c>
      <c r="J137" s="6">
        <v>-3.9208069999999999</v>
      </c>
      <c r="K137" s="6" t="s">
        <v>396</v>
      </c>
      <c r="L137" s="7">
        <v>618795</v>
      </c>
      <c r="M137" s="7">
        <v>8388</v>
      </c>
      <c r="N137" s="6" t="s">
        <v>41</v>
      </c>
      <c r="O137" s="6" t="s">
        <v>397</v>
      </c>
      <c r="P137" s="6" t="s">
        <v>102</v>
      </c>
      <c r="Q137" s="6">
        <v>1550</v>
      </c>
      <c r="R137" s="6">
        <v>26.5</v>
      </c>
      <c r="S137" s="6" t="s">
        <v>29</v>
      </c>
      <c r="T137" s="6" t="s">
        <v>30</v>
      </c>
      <c r="U137" s="6" t="s">
        <v>56</v>
      </c>
      <c r="V137" s="6" t="s">
        <v>378</v>
      </c>
      <c r="W137" s="6" t="s">
        <v>33</v>
      </c>
      <c r="X137" s="6" t="s">
        <v>34</v>
      </c>
      <c r="Y137" s="6" t="s">
        <v>35</v>
      </c>
      <c r="Z137" s="6" t="s">
        <v>36</v>
      </c>
      <c r="AA137" s="6" t="s">
        <v>36</v>
      </c>
      <c r="AB137" s="6" t="s">
        <v>36</v>
      </c>
      <c r="AC137" s="6" t="s">
        <v>36</v>
      </c>
      <c r="AD137" s="6">
        <f>(87.4 + 4.15 + 139.87)/3</f>
        <v>77.14</v>
      </c>
      <c r="AE137" s="6">
        <f t="shared" si="77"/>
        <v>30084.6</v>
      </c>
      <c r="AF137" s="6">
        <f t="shared" si="81"/>
        <v>110410.48199999999</v>
      </c>
      <c r="AG137" s="6">
        <f t="shared" ref="AG137:AG140" si="82">AD137*3.67</f>
        <v>283.10379999999998</v>
      </c>
      <c r="AH137" s="6">
        <f>(3719.34+176.6+5951.73)/3</f>
        <v>3282.5566666666668</v>
      </c>
      <c r="AI137" s="6">
        <f>AH137*AL137</f>
        <v>1280197.1000000001</v>
      </c>
      <c r="AJ137" s="6">
        <f t="shared" ref="AJ137" si="83">AH137/1.24</f>
        <v>2647.2231182795699</v>
      </c>
      <c r="AK137" s="6">
        <f t="shared" ref="AK137" si="84">AJ137*0.24</f>
        <v>635.33354838709681</v>
      </c>
      <c r="AL137" s="6">
        <v>390</v>
      </c>
    </row>
    <row r="138" spans="1:38" x14ac:dyDescent="0.25">
      <c r="A138" s="6">
        <v>137</v>
      </c>
      <c r="B138" s="5">
        <v>82</v>
      </c>
      <c r="C138" s="6" t="s">
        <v>398</v>
      </c>
      <c r="D138" s="6" t="s">
        <v>399</v>
      </c>
      <c r="E138" s="6" t="s">
        <v>22</v>
      </c>
      <c r="F138" s="6">
        <v>2025</v>
      </c>
      <c r="G138" s="6" t="s">
        <v>23</v>
      </c>
      <c r="H138" s="6" t="s">
        <v>24</v>
      </c>
      <c r="I138" s="6">
        <v>15.746555000000001</v>
      </c>
      <c r="J138" s="6">
        <v>108.226173</v>
      </c>
      <c r="K138" s="6" t="s">
        <v>400</v>
      </c>
      <c r="L138" s="6">
        <v>992800</v>
      </c>
      <c r="M138" s="6">
        <v>618.96</v>
      </c>
      <c r="N138" s="6" t="s">
        <v>26</v>
      </c>
      <c r="O138" s="6" t="s">
        <v>182</v>
      </c>
      <c r="P138" s="6" t="s">
        <v>102</v>
      </c>
      <c r="Q138" s="6">
        <v>2490</v>
      </c>
      <c r="R138" s="6">
        <v>26</v>
      </c>
      <c r="S138" s="6" t="s">
        <v>54</v>
      </c>
      <c r="T138" s="6" t="s">
        <v>55</v>
      </c>
      <c r="U138" s="6" t="s">
        <v>178</v>
      </c>
      <c r="V138" s="6" t="s">
        <v>378</v>
      </c>
      <c r="W138" s="6" t="s">
        <v>33</v>
      </c>
      <c r="X138" s="6" t="s">
        <v>34</v>
      </c>
      <c r="Y138" s="6" t="s">
        <v>35</v>
      </c>
      <c r="Z138" s="6" t="s">
        <v>36</v>
      </c>
      <c r="AA138" s="6" t="s">
        <v>36</v>
      </c>
      <c r="AB138" s="6" t="s">
        <v>36</v>
      </c>
      <c r="AC138" s="6" t="s">
        <v>36</v>
      </c>
      <c r="AD138" s="6">
        <f>AH138*0.47</f>
        <v>103.29523978452342</v>
      </c>
      <c r="AE138" s="6">
        <f t="shared" si="77"/>
        <v>6716885.5587999998</v>
      </c>
      <c r="AF138" s="6">
        <f t="shared" si="81"/>
        <v>24650970.000795998</v>
      </c>
      <c r="AG138" s="6">
        <f t="shared" si="82"/>
        <v>379.09353000920095</v>
      </c>
      <c r="AH138" s="6">
        <f>AJ138+AK138</f>
        <v>219.77710592451791</v>
      </c>
      <c r="AI138" s="6">
        <f>AH138*AL138</f>
        <v>14291245.869787235</v>
      </c>
      <c r="AJ138" s="6">
        <f>(((104.94*46319.38) + (42.12*18706.71))/(46319.38 + 18706.71))/0.47</f>
        <v>184.82540025840953</v>
      </c>
      <c r="AK138" s="6">
        <f>(((19.54*46319.38) + (8.72*18706.71))/(46319.38 + 18706.71))/0.47</f>
        <v>34.951705666108367</v>
      </c>
      <c r="AL138" s="6">
        <f>46319.38 + 18706.71</f>
        <v>65026.09</v>
      </c>
    </row>
    <row r="139" spans="1:38" x14ac:dyDescent="0.25">
      <c r="A139" s="6">
        <v>138</v>
      </c>
      <c r="B139" s="5">
        <v>83</v>
      </c>
      <c r="C139" s="6" t="s">
        <v>401</v>
      </c>
      <c r="D139" s="6" t="s">
        <v>402</v>
      </c>
      <c r="E139" s="6" t="s">
        <v>22</v>
      </c>
      <c r="F139" s="6">
        <v>2025</v>
      </c>
      <c r="G139" s="6" t="s">
        <v>23</v>
      </c>
      <c r="H139" s="6" t="s">
        <v>24</v>
      </c>
      <c r="I139" s="6">
        <v>21.161048999999998</v>
      </c>
      <c r="J139" s="6">
        <v>81.786619999999999</v>
      </c>
      <c r="K139" s="6" t="s">
        <v>403</v>
      </c>
      <c r="L139" s="7">
        <v>560000</v>
      </c>
      <c r="M139" s="7">
        <v>1.5</v>
      </c>
      <c r="N139" s="6" t="s">
        <v>26</v>
      </c>
      <c r="O139" s="6" t="s">
        <v>27</v>
      </c>
      <c r="P139" s="6" t="s">
        <v>102</v>
      </c>
      <c r="Q139" s="6">
        <v>1493</v>
      </c>
      <c r="R139" s="6">
        <v>27.2</v>
      </c>
      <c r="S139" s="6" t="s">
        <v>108</v>
      </c>
      <c r="T139" s="6" t="s">
        <v>55</v>
      </c>
      <c r="U139" s="6" t="s">
        <v>31</v>
      </c>
      <c r="V139" s="6" t="s">
        <v>378</v>
      </c>
      <c r="W139" s="6" t="s">
        <v>46</v>
      </c>
      <c r="X139" s="6" t="s">
        <v>34</v>
      </c>
      <c r="Y139" s="6" t="s">
        <v>35</v>
      </c>
      <c r="Z139" s="6" t="s">
        <v>36</v>
      </c>
      <c r="AA139" s="6" t="s">
        <v>36</v>
      </c>
      <c r="AB139" s="6" t="s">
        <v>36</v>
      </c>
      <c r="AC139" s="6" t="s">
        <v>36</v>
      </c>
      <c r="AD139" s="6">
        <f>(35.5 + 87.4 + 80.7 + 56.1)/4</f>
        <v>64.925000000000011</v>
      </c>
      <c r="AE139" s="6">
        <f t="shared" si="77"/>
        <v>77.910000000000011</v>
      </c>
      <c r="AF139" s="6">
        <f t="shared" si="81"/>
        <v>285.92970000000003</v>
      </c>
      <c r="AG139" s="6">
        <f t="shared" si="82"/>
        <v>238.27475000000004</v>
      </c>
      <c r="AH139" s="6">
        <f>AD139/0.47</f>
        <v>138.13829787234044</v>
      </c>
      <c r="AI139" s="6">
        <f>AH139*AL139</f>
        <v>165.76595744680853</v>
      </c>
      <c r="AJ139" s="6">
        <f t="shared" ref="AJ139" si="85">AH139/1.24</f>
        <v>111.4018531228552</v>
      </c>
      <c r="AK139" s="6">
        <f t="shared" ref="AK139" si="86">AJ139*0.24</f>
        <v>26.736444749485248</v>
      </c>
      <c r="AL139" s="6">
        <v>1.2</v>
      </c>
    </row>
    <row r="140" spans="1:38" x14ac:dyDescent="0.25">
      <c r="A140" s="6">
        <v>139</v>
      </c>
      <c r="B140" s="5">
        <v>84</v>
      </c>
      <c r="C140" s="6" t="s">
        <v>404</v>
      </c>
      <c r="D140" s="6" t="s">
        <v>405</v>
      </c>
      <c r="E140" s="6" t="s">
        <v>22</v>
      </c>
      <c r="F140" s="6">
        <v>2025</v>
      </c>
      <c r="G140" s="6" t="s">
        <v>23</v>
      </c>
      <c r="H140" s="6" t="s">
        <v>39</v>
      </c>
      <c r="I140" s="6">
        <v>-6.5280550000000002</v>
      </c>
      <c r="J140" s="6">
        <v>106.87008299999999</v>
      </c>
      <c r="K140" s="6" t="s">
        <v>406</v>
      </c>
      <c r="L140" s="7">
        <v>198380</v>
      </c>
      <c r="M140" s="7">
        <v>2876</v>
      </c>
      <c r="N140" s="6" t="s">
        <v>26</v>
      </c>
      <c r="O140" s="6" t="s">
        <v>67</v>
      </c>
      <c r="P140" s="6" t="s">
        <v>53</v>
      </c>
      <c r="Q140" s="6">
        <v>2919</v>
      </c>
      <c r="R140" s="6">
        <v>25.4</v>
      </c>
      <c r="S140" s="6" t="s">
        <v>54</v>
      </c>
      <c r="T140" s="6" t="s">
        <v>55</v>
      </c>
      <c r="U140" s="6" t="s">
        <v>56</v>
      </c>
      <c r="V140" s="6" t="s">
        <v>407</v>
      </c>
      <c r="W140" s="6" t="s">
        <v>476</v>
      </c>
      <c r="X140" s="6" t="s">
        <v>34</v>
      </c>
      <c r="Y140" s="6" t="s">
        <v>35</v>
      </c>
      <c r="Z140" s="6">
        <f>AA140*AL140</f>
        <v>100.125</v>
      </c>
      <c r="AA140" s="6">
        <v>5.34</v>
      </c>
      <c r="AB140" s="6">
        <f>Z140*3.67</f>
        <v>367.45875000000001</v>
      </c>
      <c r="AC140" s="6">
        <f>AA140*3.67</f>
        <v>19.597799999999999</v>
      </c>
      <c r="AD140" s="6">
        <v>79.3</v>
      </c>
      <c r="AE140" s="6">
        <f>AD140*AL140</f>
        <v>1486.875</v>
      </c>
      <c r="AF140" s="6">
        <f>AE140*3.67</f>
        <v>5456.8312500000002</v>
      </c>
      <c r="AG140" s="6">
        <f t="shared" si="82"/>
        <v>291.03100000000001</v>
      </c>
      <c r="AH140" s="6">
        <f>AD140/0.47</f>
        <v>168.72340425531914</v>
      </c>
      <c r="AI140" s="6">
        <f>AH140*AL140</f>
        <v>3163.5638297872338</v>
      </c>
      <c r="AJ140" s="6">
        <f t="shared" ref="AJ140" si="87">AH140/1.24</f>
        <v>136.06726149622511</v>
      </c>
      <c r="AK140" s="6">
        <f t="shared" ref="AK140" si="88">AJ140*0.24</f>
        <v>32.656142759094024</v>
      </c>
      <c r="AL140" s="6">
        <v>18.75</v>
      </c>
    </row>
    <row r="141" spans="1:38" x14ac:dyDescent="0.25">
      <c r="A141" s="6">
        <v>140</v>
      </c>
      <c r="B141" s="5">
        <v>85</v>
      </c>
      <c r="C141" s="6" t="s">
        <v>408</v>
      </c>
      <c r="D141" s="6" t="s">
        <v>409</v>
      </c>
      <c r="E141" s="6" t="s">
        <v>22</v>
      </c>
      <c r="F141" s="6">
        <v>2025</v>
      </c>
      <c r="G141" s="6" t="s">
        <v>23</v>
      </c>
      <c r="H141" s="6" t="s">
        <v>39</v>
      </c>
      <c r="I141" s="6">
        <v>-3.5900949999999998</v>
      </c>
      <c r="J141" s="6">
        <v>114.590699</v>
      </c>
      <c r="K141" s="6" t="s">
        <v>410</v>
      </c>
      <c r="L141" s="7">
        <v>11578</v>
      </c>
      <c r="M141" s="6">
        <v>87.25</v>
      </c>
      <c r="N141" s="6" t="s">
        <v>26</v>
      </c>
      <c r="O141" s="6" t="s">
        <v>67</v>
      </c>
      <c r="P141" s="6" t="s">
        <v>102</v>
      </c>
      <c r="Q141" s="6">
        <v>2275</v>
      </c>
      <c r="R141" s="6">
        <v>26.5</v>
      </c>
      <c r="S141" s="6" t="s">
        <v>29</v>
      </c>
      <c r="T141" s="6" t="s">
        <v>30</v>
      </c>
      <c r="U141" s="6" t="s">
        <v>178</v>
      </c>
      <c r="V141" s="6" t="s">
        <v>378</v>
      </c>
      <c r="W141" s="6" t="s">
        <v>33</v>
      </c>
      <c r="X141" s="6" t="s">
        <v>34</v>
      </c>
      <c r="Y141" s="6" t="s">
        <v>47</v>
      </c>
      <c r="Z141" s="6" t="s">
        <v>36</v>
      </c>
      <c r="AA141" s="6" t="s">
        <v>36</v>
      </c>
      <c r="AB141" s="6" t="s">
        <v>36</v>
      </c>
      <c r="AC141" s="6" t="s">
        <v>36</v>
      </c>
      <c r="AD141" s="6">
        <f>(AJ141+AK141)*0.47</f>
        <v>31.892799999999998</v>
      </c>
      <c r="AE141" s="6" t="s">
        <v>36</v>
      </c>
      <c r="AF141" s="6" t="s">
        <v>36</v>
      </c>
      <c r="AG141" s="6">
        <f>AD141*3.67</f>
        <v>117.04657599999999</v>
      </c>
      <c r="AH141" s="6">
        <f>AJ141+AK141</f>
        <v>67.857021276595745</v>
      </c>
      <c r="AI141" s="6" t="s">
        <v>36</v>
      </c>
      <c r="AJ141" s="6">
        <f>25.72/0.47</f>
        <v>54.723404255319153</v>
      </c>
      <c r="AK141" s="6">
        <f t="shared" ref="AK141:AK142" si="89">AJ141*0.24</f>
        <v>13.133617021276596</v>
      </c>
      <c r="AL141" s="6" t="s">
        <v>36</v>
      </c>
    </row>
    <row r="142" spans="1:38" x14ac:dyDescent="0.25">
      <c r="A142" s="6">
        <v>141</v>
      </c>
      <c r="B142" s="5">
        <v>86</v>
      </c>
      <c r="C142" s="6" t="s">
        <v>411</v>
      </c>
      <c r="D142" s="6" t="s">
        <v>412</v>
      </c>
      <c r="E142" s="6" t="s">
        <v>22</v>
      </c>
      <c r="F142" s="6">
        <v>2025</v>
      </c>
      <c r="G142" s="6" t="s">
        <v>23</v>
      </c>
      <c r="H142" s="6" t="s">
        <v>24</v>
      </c>
      <c r="I142" s="6">
        <v>14.411318</v>
      </c>
      <c r="J142" s="12">
        <v>38.786552</v>
      </c>
      <c r="K142" s="6" t="s">
        <v>413</v>
      </c>
      <c r="L142" s="6">
        <v>7824</v>
      </c>
      <c r="M142" s="6">
        <v>139</v>
      </c>
      <c r="N142" s="6" t="s">
        <v>41</v>
      </c>
      <c r="O142" s="6" t="s">
        <v>150</v>
      </c>
      <c r="P142" s="6" t="s">
        <v>227</v>
      </c>
      <c r="Q142" s="6">
        <v>647</v>
      </c>
      <c r="R142" s="6">
        <v>25</v>
      </c>
      <c r="S142" s="6" t="s">
        <v>151</v>
      </c>
      <c r="T142" s="6" t="s">
        <v>45</v>
      </c>
      <c r="U142" s="6" t="s">
        <v>31</v>
      </c>
      <c r="V142" s="6" t="s">
        <v>378</v>
      </c>
      <c r="W142" s="6" t="s">
        <v>46</v>
      </c>
      <c r="X142" s="6" t="s">
        <v>34</v>
      </c>
      <c r="Y142" s="6" t="s">
        <v>35</v>
      </c>
      <c r="Z142" s="6" t="s">
        <v>36</v>
      </c>
      <c r="AA142" s="6" t="s">
        <v>36</v>
      </c>
      <c r="AB142" s="6" t="s">
        <v>36</v>
      </c>
      <c r="AC142" s="6" t="s">
        <v>36</v>
      </c>
      <c r="AD142" s="6">
        <f>(41.25 + 12.902 + 10.77)/3</f>
        <v>21.640666666666664</v>
      </c>
      <c r="AE142" s="6" t="s">
        <v>36</v>
      </c>
      <c r="AF142" s="6" t="s">
        <v>36</v>
      </c>
      <c r="AG142" s="6">
        <f t="shared" ref="AG142:AG143" si="90">AD142*3.67</f>
        <v>79.421246666666661</v>
      </c>
      <c r="AH142" s="6">
        <f>AD142/0.47</f>
        <v>46.043971631205672</v>
      </c>
      <c r="AI142" s="6" t="s">
        <v>36</v>
      </c>
      <c r="AJ142" s="6">
        <f t="shared" ref="AJ142" si="91">AH142/1.24</f>
        <v>37.132235186456185</v>
      </c>
      <c r="AK142" s="6">
        <f t="shared" si="89"/>
        <v>8.9117364447494847</v>
      </c>
      <c r="AL142" s="6" t="s">
        <v>36</v>
      </c>
    </row>
    <row r="143" spans="1:38" x14ac:dyDescent="0.25">
      <c r="A143" s="6">
        <v>142</v>
      </c>
      <c r="B143" s="5">
        <v>86</v>
      </c>
      <c r="C143" s="6" t="s">
        <v>411</v>
      </c>
      <c r="D143" s="6" t="s">
        <v>412</v>
      </c>
      <c r="E143" s="6" t="s">
        <v>22</v>
      </c>
      <c r="F143" s="6">
        <v>2025</v>
      </c>
      <c r="G143" s="6" t="s">
        <v>23</v>
      </c>
      <c r="H143" s="6" t="s">
        <v>24</v>
      </c>
      <c r="I143" s="6">
        <v>14.411318</v>
      </c>
      <c r="J143" s="12">
        <v>38.786552</v>
      </c>
      <c r="K143" s="6" t="s">
        <v>413</v>
      </c>
      <c r="L143" s="6">
        <v>7824</v>
      </c>
      <c r="M143" s="6">
        <v>139</v>
      </c>
      <c r="N143" s="6" t="s">
        <v>41</v>
      </c>
      <c r="O143" s="6" t="s">
        <v>150</v>
      </c>
      <c r="P143" s="6" t="s">
        <v>227</v>
      </c>
      <c r="Q143" s="6">
        <v>647</v>
      </c>
      <c r="R143" s="6">
        <v>25</v>
      </c>
      <c r="S143" s="6" t="s">
        <v>151</v>
      </c>
      <c r="T143" s="6" t="s">
        <v>133</v>
      </c>
      <c r="U143" s="6" t="s">
        <v>31</v>
      </c>
      <c r="V143" s="6" t="s">
        <v>378</v>
      </c>
      <c r="W143" s="6" t="s">
        <v>46</v>
      </c>
      <c r="X143" s="6" t="s">
        <v>34</v>
      </c>
      <c r="Y143" s="6" t="s">
        <v>35</v>
      </c>
      <c r="Z143" s="6" t="s">
        <v>36</v>
      </c>
      <c r="AA143" s="6" t="s">
        <v>36</v>
      </c>
      <c r="AB143" s="6" t="s">
        <v>36</v>
      </c>
      <c r="AC143" s="6" t="s">
        <v>36</v>
      </c>
      <c r="AD143" s="6">
        <v>7.12</v>
      </c>
      <c r="AE143" s="6" t="s">
        <v>36</v>
      </c>
      <c r="AF143" s="6" t="s">
        <v>36</v>
      </c>
      <c r="AG143" s="6">
        <f t="shared" si="90"/>
        <v>26.130400000000002</v>
      </c>
      <c r="AH143" s="6">
        <f t="shared" ref="AH143:AH147" si="92">AD143/0.47</f>
        <v>15.148936170212767</v>
      </c>
      <c r="AI143" s="6" t="s">
        <v>36</v>
      </c>
      <c r="AJ143" s="6">
        <f t="shared" ref="AJ143:AJ147" si="93">AH143/1.24</f>
        <v>12.216884008236104</v>
      </c>
      <c r="AK143" s="6">
        <f t="shared" ref="AK143:AK147" si="94">AJ143*0.24</f>
        <v>2.9320521619766646</v>
      </c>
      <c r="AL143" s="6" t="s">
        <v>36</v>
      </c>
    </row>
    <row r="144" spans="1:38" x14ac:dyDescent="0.25">
      <c r="A144" s="6">
        <v>143</v>
      </c>
      <c r="B144" s="5">
        <v>87</v>
      </c>
      <c r="C144" s="6" t="s">
        <v>414</v>
      </c>
      <c r="D144" s="6" t="s">
        <v>415</v>
      </c>
      <c r="E144" s="6" t="s">
        <v>22</v>
      </c>
      <c r="F144" s="6">
        <v>2025</v>
      </c>
      <c r="G144" s="6" t="s">
        <v>23</v>
      </c>
      <c r="H144" s="6" t="s">
        <v>24</v>
      </c>
      <c r="I144" s="6">
        <v>7.0451030000000001</v>
      </c>
      <c r="J144" s="6">
        <v>38.494920999999998</v>
      </c>
      <c r="K144" s="6" t="s">
        <v>389</v>
      </c>
      <c r="L144" s="6">
        <v>422200</v>
      </c>
      <c r="M144" s="6">
        <f>(L144/15961.3)/100</f>
        <v>0.26451479516079518</v>
      </c>
      <c r="N144" s="6" t="s">
        <v>41</v>
      </c>
      <c r="O144" s="6" t="s">
        <v>150</v>
      </c>
      <c r="P144" s="6" t="s">
        <v>96</v>
      </c>
      <c r="Q144" s="6">
        <v>1255</v>
      </c>
      <c r="R144" s="6">
        <v>20</v>
      </c>
      <c r="S144" s="6" t="s">
        <v>151</v>
      </c>
      <c r="T144" s="6" t="s">
        <v>45</v>
      </c>
      <c r="U144" s="6" t="s">
        <v>31</v>
      </c>
      <c r="V144" s="6" t="s">
        <v>407</v>
      </c>
      <c r="W144" s="6" t="s">
        <v>477</v>
      </c>
      <c r="X144" s="6" t="s">
        <v>34</v>
      </c>
      <c r="Y144" s="6" t="s">
        <v>35</v>
      </c>
      <c r="Z144" s="6">
        <f>(980.9+1763.5+214.2+636+264.2)/5</f>
        <v>771.76</v>
      </c>
      <c r="AA144" s="6">
        <f>((980.9/723)+(1763.5/1975)+(214.2/678)+(636/960)+(264.2/203))/(723+1975+678+960+203)</f>
        <v>9.9791288585587183E-4</v>
      </c>
      <c r="AB144" s="6">
        <f>Z144*3.67</f>
        <v>2832.3591999999999</v>
      </c>
      <c r="AC144" s="6">
        <f>AA144*3.67</f>
        <v>3.6623402910910497E-3</v>
      </c>
      <c r="AD144" s="6">
        <f>((24515.1/723)+(7666.6/1975)+(7492.9/678)+(5282.5/960)+(3847.2/203))/(723+1975+678+960+203)</f>
        <v>1.6147850825144208E-2</v>
      </c>
      <c r="AE144" s="6">
        <f>AD144*AL144</f>
        <v>14.659018979065911</v>
      </c>
      <c r="AF144" s="6">
        <f>AE144*3.67</f>
        <v>53.798599653171891</v>
      </c>
      <c r="AG144" s="6">
        <f>AD144*3.67</f>
        <v>5.9262612528279246E-2</v>
      </c>
      <c r="AH144" s="6">
        <f t="shared" si="92"/>
        <v>3.4357129415200444E-2</v>
      </c>
      <c r="AI144" s="6">
        <f t="shared" ref="AI143:AI147" si="95">AH144*AL144</f>
        <v>31.18940208311896</v>
      </c>
      <c r="AJ144" s="6">
        <f t="shared" si="93"/>
        <v>2.7707362431613262E-2</v>
      </c>
      <c r="AK144" s="6">
        <f t="shared" si="94"/>
        <v>6.6497669835871827E-3</v>
      </c>
      <c r="AL144" s="6">
        <f>(723+1975+678+960+203)/5</f>
        <v>907.8</v>
      </c>
    </row>
    <row r="145" spans="1:38" x14ac:dyDescent="0.25">
      <c r="A145" s="6">
        <v>144</v>
      </c>
      <c r="B145" s="5">
        <v>87</v>
      </c>
      <c r="C145" s="6" t="s">
        <v>414</v>
      </c>
      <c r="D145" s="6" t="s">
        <v>415</v>
      </c>
      <c r="E145" s="6" t="s">
        <v>22</v>
      </c>
      <c r="F145" s="6">
        <v>2025</v>
      </c>
      <c r="G145" s="6" t="s">
        <v>23</v>
      </c>
      <c r="H145" s="6" t="s">
        <v>24</v>
      </c>
      <c r="I145" s="6">
        <v>7.0451030000000001</v>
      </c>
      <c r="J145" s="6">
        <v>38.494920999999998</v>
      </c>
      <c r="K145" s="6" t="s">
        <v>389</v>
      </c>
      <c r="L145" s="6">
        <v>422200</v>
      </c>
      <c r="M145" s="6">
        <f t="shared" ref="M145:M147" si="96">(L145/15961.3)/100</f>
        <v>0.26451479516079518</v>
      </c>
      <c r="N145" s="6" t="s">
        <v>41</v>
      </c>
      <c r="O145" s="6" t="s">
        <v>150</v>
      </c>
      <c r="P145" s="6" t="s">
        <v>96</v>
      </c>
      <c r="Q145" s="6">
        <v>1255</v>
      </c>
      <c r="R145" s="6">
        <v>20</v>
      </c>
      <c r="S145" s="6" t="s">
        <v>151</v>
      </c>
      <c r="T145" s="6" t="s">
        <v>133</v>
      </c>
      <c r="U145" s="6" t="s">
        <v>31</v>
      </c>
      <c r="V145" s="6" t="s">
        <v>407</v>
      </c>
      <c r="W145" s="6" t="s">
        <v>477</v>
      </c>
      <c r="X145" s="6" t="s">
        <v>34</v>
      </c>
      <c r="Y145" s="6" t="s">
        <v>35</v>
      </c>
      <c r="Z145" s="6">
        <v>296.60000000000002</v>
      </c>
      <c r="AA145" s="6">
        <f>296.6/AL145</f>
        <v>1.5210256410256411</v>
      </c>
      <c r="AB145" s="6">
        <f t="shared" ref="AB145:AB151" si="97">Z145*3.67</f>
        <v>1088.5220000000002</v>
      </c>
      <c r="AC145" s="6">
        <f t="shared" ref="AC145:AC151" si="98">AA145*3.67</f>
        <v>5.5821641025641027</v>
      </c>
      <c r="AD145" s="6">
        <f>11839.7/AL145</f>
        <v>60.716410256410263</v>
      </c>
      <c r="AE145" s="6">
        <v>11839.7</v>
      </c>
      <c r="AF145" s="6">
        <f t="shared" ref="AF141:AF151" si="99">AE145*3.67</f>
        <v>43451.699000000001</v>
      </c>
      <c r="AG145" s="6">
        <f t="shared" ref="AG145:AG151" si="100">AD145*3.67</f>
        <v>222.82922564102566</v>
      </c>
      <c r="AH145" s="6">
        <f t="shared" si="92"/>
        <v>129.18385160938354</v>
      </c>
      <c r="AI145" s="6">
        <f t="shared" si="95"/>
        <v>25190.851063829788</v>
      </c>
      <c r="AJ145" s="6">
        <f t="shared" si="93"/>
        <v>104.18052549143833</v>
      </c>
      <c r="AK145" s="6">
        <f t="shared" si="94"/>
        <v>25.0033261179452</v>
      </c>
      <c r="AL145" s="6">
        <v>195</v>
      </c>
    </row>
    <row r="146" spans="1:38" x14ac:dyDescent="0.25">
      <c r="A146" s="6">
        <v>145</v>
      </c>
      <c r="B146" s="5">
        <v>87</v>
      </c>
      <c r="C146" s="6" t="s">
        <v>414</v>
      </c>
      <c r="D146" s="6" t="s">
        <v>415</v>
      </c>
      <c r="E146" s="6" t="s">
        <v>22</v>
      </c>
      <c r="F146" s="6">
        <v>2025</v>
      </c>
      <c r="G146" s="6" t="s">
        <v>23</v>
      </c>
      <c r="H146" s="6" t="s">
        <v>24</v>
      </c>
      <c r="I146" s="6">
        <v>7.0451030000000001</v>
      </c>
      <c r="J146" s="6">
        <v>38.494920999999998</v>
      </c>
      <c r="K146" s="6" t="s">
        <v>389</v>
      </c>
      <c r="L146" s="6">
        <v>422200</v>
      </c>
      <c r="M146" s="6">
        <f t="shared" si="96"/>
        <v>0.26451479516079518</v>
      </c>
      <c r="N146" s="6" t="s">
        <v>41</v>
      </c>
      <c r="O146" s="6" t="s">
        <v>150</v>
      </c>
      <c r="P146" s="6" t="s">
        <v>96</v>
      </c>
      <c r="Q146" s="6">
        <v>1255</v>
      </c>
      <c r="R146" s="6">
        <v>20</v>
      </c>
      <c r="S146" s="6" t="s">
        <v>151</v>
      </c>
      <c r="T146" s="6" t="s">
        <v>55</v>
      </c>
      <c r="U146" s="6" t="s">
        <v>31</v>
      </c>
      <c r="V146" s="6" t="s">
        <v>407</v>
      </c>
      <c r="W146" s="6" t="s">
        <v>477</v>
      </c>
      <c r="X146" s="6" t="s">
        <v>34</v>
      </c>
      <c r="Y146" s="6" t="s">
        <v>35</v>
      </c>
      <c r="Z146" s="6">
        <v>200</v>
      </c>
      <c r="AA146" s="6">
        <f>200/AL146</f>
        <v>0.67114093959731547</v>
      </c>
      <c r="AB146" s="6">
        <f t="shared" si="97"/>
        <v>734</v>
      </c>
      <c r="AC146" s="6">
        <f t="shared" si="98"/>
        <v>2.4630872483221475</v>
      </c>
      <c r="AD146" s="6">
        <f>931.1/AL146</f>
        <v>3.1244966442953022</v>
      </c>
      <c r="AE146" s="6">
        <v>931.1</v>
      </c>
      <c r="AF146" s="6">
        <f t="shared" si="99"/>
        <v>3417.1370000000002</v>
      </c>
      <c r="AG146" s="6">
        <f t="shared" si="100"/>
        <v>11.466902684563758</v>
      </c>
      <c r="AH146" s="6">
        <f t="shared" si="92"/>
        <v>6.6478652006283028</v>
      </c>
      <c r="AI146" s="6">
        <f t="shared" si="95"/>
        <v>1981.0638297872342</v>
      </c>
      <c r="AJ146" s="6">
        <f t="shared" si="93"/>
        <v>5.3611816134099213</v>
      </c>
      <c r="AK146" s="6">
        <f t="shared" si="94"/>
        <v>1.2866835872183811</v>
      </c>
      <c r="AL146" s="6">
        <v>298</v>
      </c>
    </row>
    <row r="147" spans="1:38" x14ac:dyDescent="0.25">
      <c r="A147" s="6">
        <v>146</v>
      </c>
      <c r="B147" s="5">
        <v>87</v>
      </c>
      <c r="C147" s="6" t="s">
        <v>414</v>
      </c>
      <c r="D147" s="6" t="s">
        <v>415</v>
      </c>
      <c r="E147" s="6" t="s">
        <v>22</v>
      </c>
      <c r="F147" s="6">
        <v>2025</v>
      </c>
      <c r="G147" s="6" t="s">
        <v>23</v>
      </c>
      <c r="H147" s="6" t="s">
        <v>24</v>
      </c>
      <c r="I147" s="6">
        <v>7.0451030000000001</v>
      </c>
      <c r="J147" s="6">
        <v>38.494920999999998</v>
      </c>
      <c r="K147" s="6" t="s">
        <v>389</v>
      </c>
      <c r="L147" s="6">
        <v>422200</v>
      </c>
      <c r="M147" s="6">
        <f t="shared" si="96"/>
        <v>0.26451479516079518</v>
      </c>
      <c r="N147" s="6" t="s">
        <v>41</v>
      </c>
      <c r="O147" s="6" t="s">
        <v>150</v>
      </c>
      <c r="P147" s="6" t="s">
        <v>96</v>
      </c>
      <c r="Q147" s="6">
        <v>1255</v>
      </c>
      <c r="R147" s="6">
        <v>20</v>
      </c>
      <c r="S147" s="6" t="s">
        <v>151</v>
      </c>
      <c r="T147" s="6" t="s">
        <v>174</v>
      </c>
      <c r="U147" s="6" t="s">
        <v>31</v>
      </c>
      <c r="V147" s="6" t="s">
        <v>407</v>
      </c>
      <c r="W147" s="6" t="s">
        <v>477</v>
      </c>
      <c r="X147" s="6" t="s">
        <v>34</v>
      </c>
      <c r="Y147" s="6" t="s">
        <v>35</v>
      </c>
      <c r="Z147" s="6">
        <v>258</v>
      </c>
      <c r="AA147" s="6">
        <f>258/AL147</f>
        <v>1.5542168674698795</v>
      </c>
      <c r="AB147" s="6">
        <f t="shared" si="97"/>
        <v>946.86</v>
      </c>
      <c r="AC147" s="6">
        <f t="shared" si="98"/>
        <v>5.7039759036144577</v>
      </c>
      <c r="AD147" s="6">
        <f>864.5/AL147</f>
        <v>5.2078313253012052</v>
      </c>
      <c r="AE147" s="6">
        <v>864.5</v>
      </c>
      <c r="AF147" s="6">
        <f t="shared" si="99"/>
        <v>3172.7150000000001</v>
      </c>
      <c r="AG147" s="6">
        <f t="shared" si="100"/>
        <v>19.112740963855423</v>
      </c>
      <c r="AH147" s="6">
        <f>AD147/0.47</f>
        <v>11.080492181491927</v>
      </c>
      <c r="AI147" s="6">
        <f t="shared" si="95"/>
        <v>1839.3617021276598</v>
      </c>
      <c r="AJ147" s="6">
        <f t="shared" si="93"/>
        <v>8.9358807915257472</v>
      </c>
      <c r="AK147" s="6">
        <f t="shared" si="94"/>
        <v>2.1446113899661792</v>
      </c>
      <c r="AL147" s="6">
        <v>166</v>
      </c>
    </row>
    <row r="148" spans="1:38" x14ac:dyDescent="0.25">
      <c r="A148" s="6">
        <v>147</v>
      </c>
      <c r="B148" s="5">
        <v>88</v>
      </c>
      <c r="C148" s="6" t="s">
        <v>416</v>
      </c>
      <c r="D148" s="6" t="s">
        <v>417</v>
      </c>
      <c r="E148" s="6" t="s">
        <v>22</v>
      </c>
      <c r="F148" s="6">
        <v>2025</v>
      </c>
      <c r="G148" s="6" t="s">
        <v>50</v>
      </c>
      <c r="H148" s="6" t="s">
        <v>39</v>
      </c>
      <c r="I148" s="6">
        <v>-22.963483</v>
      </c>
      <c r="J148" s="6">
        <v>-43.287148000000002</v>
      </c>
      <c r="K148" s="6" t="s">
        <v>418</v>
      </c>
      <c r="L148" s="6">
        <v>6211223</v>
      </c>
      <c r="M148" s="6">
        <v>5174.6000000000004</v>
      </c>
      <c r="N148" s="6" t="s">
        <v>72</v>
      </c>
      <c r="O148" s="6" t="s">
        <v>73</v>
      </c>
      <c r="P148" s="6" t="s">
        <v>102</v>
      </c>
      <c r="Q148" s="6">
        <v>1200</v>
      </c>
      <c r="R148" s="6">
        <v>29</v>
      </c>
      <c r="S148" s="6" t="s">
        <v>54</v>
      </c>
      <c r="T148" s="6" t="s">
        <v>55</v>
      </c>
      <c r="U148" s="6" t="s">
        <v>31</v>
      </c>
      <c r="V148" s="6" t="s">
        <v>419</v>
      </c>
      <c r="W148" s="6" t="s">
        <v>36</v>
      </c>
      <c r="X148" s="6" t="s">
        <v>173</v>
      </c>
      <c r="Y148" s="6" t="s">
        <v>35</v>
      </c>
      <c r="Z148" s="6" t="s">
        <v>36</v>
      </c>
      <c r="AA148" s="6">
        <f>8.5/3.65</f>
        <v>2.3287671232876712</v>
      </c>
      <c r="AB148" s="6" t="s">
        <v>36</v>
      </c>
      <c r="AC148" s="6">
        <f t="shared" si="98"/>
        <v>8.5465753424657525</v>
      </c>
      <c r="AD148" s="6" t="s">
        <v>36</v>
      </c>
      <c r="AE148" s="6" t="s">
        <v>36</v>
      </c>
      <c r="AF148" s="6" t="s">
        <v>36</v>
      </c>
      <c r="AG148" s="6" t="s">
        <v>36</v>
      </c>
      <c r="AH148" s="6" t="s">
        <v>36</v>
      </c>
      <c r="AI148" s="6" t="s">
        <v>36</v>
      </c>
      <c r="AJ148" s="6" t="s">
        <v>36</v>
      </c>
      <c r="AK148" s="6" t="s">
        <v>36</v>
      </c>
      <c r="AL148" s="6" t="s">
        <v>36</v>
      </c>
    </row>
    <row r="149" spans="1:38" x14ac:dyDescent="0.25">
      <c r="A149" s="6">
        <v>148</v>
      </c>
      <c r="B149" s="5">
        <v>88</v>
      </c>
      <c r="C149" s="6" t="s">
        <v>416</v>
      </c>
      <c r="D149" s="6" t="s">
        <v>417</v>
      </c>
      <c r="E149" s="6" t="s">
        <v>22</v>
      </c>
      <c r="F149" s="6">
        <v>2025</v>
      </c>
      <c r="G149" s="6" t="s">
        <v>50</v>
      </c>
      <c r="H149" s="6" t="s">
        <v>39</v>
      </c>
      <c r="I149" s="6">
        <v>-22.887588000000001</v>
      </c>
      <c r="J149" s="6">
        <v>-42.669089</v>
      </c>
      <c r="K149" s="6" t="s">
        <v>420</v>
      </c>
      <c r="L149" s="6">
        <v>89559</v>
      </c>
      <c r="M149" s="6">
        <v>254.34</v>
      </c>
      <c r="N149" s="6" t="s">
        <v>72</v>
      </c>
      <c r="O149" s="6" t="s">
        <v>73</v>
      </c>
      <c r="P149" s="6" t="s">
        <v>102</v>
      </c>
      <c r="Q149" s="6">
        <v>1200</v>
      </c>
      <c r="R149" s="6">
        <v>29</v>
      </c>
      <c r="S149" s="6" t="s">
        <v>54</v>
      </c>
      <c r="T149" s="6" t="s">
        <v>55</v>
      </c>
      <c r="U149" s="6" t="s">
        <v>178</v>
      </c>
      <c r="V149" s="6" t="s">
        <v>419</v>
      </c>
      <c r="W149" s="6" t="s">
        <v>36</v>
      </c>
      <c r="X149" s="6" t="s">
        <v>173</v>
      </c>
      <c r="Y149" s="6" t="s">
        <v>35</v>
      </c>
      <c r="Z149" s="6" t="s">
        <v>36</v>
      </c>
      <c r="AA149" s="6">
        <f>8.4/3.65</f>
        <v>2.3013698630136989</v>
      </c>
      <c r="AB149" s="6" t="s">
        <v>36</v>
      </c>
      <c r="AC149" s="6">
        <f t="shared" si="98"/>
        <v>8.4460273972602753</v>
      </c>
      <c r="AD149" s="6" t="s">
        <v>36</v>
      </c>
      <c r="AE149" s="6" t="s">
        <v>36</v>
      </c>
      <c r="AF149" s="6" t="s">
        <v>36</v>
      </c>
      <c r="AG149" s="6" t="s">
        <v>36</v>
      </c>
      <c r="AH149" s="6" t="s">
        <v>36</v>
      </c>
      <c r="AI149" s="6" t="s">
        <v>36</v>
      </c>
      <c r="AJ149" s="6" t="s">
        <v>36</v>
      </c>
      <c r="AK149" s="6" t="s">
        <v>36</v>
      </c>
      <c r="AL149" s="6" t="s">
        <v>36</v>
      </c>
    </row>
    <row r="150" spans="1:38" x14ac:dyDescent="0.25">
      <c r="A150" s="6">
        <v>149</v>
      </c>
      <c r="B150" s="5">
        <v>89</v>
      </c>
      <c r="C150" s="6" t="s">
        <v>421</v>
      </c>
      <c r="D150" s="6" t="s">
        <v>422</v>
      </c>
      <c r="E150" s="6" t="s">
        <v>22</v>
      </c>
      <c r="F150" s="6">
        <v>2025</v>
      </c>
      <c r="G150" s="6" t="s">
        <v>50</v>
      </c>
      <c r="H150" s="6" t="s">
        <v>39</v>
      </c>
      <c r="I150" s="6">
        <v>-7.0018019999999996</v>
      </c>
      <c r="J150" s="6">
        <v>110.430584</v>
      </c>
      <c r="K150" s="6" t="s">
        <v>423</v>
      </c>
      <c r="L150" s="6">
        <v>1053094</v>
      </c>
      <c r="M150" s="6">
        <v>1108</v>
      </c>
      <c r="N150" s="6" t="s">
        <v>26</v>
      </c>
      <c r="O150" s="6" t="s">
        <v>67</v>
      </c>
      <c r="P150" s="6" t="s">
        <v>102</v>
      </c>
      <c r="Q150" s="6">
        <v>2495</v>
      </c>
      <c r="R150" s="6">
        <v>25.8</v>
      </c>
      <c r="S150" s="6" t="s">
        <v>54</v>
      </c>
      <c r="T150" s="6" t="s">
        <v>174</v>
      </c>
      <c r="U150" s="6" t="s">
        <v>56</v>
      </c>
      <c r="V150" s="6" t="s">
        <v>424</v>
      </c>
      <c r="W150" s="6" t="s">
        <v>36</v>
      </c>
      <c r="X150" s="6" t="s">
        <v>173</v>
      </c>
      <c r="Y150" s="6" t="s">
        <v>35</v>
      </c>
      <c r="Z150" s="6">
        <f>(174500-96000)/20</f>
        <v>3925</v>
      </c>
      <c r="AA150" s="6">
        <f>((174500/43650.65) - (96000/24009.19))/20</f>
        <v>-4.0970003601170647E-5</v>
      </c>
      <c r="AB150" s="6">
        <f t="shared" si="97"/>
        <v>14404.75</v>
      </c>
      <c r="AC150" s="6">
        <f t="shared" si="98"/>
        <v>-1.5035991321629629E-4</v>
      </c>
      <c r="AD150" s="6">
        <f>((2023*(174500/43650.65))+(2003*(96000/24009.19)))/(2003+2023)</f>
        <v>3.9980571843026023</v>
      </c>
      <c r="AE150" s="6">
        <f>((2003*96000)+(2023*174500))/(2003+2023)</f>
        <v>135444.9826130154</v>
      </c>
      <c r="AF150" s="6">
        <f t="shared" si="99"/>
        <v>497083.08618976647</v>
      </c>
      <c r="AG150" s="6">
        <f t="shared" si="100"/>
        <v>14.672869866390551</v>
      </c>
      <c r="AH150" s="6">
        <f>AD150/0.47</f>
        <v>8.5065046474523456</v>
      </c>
      <c r="AI150" s="6">
        <f t="shared" ref="AI150" si="101">AH150*AL150</f>
        <v>288189.37461097079</v>
      </c>
      <c r="AJ150" s="6">
        <f t="shared" ref="AJ150" si="102">AH150/1.24</f>
        <v>6.8600843931067308</v>
      </c>
      <c r="AK150" s="6">
        <f t="shared" ref="AK150" si="103">AJ150*0.24</f>
        <v>1.6464202543456152</v>
      </c>
      <c r="AL150" s="6">
        <f>((2003*24009.19) + (2023*43650.65))/(2003+2023)</f>
        <v>33878.706537506216</v>
      </c>
    </row>
    <row r="151" spans="1:38" x14ac:dyDescent="0.25">
      <c r="A151" s="6">
        <v>150</v>
      </c>
      <c r="B151" s="5">
        <v>89</v>
      </c>
      <c r="C151" s="6" t="s">
        <v>421</v>
      </c>
      <c r="D151" s="6" t="s">
        <v>422</v>
      </c>
      <c r="E151" s="6" t="s">
        <v>22</v>
      </c>
      <c r="F151" s="6">
        <v>2025</v>
      </c>
      <c r="G151" s="6" t="s">
        <v>50</v>
      </c>
      <c r="H151" s="6" t="s">
        <v>39</v>
      </c>
      <c r="I151" s="6">
        <v>-7.0018019999999996</v>
      </c>
      <c r="J151" s="6">
        <v>110.430584</v>
      </c>
      <c r="K151" s="6" t="s">
        <v>423</v>
      </c>
      <c r="L151" s="6">
        <v>1053094</v>
      </c>
      <c r="M151" s="6">
        <v>1108</v>
      </c>
      <c r="N151" s="6" t="s">
        <v>26</v>
      </c>
      <c r="O151" s="6" t="s">
        <v>67</v>
      </c>
      <c r="P151" s="6" t="s">
        <v>102</v>
      </c>
      <c r="Q151" s="6">
        <v>2495</v>
      </c>
      <c r="R151" s="6">
        <v>25.8</v>
      </c>
      <c r="S151" s="6" t="s">
        <v>54</v>
      </c>
      <c r="T151" s="6" t="s">
        <v>55</v>
      </c>
      <c r="U151" s="6" t="s">
        <v>56</v>
      </c>
      <c r="V151" s="6" t="s">
        <v>424</v>
      </c>
      <c r="W151" s="6" t="s">
        <v>36</v>
      </c>
      <c r="X151" s="6" t="s">
        <v>173</v>
      </c>
      <c r="Y151" s="6" t="s">
        <v>35</v>
      </c>
      <c r="Z151" s="6">
        <f>(180400-441300)/20</f>
        <v>-13045</v>
      </c>
      <c r="AA151" s="6">
        <f>((180400/12887.19) - (441300/31518.67))/20</f>
        <v>-1.4142239273153833E-4</v>
      </c>
      <c r="AB151" s="6">
        <f t="shared" si="97"/>
        <v>-47875.15</v>
      </c>
      <c r="AC151" s="6">
        <f t="shared" si="98"/>
        <v>-5.1902018132474572E-4</v>
      </c>
      <c r="AD151" s="6">
        <f>((2023*(180400/12887.19))+(2003*(441300/31518.67)))/(2003+2023)</f>
        <v>13.999804056127903</v>
      </c>
      <c r="AE151" s="6">
        <f>((2003*441300)+(2023*180400))/(2003+2023)</f>
        <v>310201.96224540489</v>
      </c>
      <c r="AF151" s="6">
        <f>AE151*3.67</f>
        <v>1138441.2014406358</v>
      </c>
      <c r="AG151" s="6">
        <f t="shared" si="100"/>
        <v>51.379280885989402</v>
      </c>
      <c r="AH151" s="6">
        <f>AD151/0.47</f>
        <v>29.786817140697668</v>
      </c>
      <c r="AI151" s="6">
        <f t="shared" ref="AI151" si="104">AH151*AL151</f>
        <v>659976.14474067965</v>
      </c>
      <c r="AJ151" s="6">
        <f t="shared" ref="AJ151" si="105">AH151/1.24</f>
        <v>24.021626726369089</v>
      </c>
      <c r="AK151" s="6">
        <f t="shared" ref="AK151" si="106">AJ151*0.24</f>
        <v>5.7651904143285808</v>
      </c>
      <c r="AL151" s="6">
        <f>((2003*31518.67) + (2023*12887.19))/(2003+2023)</f>
        <v>22156.652106308989</v>
      </c>
    </row>
    <row r="152" spans="1:38" x14ac:dyDescent="0.25">
      <c r="A152" s="6">
        <v>151</v>
      </c>
      <c r="B152" s="5">
        <v>90</v>
      </c>
      <c r="C152" s="6" t="s">
        <v>425</v>
      </c>
      <c r="D152" s="6" t="s">
        <v>426</v>
      </c>
      <c r="E152" s="6" t="s">
        <v>22</v>
      </c>
      <c r="F152" s="6">
        <v>2025</v>
      </c>
      <c r="G152" s="6" t="s">
        <v>23</v>
      </c>
      <c r="H152" s="6" t="s">
        <v>24</v>
      </c>
      <c r="I152" s="6">
        <v>14.599494999999999</v>
      </c>
      <c r="J152" s="6">
        <v>120.98826699999999</v>
      </c>
      <c r="K152" s="6" t="s">
        <v>427</v>
      </c>
      <c r="L152" s="7">
        <v>465000</v>
      </c>
      <c r="M152" s="6">
        <f>465000/7.63</f>
        <v>60943.64351245085</v>
      </c>
      <c r="N152" s="6" t="s">
        <v>26</v>
      </c>
      <c r="O152" s="6" t="s">
        <v>157</v>
      </c>
      <c r="P152" s="6" t="s">
        <v>28</v>
      </c>
      <c r="Q152" s="6">
        <v>1666</v>
      </c>
      <c r="R152" s="6">
        <v>26.6</v>
      </c>
      <c r="S152" s="6" t="s">
        <v>54</v>
      </c>
      <c r="T152" s="6" t="s">
        <v>45</v>
      </c>
      <c r="U152" s="6" t="s">
        <v>31</v>
      </c>
      <c r="V152" s="6" t="s">
        <v>428</v>
      </c>
      <c r="W152" s="6" t="s">
        <v>429</v>
      </c>
      <c r="X152" s="6" t="s">
        <v>34</v>
      </c>
      <c r="Y152" s="6" t="s">
        <v>35</v>
      </c>
      <c r="Z152" s="6">
        <f>AA152*AL152</f>
        <v>82.925833787465947</v>
      </c>
      <c r="AA152" s="6">
        <f>AC152/3.67</f>
        <v>0.10868392370572208</v>
      </c>
      <c r="AB152" s="6">
        <f>AC152*AL152</f>
        <v>304.33780999999999</v>
      </c>
      <c r="AC152" s="6">
        <f>398.87/1000</f>
        <v>0.39887</v>
      </c>
      <c r="AD152" s="6" t="s">
        <v>36</v>
      </c>
      <c r="AE152" s="6" t="s">
        <v>36</v>
      </c>
      <c r="AF152" s="6" t="s">
        <v>36</v>
      </c>
      <c r="AG152" s="6" t="s">
        <v>36</v>
      </c>
      <c r="AH152" s="6" t="s">
        <v>36</v>
      </c>
      <c r="AI152" s="6" t="s">
        <v>36</v>
      </c>
      <c r="AJ152" s="6" t="s">
        <v>36</v>
      </c>
      <c r="AK152" s="6" t="s">
        <v>36</v>
      </c>
      <c r="AL152" s="6">
        <v>763</v>
      </c>
    </row>
    <row r="153" spans="1:38" x14ac:dyDescent="0.25">
      <c r="A153" s="6">
        <v>152</v>
      </c>
      <c r="B153" s="5">
        <v>90</v>
      </c>
      <c r="C153" s="6" t="s">
        <v>425</v>
      </c>
      <c r="D153" s="6" t="s">
        <v>426</v>
      </c>
      <c r="E153" s="6" t="s">
        <v>22</v>
      </c>
      <c r="F153" s="6">
        <v>2025</v>
      </c>
      <c r="G153" s="6" t="s">
        <v>23</v>
      </c>
      <c r="H153" s="6" t="s">
        <v>24</v>
      </c>
      <c r="I153" s="6">
        <v>14.599494999999999</v>
      </c>
      <c r="J153" s="6">
        <v>120.98826699999999</v>
      </c>
      <c r="K153" s="6" t="s">
        <v>427</v>
      </c>
      <c r="L153" s="7">
        <v>220000</v>
      </c>
      <c r="M153" s="6">
        <f>220000/4.09</f>
        <v>53789.731051344745</v>
      </c>
      <c r="N153" s="6" t="s">
        <v>26</v>
      </c>
      <c r="O153" s="6" t="s">
        <v>157</v>
      </c>
      <c r="P153" s="6" t="s">
        <v>28</v>
      </c>
      <c r="Q153" s="6">
        <v>1666</v>
      </c>
      <c r="R153" s="6">
        <v>26.6</v>
      </c>
      <c r="S153" s="6" t="s">
        <v>54</v>
      </c>
      <c r="T153" s="6" t="s">
        <v>45</v>
      </c>
      <c r="U153" s="6" t="s">
        <v>31</v>
      </c>
      <c r="V153" s="6" t="s">
        <v>428</v>
      </c>
      <c r="W153" s="6" t="s">
        <v>429</v>
      </c>
      <c r="X153" s="6" t="s">
        <v>34</v>
      </c>
      <c r="Y153" s="6" t="s">
        <v>35</v>
      </c>
      <c r="Z153" s="6">
        <f t="shared" ref="Z153:Z160" si="107">AA153*AL153</f>
        <v>50.551062670299729</v>
      </c>
      <c r="AA153" s="6">
        <f t="shared" ref="AA153:AA157" si="108">AC153/3.67</f>
        <v>0.12359673024523161</v>
      </c>
      <c r="AB153" s="6">
        <f t="shared" ref="AB153:AB157" si="109">AC153*AL153</f>
        <v>185.5224</v>
      </c>
      <c r="AC153" s="6">
        <f>453.6/1000</f>
        <v>0.4536</v>
      </c>
      <c r="AD153" s="6" t="s">
        <v>36</v>
      </c>
      <c r="AE153" s="6" t="s">
        <v>36</v>
      </c>
      <c r="AF153" s="6" t="s">
        <v>36</v>
      </c>
      <c r="AG153" s="6" t="s">
        <v>36</v>
      </c>
      <c r="AH153" s="6" t="s">
        <v>36</v>
      </c>
      <c r="AI153" s="6" t="s">
        <v>36</v>
      </c>
      <c r="AJ153" s="6" t="s">
        <v>36</v>
      </c>
      <c r="AK153" s="6" t="s">
        <v>36</v>
      </c>
      <c r="AL153" s="6">
        <v>409</v>
      </c>
    </row>
    <row r="154" spans="1:38" x14ac:dyDescent="0.25">
      <c r="A154" s="6">
        <v>153</v>
      </c>
      <c r="B154" s="5">
        <v>90</v>
      </c>
      <c r="C154" s="6" t="s">
        <v>425</v>
      </c>
      <c r="D154" s="6" t="s">
        <v>426</v>
      </c>
      <c r="E154" s="6" t="s">
        <v>22</v>
      </c>
      <c r="F154" s="6">
        <v>2025</v>
      </c>
      <c r="G154" s="6" t="s">
        <v>23</v>
      </c>
      <c r="H154" s="6" t="s">
        <v>24</v>
      </c>
      <c r="I154" s="6">
        <v>14.599494999999999</v>
      </c>
      <c r="J154" s="6">
        <v>120.98826699999999</v>
      </c>
      <c r="K154" s="6" t="s">
        <v>427</v>
      </c>
      <c r="L154" s="7">
        <v>300000</v>
      </c>
      <c r="M154" s="6">
        <f>300000/6.89</f>
        <v>43541.364296081279</v>
      </c>
      <c r="N154" s="6" t="s">
        <v>26</v>
      </c>
      <c r="O154" s="6" t="s">
        <v>157</v>
      </c>
      <c r="P154" s="6" t="s">
        <v>28</v>
      </c>
      <c r="Q154" s="6">
        <v>1666</v>
      </c>
      <c r="R154" s="6">
        <v>26.6</v>
      </c>
      <c r="S154" s="6" t="s">
        <v>54</v>
      </c>
      <c r="T154" s="6" t="s">
        <v>45</v>
      </c>
      <c r="U154" s="6" t="s">
        <v>31</v>
      </c>
      <c r="V154" s="6" t="s">
        <v>428</v>
      </c>
      <c r="W154" s="6" t="s">
        <v>429</v>
      </c>
      <c r="X154" s="6" t="s">
        <v>34</v>
      </c>
      <c r="Y154" s="6" t="s">
        <v>35</v>
      </c>
      <c r="Z154" s="6">
        <f t="shared" si="107"/>
        <v>143.88835694822887</v>
      </c>
      <c r="AA154" s="6">
        <f t="shared" si="108"/>
        <v>0.20883651226158037</v>
      </c>
      <c r="AB154" s="6">
        <f t="shared" si="109"/>
        <v>528.07026999999994</v>
      </c>
      <c r="AC154" s="6">
        <f>766.43/1000</f>
        <v>0.76642999999999994</v>
      </c>
      <c r="AD154" s="6" t="s">
        <v>36</v>
      </c>
      <c r="AE154" s="6" t="s">
        <v>36</v>
      </c>
      <c r="AF154" s="6" t="s">
        <v>36</v>
      </c>
      <c r="AG154" s="6" t="s">
        <v>36</v>
      </c>
      <c r="AH154" s="6" t="s">
        <v>36</v>
      </c>
      <c r="AI154" s="6" t="s">
        <v>36</v>
      </c>
      <c r="AJ154" s="6" t="s">
        <v>36</v>
      </c>
      <c r="AK154" s="6" t="s">
        <v>36</v>
      </c>
      <c r="AL154" s="6">
        <v>689</v>
      </c>
    </row>
    <row r="155" spans="1:38" x14ac:dyDescent="0.25">
      <c r="A155" s="6">
        <v>154</v>
      </c>
      <c r="B155" s="5">
        <v>90</v>
      </c>
      <c r="C155" s="6" t="s">
        <v>425</v>
      </c>
      <c r="D155" s="6" t="s">
        <v>426</v>
      </c>
      <c r="E155" s="6" t="s">
        <v>22</v>
      </c>
      <c r="F155" s="6">
        <v>2025</v>
      </c>
      <c r="G155" s="6" t="s">
        <v>23</v>
      </c>
      <c r="H155" s="6" t="s">
        <v>24</v>
      </c>
      <c r="I155" s="6">
        <v>14.599494999999999</v>
      </c>
      <c r="J155" s="6">
        <v>120.98826699999999</v>
      </c>
      <c r="K155" s="6" t="s">
        <v>427</v>
      </c>
      <c r="L155" s="7">
        <v>300000</v>
      </c>
      <c r="M155" s="6">
        <f>300000/5.5</f>
        <v>54545.454545454544</v>
      </c>
      <c r="N155" s="6" t="s">
        <v>26</v>
      </c>
      <c r="O155" s="6" t="s">
        <v>157</v>
      </c>
      <c r="P155" s="6" t="s">
        <v>28</v>
      </c>
      <c r="Q155" s="6">
        <v>1666</v>
      </c>
      <c r="R155" s="6">
        <v>26.6</v>
      </c>
      <c r="S155" s="6" t="s">
        <v>54</v>
      </c>
      <c r="T155" s="6" t="s">
        <v>45</v>
      </c>
      <c r="U155" s="6" t="s">
        <v>31</v>
      </c>
      <c r="V155" s="6" t="s">
        <v>428</v>
      </c>
      <c r="W155" s="6" t="s">
        <v>429</v>
      </c>
      <c r="X155" s="6" t="s">
        <v>34</v>
      </c>
      <c r="Y155" s="6" t="s">
        <v>35</v>
      </c>
      <c r="Z155" s="6">
        <f t="shared" si="107"/>
        <v>86.347002724795644</v>
      </c>
      <c r="AA155" s="6">
        <f t="shared" si="108"/>
        <v>0.15699455040871935</v>
      </c>
      <c r="AB155" s="6">
        <f t="shared" si="109"/>
        <v>316.89349999999996</v>
      </c>
      <c r="AC155" s="6">
        <f>576.17/1000</f>
        <v>0.57616999999999996</v>
      </c>
      <c r="AD155" s="6" t="s">
        <v>36</v>
      </c>
      <c r="AE155" s="6" t="s">
        <v>36</v>
      </c>
      <c r="AF155" s="6" t="s">
        <v>36</v>
      </c>
      <c r="AG155" s="6" t="s">
        <v>36</v>
      </c>
      <c r="AH155" s="6" t="s">
        <v>36</v>
      </c>
      <c r="AI155" s="6" t="s">
        <v>36</v>
      </c>
      <c r="AJ155" s="6" t="s">
        <v>36</v>
      </c>
      <c r="AK155" s="6" t="s">
        <v>36</v>
      </c>
      <c r="AL155" s="6">
        <v>550</v>
      </c>
    </row>
    <row r="156" spans="1:38" x14ac:dyDescent="0.25">
      <c r="A156" s="6">
        <v>155</v>
      </c>
      <c r="B156" s="5">
        <v>90</v>
      </c>
      <c r="C156" s="6" t="s">
        <v>425</v>
      </c>
      <c r="D156" s="6" t="s">
        <v>426</v>
      </c>
      <c r="E156" s="6" t="s">
        <v>22</v>
      </c>
      <c r="F156" s="6">
        <v>2025</v>
      </c>
      <c r="G156" s="6" t="s">
        <v>23</v>
      </c>
      <c r="H156" s="6" t="s">
        <v>24</v>
      </c>
      <c r="I156" s="6">
        <v>14.599494999999999</v>
      </c>
      <c r="J156" s="6">
        <v>120.98826699999999</v>
      </c>
      <c r="K156" s="6" t="s">
        <v>427</v>
      </c>
      <c r="L156" s="7">
        <v>260000</v>
      </c>
      <c r="M156" s="6">
        <f>260000/11.38</f>
        <v>22847.100175746924</v>
      </c>
      <c r="N156" s="6" t="s">
        <v>26</v>
      </c>
      <c r="O156" s="6" t="s">
        <v>157</v>
      </c>
      <c r="P156" s="6" t="s">
        <v>28</v>
      </c>
      <c r="Q156" s="6">
        <v>1666</v>
      </c>
      <c r="R156" s="6">
        <v>26.6</v>
      </c>
      <c r="S156" s="6" t="s">
        <v>54</v>
      </c>
      <c r="T156" s="6" t="s">
        <v>45</v>
      </c>
      <c r="U156" s="6" t="s">
        <v>31</v>
      </c>
      <c r="V156" s="6" t="s">
        <v>428</v>
      </c>
      <c r="W156" s="6" t="s">
        <v>429</v>
      </c>
      <c r="X156" s="6" t="s">
        <v>34</v>
      </c>
      <c r="Y156" s="6" t="s">
        <v>35</v>
      </c>
      <c r="Z156" s="6">
        <f t="shared" si="107"/>
        <v>330.59985286103546</v>
      </c>
      <c r="AA156" s="6">
        <f t="shared" si="108"/>
        <v>0.29050953678474117</v>
      </c>
      <c r="AB156" s="6">
        <f t="shared" si="109"/>
        <v>1213.3014600000001</v>
      </c>
      <c r="AC156" s="6">
        <f>1066.17/1000</f>
        <v>1.0661700000000001</v>
      </c>
      <c r="AD156" s="6" t="s">
        <v>36</v>
      </c>
      <c r="AE156" s="6" t="s">
        <v>36</v>
      </c>
      <c r="AF156" s="6" t="s">
        <v>36</v>
      </c>
      <c r="AG156" s="6" t="s">
        <v>36</v>
      </c>
      <c r="AH156" s="6" t="s">
        <v>36</v>
      </c>
      <c r="AI156" s="6" t="s">
        <v>36</v>
      </c>
      <c r="AJ156" s="6" t="s">
        <v>36</v>
      </c>
      <c r="AK156" s="6" t="s">
        <v>36</v>
      </c>
      <c r="AL156" s="6">
        <v>1138</v>
      </c>
    </row>
    <row r="157" spans="1:38" x14ac:dyDescent="0.25">
      <c r="A157" s="6">
        <v>156</v>
      </c>
      <c r="B157" s="5">
        <v>90</v>
      </c>
      <c r="C157" s="6" t="s">
        <v>425</v>
      </c>
      <c r="D157" s="6" t="s">
        <v>426</v>
      </c>
      <c r="E157" s="6" t="s">
        <v>22</v>
      </c>
      <c r="F157" s="6">
        <v>2025</v>
      </c>
      <c r="G157" s="6" t="s">
        <v>23</v>
      </c>
      <c r="H157" s="6" t="s">
        <v>24</v>
      </c>
      <c r="I157" s="6">
        <v>14.599494999999999</v>
      </c>
      <c r="J157" s="6">
        <v>120.98826699999999</v>
      </c>
      <c r="K157" s="6" t="s">
        <v>427</v>
      </c>
      <c r="L157" s="7">
        <v>240000</v>
      </c>
      <c r="M157" s="6">
        <f>240000/9.84</f>
        <v>24390.243902439026</v>
      </c>
      <c r="N157" s="6" t="s">
        <v>26</v>
      </c>
      <c r="O157" s="6" t="s">
        <v>157</v>
      </c>
      <c r="P157" s="6" t="s">
        <v>28</v>
      </c>
      <c r="Q157" s="6">
        <v>1666</v>
      </c>
      <c r="R157" s="6">
        <v>26.6</v>
      </c>
      <c r="S157" s="6" t="s">
        <v>54</v>
      </c>
      <c r="T157" s="6" t="s">
        <v>45</v>
      </c>
      <c r="U157" s="6" t="s">
        <v>31</v>
      </c>
      <c r="V157" s="6" t="s">
        <v>428</v>
      </c>
      <c r="W157" s="6" t="s">
        <v>429</v>
      </c>
      <c r="X157" s="6" t="s">
        <v>34</v>
      </c>
      <c r="Y157" s="6" t="s">
        <v>35</v>
      </c>
      <c r="Z157" s="6">
        <f t="shared" si="107"/>
        <v>241.55725340599452</v>
      </c>
      <c r="AA157" s="6">
        <f t="shared" si="108"/>
        <v>0.24548501362397818</v>
      </c>
      <c r="AB157" s="6">
        <f t="shared" si="109"/>
        <v>886.51511999999991</v>
      </c>
      <c r="AC157" s="6">
        <f>900.93/1000</f>
        <v>0.9009299999999999</v>
      </c>
      <c r="AD157" s="6" t="s">
        <v>36</v>
      </c>
      <c r="AE157" s="6" t="s">
        <v>36</v>
      </c>
      <c r="AF157" s="6" t="s">
        <v>36</v>
      </c>
      <c r="AG157" s="6" t="s">
        <v>36</v>
      </c>
      <c r="AH157" s="6" t="s">
        <v>36</v>
      </c>
      <c r="AI157" s="6" t="s">
        <v>36</v>
      </c>
      <c r="AJ157" s="6" t="s">
        <v>36</v>
      </c>
      <c r="AK157" s="6" t="s">
        <v>36</v>
      </c>
      <c r="AL157" s="6">
        <v>984</v>
      </c>
    </row>
    <row r="158" spans="1:38" x14ac:dyDescent="0.25">
      <c r="A158" s="6">
        <v>157</v>
      </c>
      <c r="B158" s="5">
        <v>91</v>
      </c>
      <c r="C158" s="6" t="s">
        <v>430</v>
      </c>
      <c r="D158" s="6" t="s">
        <v>431</v>
      </c>
      <c r="E158" s="6" t="s">
        <v>22</v>
      </c>
      <c r="F158" s="6">
        <v>2025</v>
      </c>
      <c r="G158" s="6" t="s">
        <v>23</v>
      </c>
      <c r="H158" s="6" t="s">
        <v>24</v>
      </c>
      <c r="I158" s="6">
        <v>5.4305349999999999</v>
      </c>
      <c r="J158" s="6">
        <v>101.126571</v>
      </c>
      <c r="K158" s="6" t="s">
        <v>432</v>
      </c>
      <c r="L158" s="7">
        <v>10122</v>
      </c>
      <c r="M158" s="6">
        <v>1595</v>
      </c>
      <c r="N158" s="6" t="s">
        <v>26</v>
      </c>
      <c r="O158" s="6" t="s">
        <v>52</v>
      </c>
      <c r="P158" s="6" t="s">
        <v>28</v>
      </c>
      <c r="Q158" s="6">
        <v>1212</v>
      </c>
      <c r="R158" s="6">
        <v>25.5</v>
      </c>
      <c r="S158" s="6" t="s">
        <v>54</v>
      </c>
      <c r="T158" s="6" t="s">
        <v>55</v>
      </c>
      <c r="U158" s="6" t="s">
        <v>31</v>
      </c>
      <c r="V158" s="6" t="s">
        <v>378</v>
      </c>
      <c r="W158" s="6" t="s">
        <v>475</v>
      </c>
      <c r="X158" s="6" t="s">
        <v>34</v>
      </c>
      <c r="Y158" s="6" t="s">
        <v>47</v>
      </c>
      <c r="Z158" s="6">
        <f t="shared" si="107"/>
        <v>47.046321525885553</v>
      </c>
      <c r="AA158" s="6">
        <f>AC158/3.67</f>
        <v>33.846274479054358</v>
      </c>
      <c r="AB158" s="6">
        <v>172.66</v>
      </c>
      <c r="AC158" s="6">
        <f>AB158/AL158</f>
        <v>124.2158273381295</v>
      </c>
      <c r="AD158" s="6">
        <f t="shared" ref="AD158" si="110">(AJ158+AK158)*0.47</f>
        <v>42.008345323741011</v>
      </c>
      <c r="AE158" s="6">
        <v>47.09</v>
      </c>
      <c r="AF158" s="6">
        <f>AE158*3.67</f>
        <v>172.8203</v>
      </c>
      <c r="AG158" s="6">
        <f>AD158*3.67</f>
        <v>154.17062733812952</v>
      </c>
      <c r="AH158" s="6">
        <f>AJ158+AK158</f>
        <v>89.379458135619174</v>
      </c>
      <c r="AI158" s="6">
        <f>AE158/0.47</f>
        <v>100.19148936170214</v>
      </c>
      <c r="AJ158" s="6">
        <f>(47.09/AL158)/0.47</f>
        <v>72.080208173886433</v>
      </c>
      <c r="AK158" s="6">
        <f t="shared" ref="AK158:AK159" si="111">AJ158*0.24</f>
        <v>17.299249961732745</v>
      </c>
      <c r="AL158" s="6">
        <v>1.39</v>
      </c>
    </row>
    <row r="159" spans="1:38" x14ac:dyDescent="0.25">
      <c r="A159" s="6">
        <v>158</v>
      </c>
      <c r="B159" s="5">
        <v>92</v>
      </c>
      <c r="C159" s="6" t="s">
        <v>433</v>
      </c>
      <c r="D159" s="6" t="s">
        <v>434</v>
      </c>
      <c r="E159" s="6" t="s">
        <v>79</v>
      </c>
      <c r="F159" s="6">
        <v>2025</v>
      </c>
      <c r="G159" s="6" t="s">
        <v>23</v>
      </c>
      <c r="H159" s="6" t="s">
        <v>39</v>
      </c>
      <c r="I159" s="6">
        <v>-21.688889</v>
      </c>
      <c r="J159" s="6">
        <v>-43.344444000000003</v>
      </c>
      <c r="K159" s="6" t="s">
        <v>71</v>
      </c>
      <c r="L159" s="6">
        <v>573285</v>
      </c>
      <c r="M159" s="6">
        <v>376.6</v>
      </c>
      <c r="N159" s="6" t="s">
        <v>72</v>
      </c>
      <c r="O159" s="6" t="s">
        <v>73</v>
      </c>
      <c r="P159" s="6" t="s">
        <v>43</v>
      </c>
      <c r="Q159" s="6">
        <v>1500</v>
      </c>
      <c r="R159" s="6">
        <v>19</v>
      </c>
      <c r="S159" s="6" t="s">
        <v>54</v>
      </c>
      <c r="T159" s="6" t="s">
        <v>112</v>
      </c>
      <c r="U159" s="6" t="s">
        <v>31</v>
      </c>
      <c r="V159" s="6" t="s">
        <v>435</v>
      </c>
      <c r="W159" s="6" t="s">
        <v>429</v>
      </c>
      <c r="X159" s="6" t="s">
        <v>173</v>
      </c>
      <c r="Y159" s="6" t="s">
        <v>35</v>
      </c>
      <c r="Z159" s="6">
        <f t="shared" si="107"/>
        <v>60150</v>
      </c>
      <c r="AA159" s="6">
        <f>60150/AL159</f>
        <v>1.3912983137880786</v>
      </c>
      <c r="AB159" s="6">
        <f>Z159*3.67</f>
        <v>220750.5</v>
      </c>
      <c r="AC159" s="6">
        <f>AA159*3.67</f>
        <v>5.1060648116022485</v>
      </c>
      <c r="AD159" s="6">
        <f>1242580/AL159</f>
        <v>28.741470635856867</v>
      </c>
      <c r="AE159" s="6">
        <v>1242580</v>
      </c>
      <c r="AF159" s="6">
        <f>AE159*3.67</f>
        <v>4560268.5999999996</v>
      </c>
      <c r="AG159" s="6">
        <f t="shared" ref="AG159" si="112">AD159*3.67</f>
        <v>105.4811972335947</v>
      </c>
      <c r="AH159" s="6">
        <f>AD159/0.47</f>
        <v>61.152065182674193</v>
      </c>
      <c r="AI159" s="6">
        <f t="shared" ref="AI159" si="113">AH159*AL159</f>
        <v>2643787.2340425532</v>
      </c>
      <c r="AJ159" s="6">
        <f t="shared" ref="AJ159" si="114">AH159/1.24</f>
        <v>49.316181598930804</v>
      </c>
      <c r="AK159" s="6">
        <f t="shared" si="111"/>
        <v>11.835883583743392</v>
      </c>
      <c r="AL159" s="6">
        <v>43233</v>
      </c>
    </row>
    <row r="160" spans="1:38" x14ac:dyDescent="0.25">
      <c r="A160" s="6">
        <v>159</v>
      </c>
      <c r="B160" s="5">
        <v>92</v>
      </c>
      <c r="C160" s="6" t="s">
        <v>433</v>
      </c>
      <c r="D160" s="6" t="s">
        <v>434</v>
      </c>
      <c r="E160" s="6" t="s">
        <v>79</v>
      </c>
      <c r="F160" s="6">
        <v>2025</v>
      </c>
      <c r="G160" s="6" t="s">
        <v>23</v>
      </c>
      <c r="H160" s="6" t="s">
        <v>39</v>
      </c>
      <c r="I160" s="6">
        <v>-21.688889</v>
      </c>
      <c r="J160" s="6">
        <v>-43.344444000000003</v>
      </c>
      <c r="K160" s="6" t="s">
        <v>71</v>
      </c>
      <c r="L160" s="6">
        <v>573285</v>
      </c>
      <c r="M160" s="6">
        <v>376.6</v>
      </c>
      <c r="N160" s="6" t="s">
        <v>72</v>
      </c>
      <c r="O160" s="6" t="s">
        <v>73</v>
      </c>
      <c r="P160" s="6" t="s">
        <v>43</v>
      </c>
      <c r="Q160" s="6">
        <v>1500</v>
      </c>
      <c r="R160" s="6">
        <v>19</v>
      </c>
      <c r="S160" s="6" t="s">
        <v>54</v>
      </c>
      <c r="T160" s="6" t="s">
        <v>112</v>
      </c>
      <c r="U160" s="6" t="s">
        <v>56</v>
      </c>
      <c r="V160" s="6" t="s">
        <v>435</v>
      </c>
      <c r="W160" s="6" t="s">
        <v>429</v>
      </c>
      <c r="X160" s="6" t="s">
        <v>173</v>
      </c>
      <c r="Y160" s="6" t="s">
        <v>35</v>
      </c>
      <c r="Z160" s="6">
        <f t="shared" si="107"/>
        <v>171500</v>
      </c>
      <c r="AA160" s="6">
        <f>171500/AL160</f>
        <v>1.6942454927142505</v>
      </c>
      <c r="AB160" s="6">
        <f>Z160*3.67</f>
        <v>629405</v>
      </c>
      <c r="AC160" s="6">
        <f>AA160*3.67</f>
        <v>6.2178809582612988</v>
      </c>
      <c r="AD160" s="6">
        <f>3685670/AL160</f>
        <v>36.410669301061994</v>
      </c>
      <c r="AE160" s="6">
        <v>3685670</v>
      </c>
      <c r="AF160" s="6">
        <f>AE160*3.67</f>
        <v>13526408.9</v>
      </c>
      <c r="AG160" s="6">
        <f t="shared" ref="AG160" si="115">AD160*3.67</f>
        <v>133.62715633489751</v>
      </c>
      <c r="AH160" s="6">
        <f>AD160/0.47</f>
        <v>77.469509151195737</v>
      </c>
      <c r="AI160" s="6">
        <f t="shared" ref="AI160" si="116">AH160*AL160</f>
        <v>7841851.0638297889</v>
      </c>
      <c r="AJ160" s="6">
        <f t="shared" ref="AJ160" si="117">AH160/1.24</f>
        <v>62.475410605803013</v>
      </c>
      <c r="AK160" s="6">
        <f t="shared" ref="AK160" si="118">AJ160*0.24</f>
        <v>14.994098545392722</v>
      </c>
      <c r="AL160" s="6">
        <v>101225</v>
      </c>
    </row>
    <row r="161" spans="1:38" x14ac:dyDescent="0.25">
      <c r="A161" s="6">
        <v>160</v>
      </c>
      <c r="B161" s="5">
        <v>93</v>
      </c>
      <c r="C161" s="6" t="s">
        <v>436</v>
      </c>
      <c r="D161" s="6" t="s">
        <v>437</v>
      </c>
      <c r="E161" s="6" t="s">
        <v>22</v>
      </c>
      <c r="F161" s="6">
        <v>2025</v>
      </c>
      <c r="G161" s="6" t="s">
        <v>23</v>
      </c>
      <c r="H161" s="6" t="s">
        <v>24</v>
      </c>
      <c r="I161" s="6">
        <v>12.796556000000001</v>
      </c>
      <c r="J161" s="6">
        <v>77.575978000000006</v>
      </c>
      <c r="K161" s="6" t="s">
        <v>438</v>
      </c>
      <c r="L161" s="7">
        <v>8495492</v>
      </c>
      <c r="M161" s="7">
        <v>11470</v>
      </c>
      <c r="N161" s="6" t="s">
        <v>26</v>
      </c>
      <c r="O161" s="6" t="s">
        <v>27</v>
      </c>
      <c r="P161" s="6" t="s">
        <v>28</v>
      </c>
      <c r="Q161" s="6">
        <v>869</v>
      </c>
      <c r="R161" s="6">
        <v>24.7</v>
      </c>
      <c r="S161" s="6" t="s">
        <v>108</v>
      </c>
      <c r="T161" s="6" t="s">
        <v>133</v>
      </c>
      <c r="U161" s="6" t="s">
        <v>56</v>
      </c>
      <c r="V161" s="6" t="s">
        <v>378</v>
      </c>
      <c r="W161" s="6" t="s">
        <v>474</v>
      </c>
      <c r="X161" s="6" t="s">
        <v>34</v>
      </c>
      <c r="Y161" s="6" t="s">
        <v>47</v>
      </c>
      <c r="Z161" s="6" t="s">
        <v>36</v>
      </c>
      <c r="AA161" s="6" t="s">
        <v>36</v>
      </c>
      <c r="AB161" s="6" t="s">
        <v>36</v>
      </c>
      <c r="AC161" s="6" t="s">
        <v>36</v>
      </c>
      <c r="AD161" s="6">
        <f>(AJ161+AK161)*0.47</f>
        <v>73.869899999999987</v>
      </c>
      <c r="AE161" s="6">
        <f>AD161*AL161</f>
        <v>369.34949999999992</v>
      </c>
      <c r="AF161" s="6">
        <f>AE161*3.67</f>
        <v>1355.5126649999997</v>
      </c>
      <c r="AG161" s="6">
        <f>AD161*3.67</f>
        <v>271.10253299999994</v>
      </c>
      <c r="AH161" s="6">
        <f>AJ161+AK161</f>
        <v>157.16999999999999</v>
      </c>
      <c r="AI161" s="6">
        <f>AE161/0.47</f>
        <v>785.84999999999991</v>
      </c>
      <c r="AJ161" s="6">
        <v>126.75</v>
      </c>
      <c r="AK161" s="6">
        <f>AJ161*0.24</f>
        <v>30.419999999999998</v>
      </c>
      <c r="AL161" s="6">
        <v>5</v>
      </c>
    </row>
  </sheetData>
  <hyperlinks>
    <hyperlink ref="D29" r:id="rId1" display="https://www.sciencedirect.com/author/57219425459/erik-velasco" xr:uid="{A2468A65-3609-452D-92E2-CD3386529746}"/>
  </hyperlinks>
  <pageMargins left="0.511811024" right="0.511811024" top="0.78740157499999996" bottom="0.78740157499999996" header="0.31496062000000002" footer="0.31496062000000002"/>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0F31-7784-48E3-A4A3-E91E202903CD}">
  <dimension ref="A1:C41"/>
  <sheetViews>
    <sheetView workbookViewId="0"/>
  </sheetViews>
  <sheetFormatPr defaultRowHeight="15" x14ac:dyDescent="0.25"/>
  <cols>
    <col min="1" max="1" width="20" bestFit="1" customWidth="1"/>
    <col min="2" max="2" width="11" bestFit="1" customWidth="1"/>
    <col min="3" max="3" width="27.7109375" bestFit="1" customWidth="1"/>
  </cols>
  <sheetData>
    <row r="1" spans="1:3" s="1" customFormat="1" x14ac:dyDescent="0.25">
      <c r="A1" s="3" t="s">
        <v>479</v>
      </c>
      <c r="B1" s="1" t="s">
        <v>469</v>
      </c>
      <c r="C1" s="1" t="s">
        <v>470</v>
      </c>
    </row>
    <row r="2" spans="1:3" x14ac:dyDescent="0.25">
      <c r="A2" s="3" t="s">
        <v>0</v>
      </c>
      <c r="B2" t="s">
        <v>468</v>
      </c>
      <c r="C2" t="s">
        <v>513</v>
      </c>
    </row>
    <row r="3" spans="1:3" x14ac:dyDescent="0.25">
      <c r="A3" s="3" t="s">
        <v>1</v>
      </c>
      <c r="B3" t="s">
        <v>468</v>
      </c>
      <c r="C3" t="s">
        <v>481</v>
      </c>
    </row>
    <row r="4" spans="1:3" x14ac:dyDescent="0.25">
      <c r="A4" s="3" t="s">
        <v>2</v>
      </c>
      <c r="B4" t="s">
        <v>468</v>
      </c>
      <c r="C4" t="s">
        <v>482</v>
      </c>
    </row>
    <row r="5" spans="1:3" x14ac:dyDescent="0.25">
      <c r="A5" s="3" t="s">
        <v>3</v>
      </c>
      <c r="B5" t="s">
        <v>468</v>
      </c>
      <c r="C5" t="s">
        <v>483</v>
      </c>
    </row>
    <row r="6" spans="1:3" x14ac:dyDescent="0.25">
      <c r="A6" s="3" t="s">
        <v>4</v>
      </c>
      <c r="B6" t="s">
        <v>468</v>
      </c>
      <c r="C6" t="s">
        <v>484</v>
      </c>
    </row>
    <row r="7" spans="1:3" x14ac:dyDescent="0.25">
      <c r="A7" s="3" t="s">
        <v>5</v>
      </c>
      <c r="B7" t="s">
        <v>468</v>
      </c>
      <c r="C7" t="s">
        <v>485</v>
      </c>
    </row>
    <row r="8" spans="1:3" x14ac:dyDescent="0.25">
      <c r="A8" s="3" t="s">
        <v>6</v>
      </c>
      <c r="B8" t="s">
        <v>468</v>
      </c>
      <c r="C8" t="s">
        <v>486</v>
      </c>
    </row>
    <row r="9" spans="1:3" x14ac:dyDescent="0.25">
      <c r="A9" s="3" t="s">
        <v>7</v>
      </c>
      <c r="B9" t="s">
        <v>468</v>
      </c>
      <c r="C9" t="s">
        <v>487</v>
      </c>
    </row>
    <row r="10" spans="1:3" x14ac:dyDescent="0.25">
      <c r="A10" s="3" t="s">
        <v>8</v>
      </c>
      <c r="B10" t="s">
        <v>468</v>
      </c>
      <c r="C10" t="s">
        <v>488</v>
      </c>
    </row>
    <row r="11" spans="1:3" x14ac:dyDescent="0.25">
      <c r="A11" s="3" t="s">
        <v>9</v>
      </c>
      <c r="B11" t="s">
        <v>468</v>
      </c>
      <c r="C11" t="s">
        <v>488</v>
      </c>
    </row>
    <row r="12" spans="1:3" x14ac:dyDescent="0.25">
      <c r="A12" s="3" t="s">
        <v>10</v>
      </c>
      <c r="B12" t="s">
        <v>468</v>
      </c>
      <c r="C12" t="s">
        <v>489</v>
      </c>
    </row>
    <row r="13" spans="1:3" x14ac:dyDescent="0.25">
      <c r="A13" s="3" t="s">
        <v>448</v>
      </c>
      <c r="B13" t="s">
        <v>462</v>
      </c>
      <c r="C13" t="s">
        <v>490</v>
      </c>
    </row>
    <row r="14" spans="1:3" x14ac:dyDescent="0.25">
      <c r="A14" s="3" t="s">
        <v>11</v>
      </c>
      <c r="B14" t="s">
        <v>463</v>
      </c>
      <c r="C14" t="s">
        <v>491</v>
      </c>
    </row>
    <row r="15" spans="1:3" x14ac:dyDescent="0.25">
      <c r="A15" s="3" t="s">
        <v>12</v>
      </c>
      <c r="B15" t="s">
        <v>468</v>
      </c>
      <c r="C15" t="s">
        <v>492</v>
      </c>
    </row>
    <row r="16" spans="1:3" x14ac:dyDescent="0.25">
      <c r="A16" s="3" t="s">
        <v>450</v>
      </c>
      <c r="B16" t="s">
        <v>468</v>
      </c>
      <c r="C16" t="s">
        <v>493</v>
      </c>
    </row>
    <row r="17" spans="1:3" x14ac:dyDescent="0.25">
      <c r="A17" s="3" t="s">
        <v>13</v>
      </c>
      <c r="B17" t="s">
        <v>468</v>
      </c>
      <c r="C17" t="s">
        <v>494</v>
      </c>
    </row>
    <row r="18" spans="1:3" x14ac:dyDescent="0.25">
      <c r="A18" s="3" t="s">
        <v>451</v>
      </c>
      <c r="B18" t="s">
        <v>459</v>
      </c>
      <c r="C18" t="s">
        <v>495</v>
      </c>
    </row>
    <row r="19" spans="1:3" x14ac:dyDescent="0.25">
      <c r="A19" s="3" t="s">
        <v>452</v>
      </c>
      <c r="B19" t="s">
        <v>460</v>
      </c>
      <c r="C19" t="s">
        <v>496</v>
      </c>
    </row>
    <row r="20" spans="1:3" x14ac:dyDescent="0.25">
      <c r="A20" s="3" t="s">
        <v>14</v>
      </c>
      <c r="B20" t="s">
        <v>468</v>
      </c>
      <c r="C20" t="s">
        <v>497</v>
      </c>
    </row>
    <row r="21" spans="1:3" x14ac:dyDescent="0.25">
      <c r="A21" s="3" t="s">
        <v>439</v>
      </c>
      <c r="B21" t="s">
        <v>468</v>
      </c>
      <c r="C21" t="s">
        <v>498</v>
      </c>
    </row>
    <row r="22" spans="1:3" x14ac:dyDescent="0.25">
      <c r="A22" s="3" t="s">
        <v>440</v>
      </c>
      <c r="B22" t="s">
        <v>468</v>
      </c>
      <c r="C22" t="s">
        <v>499</v>
      </c>
    </row>
    <row r="23" spans="1:3" x14ac:dyDescent="0.25">
      <c r="A23" s="3" t="s">
        <v>15</v>
      </c>
      <c r="B23" t="s">
        <v>468</v>
      </c>
      <c r="C23" t="s">
        <v>500</v>
      </c>
    </row>
    <row r="24" spans="1:3" x14ac:dyDescent="0.25">
      <c r="A24" s="3" t="s">
        <v>16</v>
      </c>
      <c r="B24" t="s">
        <v>468</v>
      </c>
      <c r="C24" t="s">
        <v>501</v>
      </c>
    </row>
    <row r="25" spans="1:3" x14ac:dyDescent="0.25">
      <c r="A25" s="3" t="s">
        <v>17</v>
      </c>
      <c r="B25" t="s">
        <v>468</v>
      </c>
      <c r="C25" t="s">
        <v>514</v>
      </c>
    </row>
    <row r="26" spans="1:3" x14ac:dyDescent="0.25">
      <c r="A26" s="3" t="s">
        <v>18</v>
      </c>
      <c r="B26" s="15" t="s">
        <v>468</v>
      </c>
      <c r="C26" t="s">
        <v>515</v>
      </c>
    </row>
    <row r="27" spans="1:3" x14ac:dyDescent="0.25">
      <c r="A27" s="2" t="s">
        <v>442</v>
      </c>
      <c r="B27" s="2" t="s">
        <v>464</v>
      </c>
      <c r="C27" t="s">
        <v>502</v>
      </c>
    </row>
    <row r="28" spans="1:3" x14ac:dyDescent="0.25">
      <c r="A28" s="3" t="s">
        <v>441</v>
      </c>
      <c r="B28" s="2" t="s">
        <v>465</v>
      </c>
      <c r="C28" t="s">
        <v>503</v>
      </c>
    </row>
    <row r="29" spans="1:3" x14ac:dyDescent="0.25">
      <c r="A29" s="2" t="s">
        <v>443</v>
      </c>
      <c r="B29" s="2" t="s">
        <v>464</v>
      </c>
      <c r="C29" t="s">
        <v>504</v>
      </c>
    </row>
    <row r="30" spans="1:3" x14ac:dyDescent="0.25">
      <c r="A30" s="2" t="s">
        <v>444</v>
      </c>
      <c r="B30" s="2" t="s">
        <v>465</v>
      </c>
      <c r="C30" t="s">
        <v>505</v>
      </c>
    </row>
    <row r="31" spans="1:3" x14ac:dyDescent="0.25">
      <c r="A31" s="3" t="s">
        <v>454</v>
      </c>
      <c r="B31" s="2" t="s">
        <v>466</v>
      </c>
      <c r="C31" t="s">
        <v>506</v>
      </c>
    </row>
    <row r="32" spans="1:3" x14ac:dyDescent="0.25">
      <c r="A32" s="2" t="s">
        <v>455</v>
      </c>
      <c r="B32" s="2" t="s">
        <v>467</v>
      </c>
      <c r="C32" t="s">
        <v>507</v>
      </c>
    </row>
    <row r="33" spans="1:3" x14ac:dyDescent="0.25">
      <c r="A33" s="2" t="s">
        <v>445</v>
      </c>
      <c r="B33" s="2" t="s">
        <v>467</v>
      </c>
      <c r="C33" t="s">
        <v>508</v>
      </c>
    </row>
    <row r="34" spans="1:3" x14ac:dyDescent="0.25">
      <c r="A34" s="2" t="s">
        <v>456</v>
      </c>
      <c r="B34" s="2" t="s">
        <v>466</v>
      </c>
      <c r="C34" t="s">
        <v>509</v>
      </c>
    </row>
    <row r="35" spans="1:3" x14ac:dyDescent="0.25">
      <c r="A35" s="2" t="s">
        <v>457</v>
      </c>
      <c r="B35" s="2" t="s">
        <v>466</v>
      </c>
      <c r="C35" t="s">
        <v>510</v>
      </c>
    </row>
    <row r="36" spans="1:3" x14ac:dyDescent="0.25">
      <c r="A36" s="2" t="s">
        <v>458</v>
      </c>
      <c r="B36" s="2" t="s">
        <v>467</v>
      </c>
      <c r="C36" t="s">
        <v>511</v>
      </c>
    </row>
    <row r="37" spans="1:3" x14ac:dyDescent="0.25">
      <c r="A37" s="2" t="s">
        <v>446</v>
      </c>
      <c r="B37" s="2" t="s">
        <v>466</v>
      </c>
      <c r="C37" t="s">
        <v>516</v>
      </c>
    </row>
    <row r="38" spans="1:3" x14ac:dyDescent="0.25">
      <c r="A38" s="2" t="s">
        <v>447</v>
      </c>
      <c r="B38" s="2" t="s">
        <v>466</v>
      </c>
      <c r="C38" t="s">
        <v>517</v>
      </c>
    </row>
    <row r="39" spans="1:3" x14ac:dyDescent="0.25">
      <c r="A39" s="3" t="s">
        <v>19</v>
      </c>
      <c r="B39" s="2" t="s">
        <v>461</v>
      </c>
      <c r="C39" t="s">
        <v>512</v>
      </c>
    </row>
    <row r="41" spans="1:3" x14ac:dyDescent="0.25">
      <c r="A41" s="16" t="s">
        <v>480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alldata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2026-09-03T17:48:31Z</dcterms:created>
  <dcterms:modified xsi:type="dcterms:W3CDTF">2026-09-05T13:17:58Z</dcterms:modified>
</cp:coreProperties>
</file>