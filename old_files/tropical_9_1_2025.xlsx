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silvaw\Documents\systematic review local\"/>
    </mc:Choice>
  </mc:AlternateContent>
  <xr:revisionPtr revIDLastSave="0" documentId="13_ncr:1_{FD7BB595-3180-4006-A2CE-0ECA80361AEA}" xr6:coauthVersionLast="47" xr6:coauthVersionMax="47" xr10:uidLastSave="{00000000-0000-0000-0000-000000000000}"/>
  <bookViews>
    <workbookView xWindow="28680" yWindow="-120" windowWidth="29040" windowHeight="17520" tabRatio="829" activeTab="6" xr2:uid="{00000000-000D-0000-FFFF-FFFF00000000}"/>
  </bookViews>
  <sheets>
    <sheet name="papers" sheetId="1" r:id="rId1"/>
    <sheet name="raw_data" sheetId="2" r:id="rId2"/>
    <sheet name="one_city" sheetId="7" r:id="rId3"/>
    <sheet name="multi-city" sheetId="3" r:id="rId4"/>
    <sheet name="organized_data_city" sheetId="8" r:id="rId5"/>
    <sheet name="organized_data_paper" sheetId="9" r:id="rId6"/>
    <sheet name="all_data_organized" sheetId="12" r:id="rId7"/>
    <sheet name="preview_paper" sheetId="13" r:id="rId8"/>
    <sheet name="preview_city" sheetId="14" r:id="rId9"/>
    <sheet name="preview" sheetId="10" r:id="rId10"/>
    <sheet name="non-tropical(23,5N.S)" sheetId="4" r:id="rId11"/>
    <sheet name="biome" sheetId="15" r:id="rId12"/>
  </sheets>
  <definedNames>
    <definedName name="_xlnm._FilterDatabase" localSheetId="6" hidden="1">all_data_organized!$A$1:$AV$116</definedName>
    <definedName name="_xlnm._FilterDatabase" localSheetId="3" hidden="1">'multi-city'!$A$1:$AS$28</definedName>
    <definedName name="_xlnm._FilterDatabase" localSheetId="2" hidden="1">one_city!$A$1:$AF$69</definedName>
    <definedName name="_xlnm._FilterDatabase" localSheetId="4" hidden="1">organized_data_city!$A$1:$AF$91</definedName>
    <definedName name="_xlnm._FilterDatabase" localSheetId="5" hidden="1">organized_data_paper!$A$1:$AS$111</definedName>
    <definedName name="_xlnm._FilterDatabase" localSheetId="0" hidden="1">papers!$A$1:$I$163</definedName>
    <definedName name="_xlnm._FilterDatabase" localSheetId="9" hidden="1">preview!$A$1:$AL$73</definedName>
    <definedName name="_xlnm._FilterDatabase" localSheetId="8" hidden="1">preview_city!$B$1:$AP$91</definedName>
    <definedName name="_xlnm._FilterDatabase" localSheetId="7" hidden="1">preview_paper!$A$1:$AO$56</definedName>
    <definedName name="_xlnm._FilterDatabase" localSheetId="1" hidden="1">raw_data!$A$1:$AF$84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V66" i="12" l="1"/>
  <c r="AV97" i="12"/>
  <c r="AV12" i="12"/>
  <c r="N66" i="12"/>
  <c r="AV3" i="12"/>
  <c r="AV4" i="12"/>
  <c r="AV5" i="12"/>
  <c r="AV6" i="12"/>
  <c r="AV7" i="12"/>
  <c r="AV8" i="12"/>
  <c r="AV9" i="12"/>
  <c r="AV10" i="12"/>
  <c r="AV11" i="12"/>
  <c r="AV13" i="12"/>
  <c r="AV14" i="12"/>
  <c r="AV15" i="12"/>
  <c r="AV16" i="12"/>
  <c r="AV17" i="12"/>
  <c r="AV18" i="12"/>
  <c r="AV19" i="12"/>
  <c r="AV20" i="12"/>
  <c r="AV21" i="12"/>
  <c r="AV22" i="12"/>
  <c r="AV23" i="12"/>
  <c r="AV24" i="12"/>
  <c r="AV25" i="12"/>
  <c r="AV26" i="12"/>
  <c r="AV27" i="12"/>
  <c r="AV28" i="12"/>
  <c r="AV29" i="12"/>
  <c r="AV30" i="12"/>
  <c r="AV31" i="12"/>
  <c r="AV32" i="12"/>
  <c r="AV33" i="12"/>
  <c r="AV34" i="12"/>
  <c r="AV35" i="12"/>
  <c r="AV36" i="12"/>
  <c r="AV37" i="12"/>
  <c r="AV38" i="12"/>
  <c r="AV39" i="12"/>
  <c r="AV40" i="12"/>
  <c r="AV41" i="12"/>
  <c r="AV42" i="12"/>
  <c r="AV43" i="12"/>
  <c r="AV44" i="12"/>
  <c r="AV45" i="12"/>
  <c r="AV46" i="12"/>
  <c r="AV47" i="12"/>
  <c r="AV48" i="12"/>
  <c r="AV49" i="12"/>
  <c r="AV50" i="12"/>
  <c r="AV51" i="12"/>
  <c r="AV52" i="12"/>
  <c r="AV53" i="12"/>
  <c r="AV54" i="12"/>
  <c r="AV55" i="12"/>
  <c r="AV56" i="12"/>
  <c r="AV57" i="12"/>
  <c r="AV58" i="12"/>
  <c r="AV59" i="12"/>
  <c r="AV60" i="12"/>
  <c r="AV61" i="12"/>
  <c r="AV62" i="12"/>
  <c r="AV63" i="12"/>
  <c r="AV64" i="12"/>
  <c r="AV65"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8" i="12"/>
  <c r="AV99" i="12"/>
  <c r="AV100" i="12"/>
  <c r="AV101" i="12"/>
  <c r="AV102" i="12"/>
  <c r="AV103" i="12"/>
  <c r="AV104" i="12"/>
  <c r="AV105" i="12"/>
  <c r="AV106" i="12"/>
  <c r="AV107" i="12"/>
  <c r="AV108" i="12"/>
  <c r="AV109" i="12"/>
  <c r="AV110" i="12"/>
  <c r="AV111" i="12"/>
  <c r="AV112" i="12"/>
  <c r="AV113" i="12"/>
  <c r="AV114" i="12"/>
  <c r="AV115" i="12"/>
  <c r="AV116" i="12"/>
  <c r="AV2" i="12"/>
  <c r="AM91" i="14"/>
  <c r="AK91" i="14"/>
  <c r="AH91" i="14"/>
  <c r="AL91" i="14" s="1"/>
  <c r="AN91" i="14" s="1"/>
  <c r="AO91" i="14" s="1"/>
  <c r="AF91" i="14"/>
  <c r="AD91" i="14"/>
  <c r="AM90" i="14"/>
  <c r="AK90" i="14"/>
  <c r="AH90" i="14"/>
  <c r="AL90" i="14" s="1"/>
  <c r="AN90" i="14" s="1"/>
  <c r="AO90" i="14" s="1"/>
  <c r="AF90" i="14"/>
  <c r="AD90" i="14"/>
  <c r="AM89" i="14"/>
  <c r="AK89" i="14"/>
  <c r="AH89" i="14"/>
  <c r="AL89" i="14" s="1"/>
  <c r="AN89" i="14" s="1"/>
  <c r="AO89" i="14" s="1"/>
  <c r="AF89" i="14"/>
  <c r="AD89" i="14"/>
  <c r="AM88" i="14"/>
  <c r="AK88" i="14"/>
  <c r="AH88" i="14"/>
  <c r="AL88" i="14" s="1"/>
  <c r="AN88" i="14" s="1"/>
  <c r="AO88" i="14" s="1"/>
  <c r="AF88" i="14"/>
  <c r="AD88" i="14"/>
  <c r="AM87" i="14"/>
  <c r="AK87" i="14"/>
  <c r="AH87" i="14"/>
  <c r="AL87" i="14" s="1"/>
  <c r="AN87" i="14" s="1"/>
  <c r="AO87" i="14" s="1"/>
  <c r="AF87" i="14"/>
  <c r="AD87" i="14"/>
  <c r="AM86" i="14"/>
  <c r="AK86" i="14"/>
  <c r="AH86" i="14"/>
  <c r="AL86" i="14" s="1"/>
  <c r="AN86" i="14" s="1"/>
  <c r="AO86" i="14" s="1"/>
  <c r="AF86" i="14"/>
  <c r="AD86" i="14"/>
  <c r="AM85" i="14"/>
  <c r="AK85" i="14"/>
  <c r="AH85" i="14"/>
  <c r="AL85" i="14" s="1"/>
  <c r="AN85" i="14" s="1"/>
  <c r="AO85" i="14" s="1"/>
  <c r="AF85" i="14"/>
  <c r="AD85" i="14"/>
  <c r="AM84" i="14"/>
  <c r="AK84" i="14"/>
  <c r="AH84" i="14"/>
  <c r="AL84" i="14" s="1"/>
  <c r="AN84" i="14" s="1"/>
  <c r="AO84" i="14" s="1"/>
  <c r="AF84" i="14"/>
  <c r="AD84" i="14"/>
  <c r="AM83" i="14"/>
  <c r="AK83" i="14"/>
  <c r="AH83" i="14"/>
  <c r="AL83" i="14" s="1"/>
  <c r="AN83" i="14" s="1"/>
  <c r="AO83" i="14" s="1"/>
  <c r="AF83" i="14"/>
  <c r="AD83" i="14"/>
  <c r="AM82" i="14"/>
  <c r="AK82" i="14"/>
  <c r="AH82" i="14"/>
  <c r="AL82" i="14" s="1"/>
  <c r="AN82" i="14" s="1"/>
  <c r="AO82" i="14" s="1"/>
  <c r="AF82" i="14"/>
  <c r="AD82" i="14"/>
  <c r="AM81" i="14"/>
  <c r="AK81" i="14"/>
  <c r="AH81" i="14"/>
  <c r="AL81" i="14" s="1"/>
  <c r="AN81" i="14" s="1"/>
  <c r="AO81" i="14" s="1"/>
  <c r="AF81" i="14"/>
  <c r="AD81" i="14"/>
  <c r="AM80" i="14"/>
  <c r="AK80" i="14"/>
  <c r="AH80" i="14"/>
  <c r="AL80" i="14" s="1"/>
  <c r="AN80" i="14" s="1"/>
  <c r="AO80" i="14" s="1"/>
  <c r="AF80" i="14"/>
  <c r="AD80" i="14"/>
  <c r="AM79" i="14"/>
  <c r="AK79" i="14"/>
  <c r="AH79" i="14"/>
  <c r="AL79" i="14" s="1"/>
  <c r="AN79" i="14" s="1"/>
  <c r="AO79" i="14" s="1"/>
  <c r="AF79" i="14"/>
  <c r="AD79" i="14"/>
  <c r="AM78" i="14"/>
  <c r="AK78" i="14"/>
  <c r="AH78" i="14"/>
  <c r="AL78" i="14" s="1"/>
  <c r="AN78" i="14" s="1"/>
  <c r="AO78" i="14" s="1"/>
  <c r="AF78" i="14"/>
  <c r="AD78" i="14"/>
  <c r="AM77" i="14"/>
  <c r="AK77" i="14"/>
  <c r="AH77" i="14"/>
  <c r="AL77" i="14" s="1"/>
  <c r="AN77" i="14" s="1"/>
  <c r="AO77" i="14" s="1"/>
  <c r="AF77" i="14"/>
  <c r="AD77" i="14"/>
  <c r="AN76" i="14"/>
  <c r="AO76" i="14" s="1"/>
  <c r="AH76" i="14"/>
  <c r="AK76" i="14" s="1"/>
  <c r="AO75" i="14"/>
  <c r="AL75" i="14" s="1"/>
  <c r="AK75" i="14"/>
  <c r="AT74" i="14"/>
  <c r="AO74" i="14"/>
  <c r="AN74" i="14"/>
  <c r="AM74" i="14"/>
  <c r="AL74" i="14" s="1"/>
  <c r="AK74" i="14"/>
  <c r="AJ74" i="14"/>
  <c r="AT73" i="14"/>
  <c r="AO73" i="14"/>
  <c r="AN73" i="14"/>
  <c r="AM73" i="14"/>
  <c r="AL73" i="14" s="1"/>
  <c r="AK73" i="14"/>
  <c r="AJ73" i="14"/>
  <c r="AO72" i="14"/>
  <c r="AL72" i="14" s="1"/>
  <c r="AK72" i="14"/>
  <c r="AI72" i="14"/>
  <c r="AJ72" i="14" s="1"/>
  <c r="AO71" i="14"/>
  <c r="AL71" i="14" s="1"/>
  <c r="AK71" i="14"/>
  <c r="AI71" i="14"/>
  <c r="AJ71" i="14" s="1"/>
  <c r="AO70" i="14"/>
  <c r="AL70" i="14" s="1"/>
  <c r="AK70" i="14"/>
  <c r="AI70" i="14"/>
  <c r="AJ70" i="14" s="1"/>
  <c r="AO69" i="14"/>
  <c r="AL69" i="14" s="1"/>
  <c r="AM69" i="14"/>
  <c r="AK69" i="14"/>
  <c r="AI69" i="14"/>
  <c r="AJ69" i="14" s="1"/>
  <c r="AN68" i="14"/>
  <c r="AO68" i="14" s="1"/>
  <c r="AM68" i="14"/>
  <c r="AK68" i="14"/>
  <c r="AI68" i="14"/>
  <c r="AJ68" i="14" s="1"/>
  <c r="AO67" i="14"/>
  <c r="AN67" i="14"/>
  <c r="AK67" i="14"/>
  <c r="AI67" i="14"/>
  <c r="AJ67" i="14" s="1"/>
  <c r="AQ66" i="14"/>
  <c r="AF66" i="14"/>
  <c r="AN65" i="14"/>
  <c r="AO65" i="14" s="1"/>
  <c r="AH65" i="14"/>
  <c r="AK65" i="14" s="1"/>
  <c r="AT64" i="14"/>
  <c r="AM64" i="14"/>
  <c r="AK64" i="14"/>
  <c r="AI64" i="14"/>
  <c r="AJ64" i="14" s="1"/>
  <c r="AT63" i="14"/>
  <c r="AN63" i="14"/>
  <c r="AO63" i="14" s="1"/>
  <c r="AH63" i="14"/>
  <c r="AK63" i="14" s="1"/>
  <c r="AT62" i="14"/>
  <c r="AO62" i="14"/>
  <c r="AL62" i="14" s="1"/>
  <c r="AM62" i="14" s="1"/>
  <c r="AK62" i="14"/>
  <c r="AI62" i="14"/>
  <c r="AT61" i="14"/>
  <c r="AN61" i="14"/>
  <c r="AO61" i="14" s="1"/>
  <c r="AM61" i="14"/>
  <c r="AJ61" i="14"/>
  <c r="AH61" i="14"/>
  <c r="AI61" i="14" s="1"/>
  <c r="AF61" i="14"/>
  <c r="AC61" i="14"/>
  <c r="AD61" i="14" s="1"/>
  <c r="AT60" i="14"/>
  <c r="AM60" i="14"/>
  <c r="AJ60" i="14"/>
  <c r="AH60" i="14"/>
  <c r="AK60" i="14" s="1"/>
  <c r="AE60" i="14"/>
  <c r="AF60" i="14" s="1"/>
  <c r="AD60" i="14"/>
  <c r="AQ59" i="14"/>
  <c r="AT59" i="14" s="1"/>
  <c r="AN59" i="14"/>
  <c r="AO59" i="14" s="1"/>
  <c r="AL59" i="14" s="1"/>
  <c r="AH59" i="14"/>
  <c r="AK59" i="14" s="1"/>
  <c r="AM58" i="14"/>
  <c r="AC58" i="14"/>
  <c r="AT57" i="14"/>
  <c r="AL57" i="14"/>
  <c r="AM57" i="14" s="1"/>
  <c r="AK57" i="14"/>
  <c r="AI57" i="14"/>
  <c r="AJ57" i="14" s="1"/>
  <c r="AT56" i="14"/>
  <c r="AN56" i="14"/>
  <c r="AK56" i="14"/>
  <c r="AJ56" i="14"/>
  <c r="AO55" i="14"/>
  <c r="AL55" i="14" s="1"/>
  <c r="AK55" i="14"/>
  <c r="AU54" i="14"/>
  <c r="AI54" i="14"/>
  <c r="AM54" i="14" s="1"/>
  <c r="AE54" i="14"/>
  <c r="AD54" i="14"/>
  <c r="AC54" i="14" s="1"/>
  <c r="AN53" i="14"/>
  <c r="AO53" i="14" s="1"/>
  <c r="AL53" i="14"/>
  <c r="AK53" i="14"/>
  <c r="AI53" i="14"/>
  <c r="AM53" i="14" s="1"/>
  <c r="AT52" i="14"/>
  <c r="AN52" i="14"/>
  <c r="AK52" i="14"/>
  <c r="AJ52" i="14"/>
  <c r="AF52" i="14"/>
  <c r="AC52" i="14"/>
  <c r="AE52" i="14" s="1"/>
  <c r="AT51" i="14"/>
  <c r="AO51" i="14"/>
  <c r="AL51" i="14" s="1"/>
  <c r="AM51" i="14" s="1"/>
  <c r="AK51" i="14"/>
  <c r="AI51" i="14"/>
  <c r="AJ51" i="14" s="1"/>
  <c r="AE50" i="14"/>
  <c r="AT49" i="14"/>
  <c r="AL49" i="14"/>
  <c r="AJ49" i="14"/>
  <c r="AK49" i="14" s="1"/>
  <c r="AH49" i="14"/>
  <c r="AE49" i="14"/>
  <c r="AD49" i="14"/>
  <c r="AF49" i="14" s="1"/>
  <c r="AQ48" i="14"/>
  <c r="AH48" i="14"/>
  <c r="AN48" i="14" s="1"/>
  <c r="AQ47" i="14"/>
  <c r="AI47" i="14"/>
  <c r="AQ46" i="14"/>
  <c r="AO46" i="14"/>
  <c r="AN46" i="14"/>
  <c r="AH46" i="14"/>
  <c r="AK46" i="14" s="1"/>
  <c r="AI45" i="14"/>
  <c r="AO44" i="14"/>
  <c r="AL44" i="14" s="1"/>
  <c r="AM44" i="14" s="1"/>
  <c r="AK44" i="14"/>
  <c r="AI44" i="14"/>
  <c r="AJ44" i="14" s="1"/>
  <c r="AM43" i="14"/>
  <c r="AI43" i="14"/>
  <c r="AJ43" i="14" s="1"/>
  <c r="AO42" i="14"/>
  <c r="AM42" i="14"/>
  <c r="AK42" i="14"/>
  <c r="AJ42" i="14"/>
  <c r="AM41" i="14"/>
  <c r="AJ41" i="14"/>
  <c r="AH41" i="14"/>
  <c r="AN41" i="14" s="1"/>
  <c r="AO41" i="14" s="1"/>
  <c r="AE41" i="14"/>
  <c r="AD41" i="14"/>
  <c r="AF41" i="14" s="1"/>
  <c r="AU40" i="14"/>
  <c r="AN40" i="14"/>
  <c r="AO40" i="14" s="1"/>
  <c r="AM40" i="14"/>
  <c r="AL40" i="14"/>
  <c r="AK40" i="14"/>
  <c r="AJ40" i="14"/>
  <c r="AQ39" i="14"/>
  <c r="AI39" i="14"/>
  <c r="AM39" i="14" s="1"/>
  <c r="AT38" i="14"/>
  <c r="AO38" i="14"/>
  <c r="AL38" i="14" s="1"/>
  <c r="AM38" i="14" s="1"/>
  <c r="AH38" i="14"/>
  <c r="AI38" i="14" s="1"/>
  <c r="AJ38" i="14" s="1"/>
  <c r="AQ37" i="14"/>
  <c r="AO37" i="14"/>
  <c r="AN37" i="14"/>
  <c r="AI37" i="14"/>
  <c r="AJ37" i="14" s="1"/>
  <c r="AT36" i="14"/>
  <c r="AO36" i="14"/>
  <c r="AN36" i="14"/>
  <c r="AL36" i="14"/>
  <c r="AJ36" i="14"/>
  <c r="AK36" i="14" s="1"/>
  <c r="AO35" i="14"/>
  <c r="AL35" i="14" s="1"/>
  <c r="AM35" i="14" s="1"/>
  <c r="AI35" i="14"/>
  <c r="AJ35" i="14" s="1"/>
  <c r="AN34" i="14"/>
  <c r="AO34" i="14" s="1"/>
  <c r="AM34" i="14"/>
  <c r="AL34" i="14"/>
  <c r="AJ34" i="14"/>
  <c r="AK34" i="14" s="1"/>
  <c r="AT33" i="14"/>
  <c r="AN33" i="14"/>
  <c r="AO33" i="14" s="1"/>
  <c r="AM33" i="14"/>
  <c r="AL33" i="14"/>
  <c r="AJ33" i="14"/>
  <c r="AK33" i="14" s="1"/>
  <c r="AQ32" i="14"/>
  <c r="AI32" i="14"/>
  <c r="AM32" i="14" s="1"/>
  <c r="AT31" i="14"/>
  <c r="AK31" i="14"/>
  <c r="AI31" i="14"/>
  <c r="AM31" i="14" s="1"/>
  <c r="AF31" i="14"/>
  <c r="AD31" i="14" s="1"/>
  <c r="AC31" i="14"/>
  <c r="AP30" i="14"/>
  <c r="AE30" i="14"/>
  <c r="AF30" i="14" s="1"/>
  <c r="AD30" i="14" s="1"/>
  <c r="AN29" i="14"/>
  <c r="AO29" i="14" s="1"/>
  <c r="AL29" i="14"/>
  <c r="AI29" i="14"/>
  <c r="AQ28" i="14"/>
  <c r="AC28" i="14"/>
  <c r="AE28" i="14" s="1"/>
  <c r="AT27" i="14"/>
  <c r="AO27" i="14"/>
  <c r="AL27" i="14" s="1"/>
  <c r="AM27" i="14" s="1"/>
  <c r="AI27" i="14"/>
  <c r="AJ27" i="14" s="1"/>
  <c r="AM26" i="14"/>
  <c r="AI26" i="14" s="1"/>
  <c r="AJ26" i="14" s="1"/>
  <c r="AE26" i="14"/>
  <c r="AT25" i="14"/>
  <c r="AO25" i="14"/>
  <c r="AL25" i="14" s="1"/>
  <c r="AM25" i="14" s="1"/>
  <c r="AI25" i="14"/>
  <c r="AJ25" i="14" s="1"/>
  <c r="AK25" i="14" s="1"/>
  <c r="AF25" i="14"/>
  <c r="AC25" i="14"/>
  <c r="AE25" i="14" s="1"/>
  <c r="AT24" i="14"/>
  <c r="AM24" i="14"/>
  <c r="AI24" i="14"/>
  <c r="AJ24" i="14" s="1"/>
  <c r="AK24" i="14" s="1"/>
  <c r="AT23" i="14"/>
  <c r="AM23" i="14"/>
  <c r="AI23" i="14"/>
  <c r="AJ23" i="14" s="1"/>
  <c r="AK23" i="14" s="1"/>
  <c r="AT22" i="14"/>
  <c r="AE22" i="14"/>
  <c r="AF22" i="14" s="1"/>
  <c r="AD22" i="14"/>
  <c r="AT21" i="14"/>
  <c r="AL21" i="14"/>
  <c r="AN21" i="14" s="1"/>
  <c r="AO21" i="14" s="1"/>
  <c r="AJ21" i="14"/>
  <c r="AT20" i="14"/>
  <c r="AM20" i="14"/>
  <c r="AI20" i="14"/>
  <c r="AJ20" i="14" s="1"/>
  <c r="AK20" i="14" s="1"/>
  <c r="AQ19" i="14"/>
  <c r="AT19" i="14" s="1"/>
  <c r="AE19" i="14"/>
  <c r="AC19" i="14" s="1"/>
  <c r="AF18" i="14"/>
  <c r="AD18" i="14" s="1"/>
  <c r="AC18" i="14"/>
  <c r="AN17" i="14"/>
  <c r="AK17" i="14"/>
  <c r="AI17" i="14"/>
  <c r="AH17" i="14" s="1"/>
  <c r="AQ16" i="14"/>
  <c r="AH16" i="14"/>
  <c r="AL16" i="14" s="1"/>
  <c r="AN15" i="14"/>
  <c r="AO15" i="14" s="1"/>
  <c r="AL15" i="14"/>
  <c r="AI15" i="14"/>
  <c r="AO14" i="14"/>
  <c r="AL14" i="14" s="1"/>
  <c r="AT13" i="14"/>
  <c r="AK13" i="14"/>
  <c r="AI13" i="14"/>
  <c r="AM13" i="14" s="1"/>
  <c r="AI12" i="14"/>
  <c r="AM12" i="14" s="1"/>
  <c r="AD12" i="14"/>
  <c r="AF12" i="14" s="1"/>
  <c r="AT11" i="14"/>
  <c r="AM11" i="14"/>
  <c r="AJ11" i="14"/>
  <c r="AK11" i="14" s="1"/>
  <c r="AH11" i="14"/>
  <c r="AN11" i="14" s="1"/>
  <c r="AO11" i="14" s="1"/>
  <c r="AE11" i="14"/>
  <c r="AF11" i="14" s="1"/>
  <c r="AD11" i="14"/>
  <c r="AL10" i="14"/>
  <c r="AN10" i="14" s="1"/>
  <c r="AO10" i="14" s="1"/>
  <c r="AI10" i="14"/>
  <c r="AM10" i="14" s="1"/>
  <c r="AT9" i="14"/>
  <c r="AO9" i="14"/>
  <c r="AN9" i="14"/>
  <c r="AL9" i="14"/>
  <c r="AJ9" i="14"/>
  <c r="AK9" i="14" s="1"/>
  <c r="AH9" i="14"/>
  <c r="AQ8" i="14"/>
  <c r="AE8" i="14"/>
  <c r="AU7" i="14"/>
  <c r="AM7" i="14"/>
  <c r="AJ7" i="14"/>
  <c r="AK7" i="14" s="1"/>
  <c r="AH7" i="14"/>
  <c r="AF7" i="14"/>
  <c r="AD7" i="14"/>
  <c r="AM6" i="14"/>
  <c r="AJ6" i="14"/>
  <c r="AK6" i="14" s="1"/>
  <c r="AH6" i="14"/>
  <c r="AL6" i="14" s="1"/>
  <c r="AE6" i="14"/>
  <c r="AF6" i="14" s="1"/>
  <c r="AD6" i="14"/>
  <c r="AM5" i="14"/>
  <c r="AQ4" i="14"/>
  <c r="AN4" i="14" s="1"/>
  <c r="AI4" i="14"/>
  <c r="AT3" i="14"/>
  <c r="AN3" i="14"/>
  <c r="AO3" i="14" s="1"/>
  <c r="AK3" i="14"/>
  <c r="AH3" i="14"/>
  <c r="AN2" i="14"/>
  <c r="AO2" i="14" s="1"/>
  <c r="AM2" i="14"/>
  <c r="AK2" i="14"/>
  <c r="AF2" i="14"/>
  <c r="AD2" i="14"/>
  <c r="AK101" i="12"/>
  <c r="AK100" i="12"/>
  <c r="AK99" i="12"/>
  <c r="AK98" i="12"/>
  <c r="AK97" i="12"/>
  <c r="AJ97" i="12"/>
  <c r="AK96" i="12"/>
  <c r="AJ96" i="12"/>
  <c r="AK95" i="12"/>
  <c r="AK94" i="12"/>
  <c r="AK93" i="12"/>
  <c r="AK92" i="12"/>
  <c r="AJ92" i="12"/>
  <c r="AK91" i="12"/>
  <c r="AK90" i="12"/>
  <c r="AK89" i="12"/>
  <c r="AK88" i="12"/>
  <c r="AJ88" i="12"/>
  <c r="AK87" i="12"/>
  <c r="AJ87" i="12"/>
  <c r="AK86" i="12"/>
  <c r="AJ86" i="12"/>
  <c r="AK85" i="12"/>
  <c r="AJ85" i="12"/>
  <c r="AK81" i="12"/>
  <c r="AK79" i="12"/>
  <c r="AH78" i="12"/>
  <c r="AI78" i="12" s="1"/>
  <c r="AC78" i="12"/>
  <c r="AD78" i="12" s="1"/>
  <c r="AJ77" i="12"/>
  <c r="AE77" i="12"/>
  <c r="AF77" i="12" s="1"/>
  <c r="AK76" i="12"/>
  <c r="AC75" i="12"/>
  <c r="AK74" i="12"/>
  <c r="AK73" i="12"/>
  <c r="AJ73" i="12"/>
  <c r="AK72" i="12"/>
  <c r="AK71" i="12"/>
  <c r="AK70" i="12"/>
  <c r="AJ69" i="12"/>
  <c r="AD69" i="12"/>
  <c r="AC69" i="12" s="1"/>
  <c r="AK68" i="12"/>
  <c r="AK67" i="12"/>
  <c r="AJ67" i="12"/>
  <c r="AF67" i="12"/>
  <c r="AK66" i="12"/>
  <c r="AE65" i="12"/>
  <c r="AJ64" i="12"/>
  <c r="AK64" i="12" s="1"/>
  <c r="AE64" i="12"/>
  <c r="AJ62" i="12"/>
  <c r="AK62" i="12" s="1"/>
  <c r="AJ60" i="12"/>
  <c r="AK60" i="12" s="1"/>
  <c r="AJ59" i="12"/>
  <c r="AJ58" i="12"/>
  <c r="AK57" i="12"/>
  <c r="AK56" i="12"/>
  <c r="AI55" i="12"/>
  <c r="AK54" i="12"/>
  <c r="AK53" i="12"/>
  <c r="AK51" i="12"/>
  <c r="AJ51" i="12"/>
  <c r="AJ50" i="12"/>
  <c r="AE50" i="12"/>
  <c r="AK49" i="12"/>
  <c r="AJ49" i="12"/>
  <c r="AJ48" i="12"/>
  <c r="AJ47" i="12"/>
  <c r="AJ45" i="12"/>
  <c r="AK45" i="12" s="1"/>
  <c r="AJ44" i="12"/>
  <c r="AK44" i="12" s="1"/>
  <c r="AJ43" i="12"/>
  <c r="AK43" i="12" s="1"/>
  <c r="AJ41" i="12"/>
  <c r="AK41" i="12" s="1"/>
  <c r="AJ40" i="12"/>
  <c r="AK40" i="12" s="1"/>
  <c r="AJ39" i="12"/>
  <c r="AI38" i="12"/>
  <c r="AH38" i="12" s="1"/>
  <c r="AN38" i="12" s="1"/>
  <c r="AO38" i="12" s="1"/>
  <c r="AC38" i="12"/>
  <c r="AC37" i="12"/>
  <c r="AE33" i="12"/>
  <c r="AE32" i="12"/>
  <c r="AE31" i="12"/>
  <c r="AE29" i="12"/>
  <c r="AF28" i="12"/>
  <c r="AE25" i="12"/>
  <c r="AF25" i="12" s="1"/>
  <c r="AJ24" i="12"/>
  <c r="AC22" i="12"/>
  <c r="AC21" i="12"/>
  <c r="AC20" i="12"/>
  <c r="AI19" i="12"/>
  <c r="AH19" i="12" s="1"/>
  <c r="AI15" i="12"/>
  <c r="AH15" i="12" s="1"/>
  <c r="AN15" i="12" s="1"/>
  <c r="AO15" i="12" s="1"/>
  <c r="AJ14" i="12"/>
  <c r="AF14" i="12"/>
  <c r="AJ13" i="12"/>
  <c r="AK13" i="12" s="1"/>
  <c r="AE13" i="12"/>
  <c r="AF13" i="12" s="1"/>
  <c r="AJ11" i="12"/>
  <c r="AK11" i="12" s="1"/>
  <c r="AC10" i="12"/>
  <c r="AD10" i="12" s="1"/>
  <c r="AC9" i="12"/>
  <c r="AJ8" i="12"/>
  <c r="AK8" i="12" s="1"/>
  <c r="AJ7" i="12"/>
  <c r="AK7" i="12" s="1"/>
  <c r="AE7" i="12"/>
  <c r="AF7" i="12" s="1"/>
  <c r="AJ5" i="12"/>
  <c r="AJ4" i="12"/>
  <c r="AL44" i="12"/>
  <c r="AM44" i="12" s="1"/>
  <c r="AQ44" i="12"/>
  <c r="AO44" i="12"/>
  <c r="AN44" i="12"/>
  <c r="AI44" i="12"/>
  <c r="AF49" i="9"/>
  <c r="AH44" i="12"/>
  <c r="AH45" i="12"/>
  <c r="AK49" i="9"/>
  <c r="AL49" i="9" s="1"/>
  <c r="AN49" i="9"/>
  <c r="AM49" i="9"/>
  <c r="AP49" i="9"/>
  <c r="AG49" i="9"/>
  <c r="AP37" i="12"/>
  <c r="AF76" i="9"/>
  <c r="AF84" i="12"/>
  <c r="AC99" i="9"/>
  <c r="AB99" i="9"/>
  <c r="Z99" i="9" s="1"/>
  <c r="AA99" i="9" s="1"/>
  <c r="AE84" i="12"/>
  <c r="AC84" i="12" s="1"/>
  <c r="AI14" i="12"/>
  <c r="AH14" i="12" s="1"/>
  <c r="AC14" i="12"/>
  <c r="AE14" i="12" s="1"/>
  <c r="AF10" i="9"/>
  <c r="AG10" i="9"/>
  <c r="AD14" i="12"/>
  <c r="Z10" i="9"/>
  <c r="AB10" i="9" s="1"/>
  <c r="AC10" i="9"/>
  <c r="AA10" i="9"/>
  <c r="AM86" i="12"/>
  <c r="AH83" i="12"/>
  <c r="AK83" i="12" s="1"/>
  <c r="AM97" i="9"/>
  <c r="AN97" i="9" s="1"/>
  <c r="AK97" i="9" s="1"/>
  <c r="AL97" i="9" s="1"/>
  <c r="AN83" i="12"/>
  <c r="AO83" i="12" s="1"/>
  <c r="AL74" i="12"/>
  <c r="AM74" i="12" s="1"/>
  <c r="AG86" i="9"/>
  <c r="AH86" i="9" s="1"/>
  <c r="AM87" i="9"/>
  <c r="AN87" i="9" s="1"/>
  <c r="AK87" i="9" s="1"/>
  <c r="AM73" i="13"/>
  <c r="AK73" i="13"/>
  <c r="AH73" i="13"/>
  <c r="AL73" i="13" s="1"/>
  <c r="AN73" i="13" s="1"/>
  <c r="AO73" i="13" s="1"/>
  <c r="AF73" i="13"/>
  <c r="AD73" i="13"/>
  <c r="AO72" i="13"/>
  <c r="AL72" i="13" s="1"/>
  <c r="AK72" i="13"/>
  <c r="AT71" i="13"/>
  <c r="AO64" i="13"/>
  <c r="AN64" i="13"/>
  <c r="AM64" i="13"/>
  <c r="AL64" i="13" s="1"/>
  <c r="AK64" i="13"/>
  <c r="AJ64" i="13"/>
  <c r="AO21" i="13"/>
  <c r="AL21" i="13" s="1"/>
  <c r="AK21" i="13"/>
  <c r="AI21" i="13"/>
  <c r="AJ21" i="13" s="1"/>
  <c r="AO31" i="13"/>
  <c r="AL31" i="13" s="1"/>
  <c r="AM31" i="13"/>
  <c r="AK31" i="13"/>
  <c r="AI31" i="13"/>
  <c r="AJ31" i="13" s="1"/>
  <c r="AN71" i="13"/>
  <c r="AO71" i="13" s="1"/>
  <c r="AM71" i="13"/>
  <c r="AK71" i="13"/>
  <c r="AI71" i="13"/>
  <c r="AJ71" i="13" s="1"/>
  <c r="AO69" i="13"/>
  <c r="AN69" i="13"/>
  <c r="AK69" i="13"/>
  <c r="AI69" i="13"/>
  <c r="AJ69" i="13" s="1"/>
  <c r="AQ66" i="13"/>
  <c r="AF68" i="13"/>
  <c r="AN67" i="13"/>
  <c r="AO67" i="13" s="1"/>
  <c r="AL67" i="13" s="1"/>
  <c r="AM67" i="13" s="1"/>
  <c r="AH67" i="13"/>
  <c r="AK67" i="13" s="1"/>
  <c r="AT64" i="13"/>
  <c r="AM66" i="13"/>
  <c r="AK66" i="13"/>
  <c r="AI66" i="13"/>
  <c r="AJ66" i="13" s="1"/>
  <c r="AT63" i="13"/>
  <c r="AN65" i="13"/>
  <c r="AO65" i="13" s="1"/>
  <c r="AH65" i="13"/>
  <c r="AK65" i="13" s="1"/>
  <c r="AT62" i="13"/>
  <c r="AO63" i="13"/>
  <c r="AL63" i="13" s="1"/>
  <c r="AM63" i="13" s="1"/>
  <c r="AK63" i="13"/>
  <c r="AI63" i="13"/>
  <c r="AT61" i="13"/>
  <c r="AN62" i="13"/>
  <c r="AO62" i="13" s="1"/>
  <c r="AM62" i="13"/>
  <c r="AJ62" i="13"/>
  <c r="AH62" i="13"/>
  <c r="AI62" i="13" s="1"/>
  <c r="AF62" i="13"/>
  <c r="AC62" i="13"/>
  <c r="AD62" i="13" s="1"/>
  <c r="AT60" i="13"/>
  <c r="AM61" i="13"/>
  <c r="AJ61" i="13"/>
  <c r="AH61" i="13"/>
  <c r="AN61" i="13" s="1"/>
  <c r="AO61" i="13" s="1"/>
  <c r="AE61" i="13"/>
  <c r="AF61" i="13" s="1"/>
  <c r="AD61" i="13"/>
  <c r="AQ59" i="13"/>
  <c r="AT59" i="13" s="1"/>
  <c r="AN60" i="13"/>
  <c r="AH60" i="13"/>
  <c r="AK60" i="13" s="1"/>
  <c r="AM59" i="13"/>
  <c r="AC59" i="13"/>
  <c r="AT57" i="13"/>
  <c r="AN57" i="13"/>
  <c r="AO57" i="13" s="1"/>
  <c r="AM57" i="13"/>
  <c r="AK57" i="13"/>
  <c r="AI57" i="13"/>
  <c r="AJ57" i="13" s="1"/>
  <c r="AT56" i="13"/>
  <c r="AN58" i="13"/>
  <c r="AO58" i="13" s="1"/>
  <c r="AK58" i="13"/>
  <c r="AJ58" i="13"/>
  <c r="AO56" i="13"/>
  <c r="AL56" i="13" s="1"/>
  <c r="AK56" i="13"/>
  <c r="AU54" i="13"/>
  <c r="AI55" i="13"/>
  <c r="AJ55" i="13" s="1"/>
  <c r="AE55" i="13"/>
  <c r="AD55" i="13"/>
  <c r="AC55" i="13" s="1"/>
  <c r="AN54" i="13"/>
  <c r="AO54" i="13" s="1"/>
  <c r="AL54" i="13"/>
  <c r="AK54" i="13"/>
  <c r="AI54" i="13"/>
  <c r="AJ54" i="13" s="1"/>
  <c r="AT52" i="13"/>
  <c r="AN53" i="13"/>
  <c r="AO53" i="13" s="1"/>
  <c r="AL53" i="13" s="1"/>
  <c r="AM53" i="13" s="1"/>
  <c r="AK53" i="13"/>
  <c r="AJ53" i="13"/>
  <c r="AF53" i="13"/>
  <c r="AC53" i="13"/>
  <c r="AE53" i="13" s="1"/>
  <c r="AT51" i="13"/>
  <c r="AO52" i="13"/>
  <c r="AL52" i="13" s="1"/>
  <c r="AM52" i="13" s="1"/>
  <c r="AK52" i="13"/>
  <c r="AI52" i="13"/>
  <c r="AJ52" i="13" s="1"/>
  <c r="AE51" i="13"/>
  <c r="AT49" i="13"/>
  <c r="AL50" i="13"/>
  <c r="AJ50" i="13"/>
  <c r="AK50" i="13" s="1"/>
  <c r="AH50" i="13"/>
  <c r="AE50" i="13"/>
  <c r="AD50" i="13"/>
  <c r="AF50" i="13" s="1"/>
  <c r="AQ48" i="13"/>
  <c r="AH49" i="13"/>
  <c r="AN49" i="13" s="1"/>
  <c r="AQ47" i="13"/>
  <c r="AI48" i="13"/>
  <c r="AJ48" i="13" s="1"/>
  <c r="AQ46" i="13"/>
  <c r="AO47" i="13"/>
  <c r="AN47" i="13"/>
  <c r="AH47" i="13"/>
  <c r="AL47" i="13" s="1"/>
  <c r="AI46" i="13"/>
  <c r="AO45" i="13"/>
  <c r="AL45" i="13" s="1"/>
  <c r="AM45" i="13" s="1"/>
  <c r="AK45" i="13"/>
  <c r="AI45" i="13"/>
  <c r="AJ45" i="13" s="1"/>
  <c r="AM44" i="13"/>
  <c r="AI44" i="13"/>
  <c r="AJ44" i="13" s="1"/>
  <c r="AO43" i="13"/>
  <c r="AM43" i="13"/>
  <c r="AK43" i="13"/>
  <c r="AJ43" i="13"/>
  <c r="AM42" i="13"/>
  <c r="AJ42" i="13"/>
  <c r="AH42" i="13"/>
  <c r="AN42" i="13" s="1"/>
  <c r="AO42" i="13" s="1"/>
  <c r="AE42" i="13"/>
  <c r="AD42" i="13"/>
  <c r="AF42" i="13" s="1"/>
  <c r="AU40" i="13"/>
  <c r="AN41" i="13"/>
  <c r="AO41" i="13" s="1"/>
  <c r="AM41" i="13"/>
  <c r="AL41" i="13"/>
  <c r="AK41" i="13"/>
  <c r="AJ41" i="13"/>
  <c r="AQ39" i="13"/>
  <c r="AI39" i="13"/>
  <c r="AJ39" i="13" s="1"/>
  <c r="AT38" i="13"/>
  <c r="AO38" i="13"/>
  <c r="AL38" i="13" s="1"/>
  <c r="AM38" i="13" s="1"/>
  <c r="AH38" i="13"/>
  <c r="AK38" i="13" s="1"/>
  <c r="AM37" i="13"/>
  <c r="AJ37" i="13"/>
  <c r="AK37" i="13" s="1"/>
  <c r="AH37" i="13"/>
  <c r="AT36" i="13"/>
  <c r="AO36" i="13"/>
  <c r="AN36" i="13"/>
  <c r="AL36" i="13"/>
  <c r="AJ36" i="13"/>
  <c r="AK36" i="13" s="1"/>
  <c r="AO35" i="13"/>
  <c r="AL35" i="13" s="1"/>
  <c r="AM35" i="13" s="1"/>
  <c r="AI35" i="13"/>
  <c r="AJ35" i="13" s="1"/>
  <c r="AN34" i="13"/>
  <c r="AO34" i="13" s="1"/>
  <c r="AM34" i="13"/>
  <c r="AL34" i="13"/>
  <c r="AJ34" i="13"/>
  <c r="AK34" i="13" s="1"/>
  <c r="AT33" i="13"/>
  <c r="AN33" i="13"/>
  <c r="AO33" i="13" s="1"/>
  <c r="AM33" i="13"/>
  <c r="AL33" i="13"/>
  <c r="AJ33" i="13"/>
  <c r="AK33" i="13" s="1"/>
  <c r="AQ32" i="13"/>
  <c r="AI32" i="13"/>
  <c r="AJ32" i="13" s="1"/>
  <c r="AT31" i="13"/>
  <c r="AK30" i="13"/>
  <c r="AI30" i="13"/>
  <c r="AH30" i="13" s="1"/>
  <c r="AN30" i="13" s="1"/>
  <c r="AO30" i="13" s="1"/>
  <c r="AF30" i="13"/>
  <c r="AD30" i="13" s="1"/>
  <c r="AC30" i="13"/>
  <c r="AE29" i="13"/>
  <c r="AC29" i="13" s="1"/>
  <c r="AN27" i="13"/>
  <c r="AO27" i="13" s="1"/>
  <c r="AL27" i="13"/>
  <c r="AI27" i="13"/>
  <c r="AM27" i="13" s="1"/>
  <c r="AQ28" i="13"/>
  <c r="AC26" i="13"/>
  <c r="AE26" i="13" s="1"/>
  <c r="AT27" i="13"/>
  <c r="AO25" i="13"/>
  <c r="AL25" i="13" s="1"/>
  <c r="AM25" i="13" s="1"/>
  <c r="AI25" i="13"/>
  <c r="AJ25" i="13" s="1"/>
  <c r="AM24" i="13"/>
  <c r="AI24" i="13" s="1"/>
  <c r="AJ24" i="13" s="1"/>
  <c r="AE24" i="13"/>
  <c r="AT25" i="13"/>
  <c r="AO23" i="13"/>
  <c r="AL23" i="13" s="1"/>
  <c r="AM23" i="13" s="1"/>
  <c r="AI23" i="13"/>
  <c r="AJ23" i="13" s="1"/>
  <c r="AK23" i="13" s="1"/>
  <c r="AF23" i="13"/>
  <c r="AC23" i="13"/>
  <c r="AE23" i="13" s="1"/>
  <c r="AT24" i="13"/>
  <c r="AM22" i="13"/>
  <c r="AI22" i="13"/>
  <c r="AJ22" i="13" s="1"/>
  <c r="AK22" i="13" s="1"/>
  <c r="AT23" i="13"/>
  <c r="AM20" i="13"/>
  <c r="AI20" i="13"/>
  <c r="AJ20" i="13" s="1"/>
  <c r="AK20" i="13" s="1"/>
  <c r="AT22" i="13"/>
  <c r="AE19" i="13"/>
  <c r="AF19" i="13" s="1"/>
  <c r="AD19" i="13"/>
  <c r="AT21" i="13"/>
  <c r="AL18" i="13"/>
  <c r="AN18" i="13" s="1"/>
  <c r="AO18" i="13" s="1"/>
  <c r="AJ18" i="13"/>
  <c r="AT20" i="13"/>
  <c r="AM17" i="13"/>
  <c r="AI17" i="13"/>
  <c r="AJ17" i="13" s="1"/>
  <c r="AK17" i="13" s="1"/>
  <c r="AQ19" i="13"/>
  <c r="AT19" i="13" s="1"/>
  <c r="AE16" i="13"/>
  <c r="AC16" i="13" s="1"/>
  <c r="AF15" i="13"/>
  <c r="AD15" i="13" s="1"/>
  <c r="AC15" i="13"/>
  <c r="AN14" i="13"/>
  <c r="AO14" i="13" s="1"/>
  <c r="AL14" i="13" s="1"/>
  <c r="AM14" i="13" s="1"/>
  <c r="AK14" i="13"/>
  <c r="AI14" i="13"/>
  <c r="AH14" i="13" s="1"/>
  <c r="AQ16" i="13"/>
  <c r="AH11" i="13"/>
  <c r="AN9" i="13"/>
  <c r="AO9" i="13" s="1"/>
  <c r="AL9" i="13"/>
  <c r="AI9" i="13"/>
  <c r="AM9" i="13" s="1"/>
  <c r="AO13" i="13"/>
  <c r="AL13" i="13" s="1"/>
  <c r="AM13" i="13" s="1"/>
  <c r="AI13" i="13" s="1"/>
  <c r="AJ13" i="13" s="1"/>
  <c r="AT13" i="13"/>
  <c r="AK10" i="13"/>
  <c r="AI10" i="13"/>
  <c r="AM10" i="13" s="1"/>
  <c r="AI8" i="13"/>
  <c r="AJ8" i="13" s="1"/>
  <c r="AK8" i="13" s="1"/>
  <c r="AD8" i="13"/>
  <c r="AF8" i="13" s="1"/>
  <c r="AC8" i="13"/>
  <c r="AE8" i="13" s="1"/>
  <c r="AT11" i="13"/>
  <c r="AM70" i="13"/>
  <c r="AJ70" i="13"/>
  <c r="AK70" i="13" s="1"/>
  <c r="AH70" i="13"/>
  <c r="AL70" i="13" s="1"/>
  <c r="AE70" i="13"/>
  <c r="AF70" i="13" s="1"/>
  <c r="AD70" i="13"/>
  <c r="AL40" i="13"/>
  <c r="AN40" i="13" s="1"/>
  <c r="AO40" i="13" s="1"/>
  <c r="AI40" i="13"/>
  <c r="AJ40" i="13" s="1"/>
  <c r="AK40" i="13" s="1"/>
  <c r="AT9" i="13"/>
  <c r="AO28" i="13"/>
  <c r="AN28" i="13"/>
  <c r="AL28" i="13"/>
  <c r="AJ28" i="13"/>
  <c r="AK28" i="13" s="1"/>
  <c r="AH28" i="13"/>
  <c r="AQ8" i="13"/>
  <c r="AE12" i="13"/>
  <c r="AU7" i="13"/>
  <c r="AM7" i="13"/>
  <c r="AJ7" i="13"/>
  <c r="AK7" i="13" s="1"/>
  <c r="AH7" i="13"/>
  <c r="AL7" i="13" s="1"/>
  <c r="AF7" i="13"/>
  <c r="AD7" i="13"/>
  <c r="AM6" i="13"/>
  <c r="AJ6" i="13"/>
  <c r="AK6" i="13" s="1"/>
  <c r="AH6" i="13"/>
  <c r="AL6" i="13" s="1"/>
  <c r="AE6" i="13"/>
  <c r="AF6" i="13" s="1"/>
  <c r="AD6" i="13"/>
  <c r="AM5" i="13"/>
  <c r="AQ4" i="13"/>
  <c r="AN4" i="13" s="1"/>
  <c r="AO4" i="13" s="1"/>
  <c r="AI4" i="13"/>
  <c r="AJ4" i="13" s="1"/>
  <c r="AT3" i="13"/>
  <c r="AN3" i="13"/>
  <c r="AK3" i="13"/>
  <c r="AH3" i="13"/>
  <c r="AN2" i="13"/>
  <c r="AO2" i="13" s="1"/>
  <c r="AM2" i="13"/>
  <c r="AK2" i="13"/>
  <c r="AF2" i="13"/>
  <c r="AD2" i="13"/>
  <c r="AQ84" i="12"/>
  <c r="AN78" i="12"/>
  <c r="AO78" i="12" s="1"/>
  <c r="AM78" i="12"/>
  <c r="AF78" i="12"/>
  <c r="AH64" i="12"/>
  <c r="AE37" i="12"/>
  <c r="AN87" i="12"/>
  <c r="AO88" i="12"/>
  <c r="AN88" i="12"/>
  <c r="AO87" i="12"/>
  <c r="AL88" i="12"/>
  <c r="AH88" i="12"/>
  <c r="AI88" i="12"/>
  <c r="AN103" i="9"/>
  <c r="AM103" i="9"/>
  <c r="AK103" i="9"/>
  <c r="AI103" i="9"/>
  <c r="AF103" i="9"/>
  <c r="AN102" i="9"/>
  <c r="AM102" i="9"/>
  <c r="AI102" i="9"/>
  <c r="AI87" i="12"/>
  <c r="AI85" i="12"/>
  <c r="AM85" i="12" s="1"/>
  <c r="AU69" i="12"/>
  <c r="AU49" i="12"/>
  <c r="AU8" i="12"/>
  <c r="AT71" i="12"/>
  <c r="AT97" i="12"/>
  <c r="AT96" i="12"/>
  <c r="AT81" i="12"/>
  <c r="AT80" i="12"/>
  <c r="AT79" i="12"/>
  <c r="AT78" i="12"/>
  <c r="AT77" i="12"/>
  <c r="AT74" i="12"/>
  <c r="AT73" i="12"/>
  <c r="AT67" i="12"/>
  <c r="AT66" i="12"/>
  <c r="AT64" i="12"/>
  <c r="AT46" i="12"/>
  <c r="AT43" i="12"/>
  <c r="AT40" i="12"/>
  <c r="AT38" i="12"/>
  <c r="AT30" i="12"/>
  <c r="AT28" i="12"/>
  <c r="AT27" i="12"/>
  <c r="AT26" i="12"/>
  <c r="AT25" i="12"/>
  <c r="AT24" i="12"/>
  <c r="AT23" i="12"/>
  <c r="AT15" i="12"/>
  <c r="AT13" i="12"/>
  <c r="AT11" i="12"/>
  <c r="AT3" i="12"/>
  <c r="AI90" i="12"/>
  <c r="AJ90" i="12" s="1"/>
  <c r="AI91" i="12"/>
  <c r="AJ91" i="12" s="1"/>
  <c r="AI89" i="12"/>
  <c r="AJ89" i="12" s="1"/>
  <c r="AN68" i="12"/>
  <c r="AO68" i="12" s="1"/>
  <c r="AN49" i="12"/>
  <c r="AO49" i="12" s="1"/>
  <c r="AN35" i="12"/>
  <c r="AO35" i="12" s="1"/>
  <c r="AN36" i="12"/>
  <c r="AO36" i="12" s="1"/>
  <c r="AN40" i="12"/>
  <c r="AO40" i="12" s="1"/>
  <c r="AN41" i="12"/>
  <c r="AO41" i="12" s="1"/>
  <c r="AN34" i="12"/>
  <c r="AO34" i="12" s="1"/>
  <c r="AN17" i="12"/>
  <c r="AO17" i="12" s="1"/>
  <c r="AM29" i="12"/>
  <c r="AI29" i="12" s="1"/>
  <c r="AJ29" i="12" s="1"/>
  <c r="AM77" i="12"/>
  <c r="AL68" i="12"/>
  <c r="AM60" i="12"/>
  <c r="AL49" i="12"/>
  <c r="AM49" i="12"/>
  <c r="AM50" i="12"/>
  <c r="AL35" i="12"/>
  <c r="AL36" i="12"/>
  <c r="AL40" i="12"/>
  <c r="AM40" i="12"/>
  <c r="AL41" i="12"/>
  <c r="AM41" i="12"/>
  <c r="AL34" i="12"/>
  <c r="AL24" i="12"/>
  <c r="AN24" i="12" s="1"/>
  <c r="AO24" i="12" s="1"/>
  <c r="AL43" i="12"/>
  <c r="AL64" i="12"/>
  <c r="AM51" i="12"/>
  <c r="AM52" i="12"/>
  <c r="AN80" i="12"/>
  <c r="AO80" i="12" s="1"/>
  <c r="AM81" i="12"/>
  <c r="AM89" i="12"/>
  <c r="AM91" i="12"/>
  <c r="AL17" i="12"/>
  <c r="AM13" i="12"/>
  <c r="AM8" i="12"/>
  <c r="AM7" i="12"/>
  <c r="AM75" i="12"/>
  <c r="AO43" i="12"/>
  <c r="AN82" i="12"/>
  <c r="AN73" i="12"/>
  <c r="AO73" i="12" s="1"/>
  <c r="AN43" i="12"/>
  <c r="AN19" i="12"/>
  <c r="AH11" i="12"/>
  <c r="AN3" i="12"/>
  <c r="AO3" i="12" s="1"/>
  <c r="AH3" i="12"/>
  <c r="AM6" i="12"/>
  <c r="AM116" i="12"/>
  <c r="AK116" i="12"/>
  <c r="AH116" i="12"/>
  <c r="AL116" i="12" s="1"/>
  <c r="AF116" i="12"/>
  <c r="AD116" i="12"/>
  <c r="AM115" i="12"/>
  <c r="AK115" i="12"/>
  <c r="AH115" i="12"/>
  <c r="AL115" i="12" s="1"/>
  <c r="AF115" i="12"/>
  <c r="AD115" i="12"/>
  <c r="AM114" i="12"/>
  <c r="AK114" i="12"/>
  <c r="AH114" i="12"/>
  <c r="AL114" i="12" s="1"/>
  <c r="AF114" i="12"/>
  <c r="AD114" i="12"/>
  <c r="AM113" i="12"/>
  <c r="AK113" i="12"/>
  <c r="AH113" i="12"/>
  <c r="AL113" i="12" s="1"/>
  <c r="AF113" i="12"/>
  <c r="AD113" i="12"/>
  <c r="AM112" i="12"/>
  <c r="AK112" i="12"/>
  <c r="AH112" i="12"/>
  <c r="AL112" i="12" s="1"/>
  <c r="AF112" i="12"/>
  <c r="AD112" i="12"/>
  <c r="AM111" i="12"/>
  <c r="AK111" i="12"/>
  <c r="AH111" i="12"/>
  <c r="AL111" i="12" s="1"/>
  <c r="AF111" i="12"/>
  <c r="AD111" i="12"/>
  <c r="AM110" i="12"/>
  <c r="AK110" i="12"/>
  <c r="AH110" i="12"/>
  <c r="AL110" i="12" s="1"/>
  <c r="AF110" i="12"/>
  <c r="AD110" i="12"/>
  <c r="AM109" i="12"/>
  <c r="AK109" i="12"/>
  <c r="AH109" i="12"/>
  <c r="AL109" i="12" s="1"/>
  <c r="AF109" i="12"/>
  <c r="AD109" i="12"/>
  <c r="AM108" i="12"/>
  <c r="AK108" i="12"/>
  <c r="AH108" i="12"/>
  <c r="AL108" i="12" s="1"/>
  <c r="AF108" i="12"/>
  <c r="AD108" i="12"/>
  <c r="AM107" i="12"/>
  <c r="AK107" i="12"/>
  <c r="AH107" i="12"/>
  <c r="AL107" i="12" s="1"/>
  <c r="AF107" i="12"/>
  <c r="AD107" i="12"/>
  <c r="AM106" i="12"/>
  <c r="AK106" i="12"/>
  <c r="AH106" i="12"/>
  <c r="AL106" i="12" s="1"/>
  <c r="AF106" i="12"/>
  <c r="AD106" i="12"/>
  <c r="AM105" i="12"/>
  <c r="AK105" i="12"/>
  <c r="AH105" i="12"/>
  <c r="AL105" i="12" s="1"/>
  <c r="AF105" i="12"/>
  <c r="AD105" i="12"/>
  <c r="AM104" i="12"/>
  <c r="AK104" i="12"/>
  <c r="AH104" i="12"/>
  <c r="AL104" i="12" s="1"/>
  <c r="AF104" i="12"/>
  <c r="AD104" i="12"/>
  <c r="AM103" i="12"/>
  <c r="AK103" i="12"/>
  <c r="AH103" i="12"/>
  <c r="AL103" i="12" s="1"/>
  <c r="AF103" i="12"/>
  <c r="AD103" i="12"/>
  <c r="AM102" i="12"/>
  <c r="AK102" i="12"/>
  <c r="AH102" i="12"/>
  <c r="AL102" i="12" s="1"/>
  <c r="AF102" i="12"/>
  <c r="AD102" i="12"/>
  <c r="AN101" i="12"/>
  <c r="AO101" i="12" s="1"/>
  <c r="AL101" i="12" s="1"/>
  <c r="AH101" i="12"/>
  <c r="AN100" i="12"/>
  <c r="AO100" i="12" s="1"/>
  <c r="AL100" i="12" s="1"/>
  <c r="AH100" i="12"/>
  <c r="AN99" i="12"/>
  <c r="AO99" i="12" s="1"/>
  <c r="AL99" i="12" s="1"/>
  <c r="AH99" i="12"/>
  <c r="AO98" i="12"/>
  <c r="AL98" i="12" s="1"/>
  <c r="AO97" i="12"/>
  <c r="AN97" i="12"/>
  <c r="AM97" i="12"/>
  <c r="AL97" i="12" s="1"/>
  <c r="AO96" i="12"/>
  <c r="AN96" i="12"/>
  <c r="AM96" i="12"/>
  <c r="AL96" i="12" s="1"/>
  <c r="AO95" i="12"/>
  <c r="AL95" i="12" s="1"/>
  <c r="AI95" i="12"/>
  <c r="AJ95" i="12" s="1"/>
  <c r="AO94" i="12"/>
  <c r="AL94" i="12" s="1"/>
  <c r="AI94" i="12"/>
  <c r="AJ94" i="12" s="1"/>
  <c r="AO93" i="12"/>
  <c r="AL93" i="12" s="1"/>
  <c r="AI93" i="12"/>
  <c r="AJ93" i="12" s="1"/>
  <c r="AM14" i="3"/>
  <c r="AN14" i="3" s="1"/>
  <c r="AM15" i="3"/>
  <c r="AN15" i="3"/>
  <c r="AM16" i="3"/>
  <c r="AN16" i="3"/>
  <c r="AM17" i="3"/>
  <c r="AN17" i="3"/>
  <c r="AM18" i="3"/>
  <c r="AN18" i="3"/>
  <c r="AM19" i="3"/>
  <c r="AN19" i="3"/>
  <c r="AM20" i="3"/>
  <c r="AN20" i="3" s="1"/>
  <c r="AM21" i="3"/>
  <c r="AN21" i="3"/>
  <c r="AM22" i="3"/>
  <c r="AN22" i="3"/>
  <c r="AM23" i="3"/>
  <c r="AN23" i="3"/>
  <c r="AM24" i="3"/>
  <c r="AN24" i="3"/>
  <c r="AM25" i="3"/>
  <c r="AN25" i="3"/>
  <c r="AM26" i="3"/>
  <c r="AN26" i="3" s="1"/>
  <c r="AM27" i="3"/>
  <c r="AN27" i="3"/>
  <c r="AM28" i="3"/>
  <c r="AN28" i="3"/>
  <c r="AN13" i="3"/>
  <c r="AM13" i="3"/>
  <c r="AO92" i="12"/>
  <c r="AL92" i="12" s="1"/>
  <c r="AM92" i="12"/>
  <c r="AI92" i="12"/>
  <c r="AN91" i="12"/>
  <c r="AO91" i="12" s="1"/>
  <c r="AN90" i="12"/>
  <c r="AO90" i="12" s="1"/>
  <c r="AM90" i="12"/>
  <c r="AO86" i="12"/>
  <c r="AN86" i="12"/>
  <c r="AO85" i="12"/>
  <c r="AN85" i="12"/>
  <c r="AH82" i="12"/>
  <c r="AK82" i="12" s="1"/>
  <c r="AI81" i="12"/>
  <c r="AJ81" i="12" s="1"/>
  <c r="AH80" i="12"/>
  <c r="AK80" i="12" s="1"/>
  <c r="AO79" i="12"/>
  <c r="AL79" i="12" s="1"/>
  <c r="AI79" i="12"/>
  <c r="AJ78" i="12"/>
  <c r="AH77" i="12"/>
  <c r="AK77" i="12" s="1"/>
  <c r="AD77" i="12"/>
  <c r="AQ76" i="12"/>
  <c r="AT76" i="12" s="1"/>
  <c r="AN76" i="12"/>
  <c r="AH76" i="12"/>
  <c r="AI74" i="12"/>
  <c r="AJ74" i="12" s="1"/>
  <c r="AO72" i="12"/>
  <c r="AL72" i="12" s="1"/>
  <c r="AO71" i="12"/>
  <c r="AL71" i="12" s="1"/>
  <c r="AO70" i="12"/>
  <c r="AL70" i="12" s="1"/>
  <c r="AI69" i="12"/>
  <c r="AH69" i="12" s="1"/>
  <c r="AK69" i="12" s="1"/>
  <c r="AE69" i="12"/>
  <c r="AI68" i="12"/>
  <c r="AM68" i="12" s="1"/>
  <c r="AN67" i="12"/>
  <c r="AO67" i="12" s="1"/>
  <c r="AC67" i="12"/>
  <c r="AE67" i="12" s="1"/>
  <c r="AO66" i="12"/>
  <c r="AL66" i="12" s="1"/>
  <c r="AI66" i="12"/>
  <c r="AJ66" i="12" s="1"/>
  <c r="AD64" i="12"/>
  <c r="AF64" i="12" s="1"/>
  <c r="AN63" i="12"/>
  <c r="AI63" i="12"/>
  <c r="AJ63" i="12" s="1"/>
  <c r="AN62" i="12"/>
  <c r="AO62" i="12" s="1"/>
  <c r="AQ61" i="12"/>
  <c r="AH61" i="12"/>
  <c r="AN61" i="12" s="1"/>
  <c r="AH60" i="12"/>
  <c r="AN60" i="12" s="1"/>
  <c r="AO60" i="12" s="1"/>
  <c r="AQ59" i="12"/>
  <c r="AI59" i="12"/>
  <c r="AQ58" i="12"/>
  <c r="AI58" i="12"/>
  <c r="AQ57" i="12"/>
  <c r="AO57" i="12"/>
  <c r="AN57" i="12"/>
  <c r="AH57" i="12"/>
  <c r="AQ56" i="12"/>
  <c r="AO56" i="12"/>
  <c r="AN56" i="12"/>
  <c r="AH56" i="12"/>
  <c r="AL56" i="12" s="1"/>
  <c r="AO54" i="12"/>
  <c r="AL54" i="12" s="1"/>
  <c r="AO53" i="12"/>
  <c r="AL53" i="12" s="1"/>
  <c r="AI53" i="12"/>
  <c r="AJ53" i="12" s="1"/>
  <c r="AI52" i="12"/>
  <c r="AJ52" i="12" s="1"/>
  <c r="AO51" i="12"/>
  <c r="AH50" i="12"/>
  <c r="AK50" i="12" s="1"/>
  <c r="AD50" i="12"/>
  <c r="AF50" i="12" s="1"/>
  <c r="AQ48" i="12"/>
  <c r="AI48" i="12"/>
  <c r="AQ47" i="12"/>
  <c r="AI47" i="12"/>
  <c r="AO46" i="12"/>
  <c r="AL46" i="12" s="1"/>
  <c r="AH46" i="12"/>
  <c r="AK46" i="12" s="1"/>
  <c r="AO42" i="12"/>
  <c r="AL42" i="12" s="1"/>
  <c r="AI42" i="12"/>
  <c r="AJ42" i="12" s="1"/>
  <c r="AQ39" i="12"/>
  <c r="AI39" i="12"/>
  <c r="AK38" i="12"/>
  <c r="AF38" i="12"/>
  <c r="AD38" i="12" s="1"/>
  <c r="AI36" i="12"/>
  <c r="AJ36" i="12" s="1"/>
  <c r="AI35" i="12"/>
  <c r="AJ35" i="12" s="1"/>
  <c r="AI34" i="12"/>
  <c r="AQ33" i="12"/>
  <c r="AC33" i="12"/>
  <c r="AQ32" i="12"/>
  <c r="AC32" i="12"/>
  <c r="AQ31" i="12"/>
  <c r="AC31" i="12"/>
  <c r="AO30" i="12"/>
  <c r="AL30" i="12" s="1"/>
  <c r="AI30" i="12"/>
  <c r="AJ30" i="12" s="1"/>
  <c r="AO28" i="12"/>
  <c r="AL28" i="12" s="1"/>
  <c r="AI28" i="12"/>
  <c r="AJ28" i="12" s="1"/>
  <c r="AC28" i="12"/>
  <c r="AE28" i="12" s="1"/>
  <c r="AM27" i="12"/>
  <c r="AI27" i="12"/>
  <c r="AJ27" i="12" s="1"/>
  <c r="AM26" i="12"/>
  <c r="AI26" i="12"/>
  <c r="AJ26" i="12" s="1"/>
  <c r="AD25" i="12"/>
  <c r="AM23" i="12"/>
  <c r="AI23" i="12"/>
  <c r="AJ23" i="12" s="1"/>
  <c r="AQ22" i="12"/>
  <c r="AE22" i="12"/>
  <c r="AQ21" i="12"/>
  <c r="AT21" i="12" s="1"/>
  <c r="AE21" i="12"/>
  <c r="AF20" i="12"/>
  <c r="AD20" i="12" s="1"/>
  <c r="AK19" i="12"/>
  <c r="AQ18" i="12"/>
  <c r="AH18" i="12"/>
  <c r="AN18" i="12" s="1"/>
  <c r="AO18" i="12" s="1"/>
  <c r="AI17" i="12"/>
  <c r="AJ17" i="12" s="1"/>
  <c r="AO16" i="12"/>
  <c r="AL16" i="12" s="1"/>
  <c r="AH16" i="12" s="1"/>
  <c r="AK16" i="12" s="1"/>
  <c r="AK15" i="12"/>
  <c r="AH13" i="12"/>
  <c r="AN13" i="12" s="1"/>
  <c r="AO13" i="12" s="1"/>
  <c r="AD13" i="12"/>
  <c r="AL12" i="12"/>
  <c r="AN12" i="12" s="1"/>
  <c r="AO12" i="12" s="1"/>
  <c r="AI12" i="12"/>
  <c r="AJ12" i="12" s="1"/>
  <c r="AO11" i="12"/>
  <c r="AN11" i="12"/>
  <c r="AL11" i="12"/>
  <c r="AF10" i="12"/>
  <c r="AQ9" i="12"/>
  <c r="AE9" i="12"/>
  <c r="AH8" i="12"/>
  <c r="AN8" i="12" s="1"/>
  <c r="AO8" i="12" s="1"/>
  <c r="AF8" i="12"/>
  <c r="AD8" i="12"/>
  <c r="AH7" i="12"/>
  <c r="AN7" i="12" s="1"/>
  <c r="AO7" i="12" s="1"/>
  <c r="AD7" i="12"/>
  <c r="AQ5" i="12"/>
  <c r="AI5" i="12"/>
  <c r="AQ4" i="12"/>
  <c r="AN4" i="12" s="1"/>
  <c r="AO4" i="12" s="1"/>
  <c r="AI4" i="12"/>
  <c r="AK3" i="12"/>
  <c r="AN2" i="12"/>
  <c r="AO2" i="12" s="1"/>
  <c r="AM2" i="12"/>
  <c r="AK2" i="12"/>
  <c r="AF2" i="12"/>
  <c r="AD2" i="12"/>
  <c r="AM107" i="9"/>
  <c r="AN107" i="9" s="1"/>
  <c r="AM108" i="9"/>
  <c r="AN108" i="9" s="1"/>
  <c r="AM106" i="9"/>
  <c r="AN106" i="9" s="1"/>
  <c r="AM91" i="9"/>
  <c r="AN91" i="9" s="1"/>
  <c r="AM86" i="9"/>
  <c r="AN86" i="9" s="1"/>
  <c r="AM79" i="9"/>
  <c r="AN79" i="9" s="1"/>
  <c r="AM2" i="9"/>
  <c r="AN2" i="9" s="1"/>
  <c r="AM94" i="9"/>
  <c r="AN94" i="9" s="1"/>
  <c r="AN40" i="9"/>
  <c r="AM40" i="9"/>
  <c r="AK40" i="9"/>
  <c r="AL107" i="9"/>
  <c r="AL108" i="9"/>
  <c r="AL106" i="9"/>
  <c r="AN101" i="9"/>
  <c r="AM101" i="9"/>
  <c r="AN100" i="9"/>
  <c r="AM100" i="9"/>
  <c r="AL95" i="9"/>
  <c r="AN59" i="9"/>
  <c r="AL91" i="9"/>
  <c r="AL86" i="9"/>
  <c r="AK76" i="9"/>
  <c r="AL60" i="9"/>
  <c r="AL59" i="9"/>
  <c r="AL28" i="9"/>
  <c r="AL26" i="9"/>
  <c r="AK24" i="9"/>
  <c r="AM24" i="9" s="1"/>
  <c r="AN24" i="9" s="1"/>
  <c r="AL23" i="9"/>
  <c r="AK56" i="9"/>
  <c r="AM56" i="9" s="1"/>
  <c r="AN56" i="9" s="1"/>
  <c r="AN43" i="9"/>
  <c r="AK43" i="9" s="1"/>
  <c r="AN92" i="9"/>
  <c r="AN89" i="9"/>
  <c r="AK89" i="9" s="1"/>
  <c r="AN84" i="9"/>
  <c r="AK84" i="9" s="1"/>
  <c r="AN83" i="9"/>
  <c r="AK83" i="9" s="1"/>
  <c r="AN82" i="9"/>
  <c r="AK82" i="9" s="1"/>
  <c r="AN78" i="9"/>
  <c r="AK78" i="9" s="1"/>
  <c r="AL78" i="9" s="1"/>
  <c r="AN62" i="9"/>
  <c r="AK62" i="9" s="1"/>
  <c r="AN61" i="9"/>
  <c r="AK61" i="9" s="1"/>
  <c r="AL61" i="9" s="1"/>
  <c r="AN52" i="9"/>
  <c r="AK52" i="9" s="1"/>
  <c r="AL52" i="9" s="1"/>
  <c r="AN47" i="9"/>
  <c r="AK47" i="9" s="1"/>
  <c r="AL47" i="9" s="1"/>
  <c r="AN31" i="9"/>
  <c r="AK31" i="9" s="1"/>
  <c r="AL31" i="9" s="1"/>
  <c r="AN29" i="9"/>
  <c r="AK29" i="9" s="1"/>
  <c r="AL29" i="9" s="1"/>
  <c r="AN17" i="9"/>
  <c r="AK17" i="9" s="1"/>
  <c r="AL17" i="9" s="1"/>
  <c r="AN4" i="9"/>
  <c r="AK4" i="9" s="1"/>
  <c r="AL4" i="9" s="1"/>
  <c r="AM73" i="9"/>
  <c r="AM74" i="9"/>
  <c r="AN74" i="9" s="1"/>
  <c r="AL2" i="9"/>
  <c r="AF97" i="9"/>
  <c r="AI97" i="9" s="1"/>
  <c r="AF96" i="9"/>
  <c r="AI96" i="9" s="1"/>
  <c r="AI95" i="9"/>
  <c r="AG95" i="9"/>
  <c r="AH95" i="9" s="1"/>
  <c r="AF94" i="9"/>
  <c r="AI94" i="9" s="1"/>
  <c r="AI92" i="9"/>
  <c r="AH90" i="9"/>
  <c r="AG92" i="9"/>
  <c r="AH91" i="9"/>
  <c r="AF91" i="9"/>
  <c r="AG91" i="9" s="1"/>
  <c r="AF90" i="9"/>
  <c r="AI90" i="9" s="1"/>
  <c r="AI89" i="9"/>
  <c r="AI86" i="9"/>
  <c r="AI87" i="9"/>
  <c r="AH87" i="9"/>
  <c r="AI79" i="9"/>
  <c r="AI80" i="9"/>
  <c r="AI78" i="9"/>
  <c r="AG80" i="9"/>
  <c r="AG78" i="9"/>
  <c r="AI83" i="9"/>
  <c r="AI84" i="9"/>
  <c r="AI82" i="9"/>
  <c r="AH70" i="9"/>
  <c r="AI70" i="9" s="1"/>
  <c r="AH73" i="9"/>
  <c r="AI73" i="9" s="1"/>
  <c r="AH76" i="9"/>
  <c r="AI76" i="9" s="1"/>
  <c r="AF70" i="9"/>
  <c r="AF68" i="9"/>
  <c r="AI65" i="9"/>
  <c r="AG64" i="9"/>
  <c r="AI59" i="9"/>
  <c r="AI57" i="9"/>
  <c r="AH57" i="9"/>
  <c r="AH58" i="9"/>
  <c r="AH59" i="9"/>
  <c r="AI62" i="9"/>
  <c r="AI61" i="9"/>
  <c r="AG61" i="9"/>
  <c r="AH61" i="9" s="1"/>
  <c r="AG60" i="9"/>
  <c r="AH60" i="9" s="1"/>
  <c r="AF58" i="9"/>
  <c r="AI58" i="9" s="1"/>
  <c r="AI43" i="9"/>
  <c r="AI101" i="9"/>
  <c r="AI106" i="9"/>
  <c r="AI107" i="9"/>
  <c r="AI108" i="9"/>
  <c r="AI100" i="9"/>
  <c r="AI42" i="9"/>
  <c r="AF52" i="9"/>
  <c r="AI52" i="9" s="1"/>
  <c r="AH45" i="9"/>
  <c r="AI45" i="9" s="1"/>
  <c r="AH46" i="9"/>
  <c r="AI46" i="9" s="1"/>
  <c r="AH48" i="9"/>
  <c r="AI48" i="9" s="1"/>
  <c r="AH50" i="9"/>
  <c r="AH44" i="9"/>
  <c r="AI44" i="9" s="1"/>
  <c r="AG47" i="9"/>
  <c r="AH47" i="9" s="1"/>
  <c r="AG42" i="9"/>
  <c r="AF42" i="9" s="1"/>
  <c r="AI18" i="9"/>
  <c r="AG23" i="9"/>
  <c r="AH23" i="9" s="1"/>
  <c r="AI23" i="9" s="1"/>
  <c r="AG18" i="9"/>
  <c r="AF18" i="9" s="1"/>
  <c r="AG11" i="9"/>
  <c r="AH11" i="9" s="1"/>
  <c r="AI11" i="9" s="1"/>
  <c r="AG12" i="9"/>
  <c r="AF12" i="9" s="1"/>
  <c r="AI12" i="9"/>
  <c r="AH10" i="9"/>
  <c r="AI10" i="9" s="1"/>
  <c r="AH105" i="9"/>
  <c r="AI105" i="9" s="1"/>
  <c r="AF105" i="9"/>
  <c r="AG56" i="9"/>
  <c r="AH56" i="9" s="1"/>
  <c r="AI56" i="9" s="1"/>
  <c r="AH24" i="9"/>
  <c r="AG38" i="9"/>
  <c r="AH38" i="9" s="1"/>
  <c r="AI38" i="9" s="1"/>
  <c r="AG37" i="9"/>
  <c r="AH37" i="9" s="1"/>
  <c r="AI37" i="9" s="1"/>
  <c r="AG36" i="9"/>
  <c r="AH36" i="9" s="1"/>
  <c r="AI36" i="9" s="1"/>
  <c r="AG31" i="9"/>
  <c r="AH31" i="9" s="1"/>
  <c r="AG29" i="9"/>
  <c r="AH29" i="9" s="1"/>
  <c r="AI29" i="9" s="1"/>
  <c r="AG28" i="9"/>
  <c r="AH28" i="9" s="1"/>
  <c r="AI28" i="9" s="1"/>
  <c r="AG26" i="9"/>
  <c r="AH26" i="9" s="1"/>
  <c r="AI26" i="9" s="1"/>
  <c r="AF9" i="9"/>
  <c r="AH40" i="9"/>
  <c r="AI40" i="9" s="1"/>
  <c r="AH9" i="9"/>
  <c r="AI9" i="9" s="1"/>
  <c r="AH8" i="9"/>
  <c r="AI8" i="9" s="1"/>
  <c r="AF8" i="9"/>
  <c r="AI3" i="9"/>
  <c r="AI2" i="9"/>
  <c r="AH5" i="9"/>
  <c r="AI5" i="9" s="1"/>
  <c r="AG5" i="9"/>
  <c r="AG4" i="9"/>
  <c r="AC91" i="9"/>
  <c r="Z91" i="9"/>
  <c r="AA91" i="9" s="1"/>
  <c r="AA90" i="9"/>
  <c r="AB90" i="9"/>
  <c r="AC90" i="9" s="1"/>
  <c r="Z88" i="9"/>
  <c r="AB81" i="9"/>
  <c r="AA81" i="9"/>
  <c r="Z81" i="9" s="1"/>
  <c r="AC79" i="9"/>
  <c r="Z79" i="9"/>
  <c r="AB79" i="9" s="1"/>
  <c r="AB76" i="9"/>
  <c r="AB58" i="9"/>
  <c r="AB77" i="9"/>
  <c r="AA76" i="9"/>
  <c r="AC76" i="9" s="1"/>
  <c r="AA58" i="9"/>
  <c r="AC58" i="9" s="1"/>
  <c r="Z42" i="9"/>
  <c r="Z41" i="9"/>
  <c r="AC42" i="9"/>
  <c r="AA42" i="9" s="1"/>
  <c r="AC41" i="9"/>
  <c r="AA41" i="9" s="1"/>
  <c r="AB30" i="9"/>
  <c r="AC29" i="9"/>
  <c r="Z29" i="9"/>
  <c r="AB29" i="9" s="1"/>
  <c r="AA25" i="9"/>
  <c r="AB25" i="9"/>
  <c r="AC25" i="9" s="1"/>
  <c r="Z19" i="9"/>
  <c r="AB21" i="9"/>
  <c r="Z21" i="9" s="1"/>
  <c r="AC19" i="9"/>
  <c r="AA19" i="9" s="1"/>
  <c r="AB105" i="9"/>
  <c r="AC105" i="9" s="1"/>
  <c r="AA105" i="9"/>
  <c r="AA8" i="9"/>
  <c r="Z15" i="9"/>
  <c r="AA15" i="9" s="1"/>
  <c r="AC15" i="9"/>
  <c r="AC9" i="9"/>
  <c r="AA9" i="9"/>
  <c r="AB8" i="9"/>
  <c r="AC8" i="9" s="1"/>
  <c r="AC2" i="9"/>
  <c r="AA2" i="9"/>
  <c r="AP89" i="9"/>
  <c r="AM89" i="9"/>
  <c r="AF89" i="9"/>
  <c r="AG74" i="9"/>
  <c r="AH74" i="9" s="1"/>
  <c r="AI74" i="9" s="1"/>
  <c r="AP72" i="9"/>
  <c r="AF72" i="9"/>
  <c r="AG72" i="9" s="1"/>
  <c r="AH72" i="9" s="1"/>
  <c r="AI72" i="9" s="1"/>
  <c r="AN66" i="9"/>
  <c r="AN65" i="9"/>
  <c r="AM66" i="9"/>
  <c r="AM65" i="9"/>
  <c r="AF66" i="9"/>
  <c r="AK66" i="9"/>
  <c r="AP66" i="9"/>
  <c r="AP65" i="9"/>
  <c r="AF65" i="9"/>
  <c r="AK65" i="9" s="1"/>
  <c r="AP21" i="9"/>
  <c r="AP20" i="9"/>
  <c r="AB20" i="9"/>
  <c r="Z20" i="9" s="1"/>
  <c r="AL43" i="9"/>
  <c r="AG43" i="9"/>
  <c r="AH43" i="9" s="1"/>
  <c r="AG81" i="9"/>
  <c r="AF81" i="9" s="1"/>
  <c r="AI81" i="9" s="1"/>
  <c r="AP99" i="9"/>
  <c r="AP68" i="9"/>
  <c r="AP69" i="9"/>
  <c r="AG69" i="9"/>
  <c r="AH69" i="9" s="1"/>
  <c r="AI69" i="9" s="1"/>
  <c r="AG68" i="9"/>
  <c r="AH68" i="9" s="1"/>
  <c r="AI68" i="9" s="1"/>
  <c r="AP54" i="9"/>
  <c r="AP53" i="9"/>
  <c r="AG54" i="9"/>
  <c r="AH54" i="9" s="1"/>
  <c r="AG53" i="9"/>
  <c r="AF53" i="9" s="1"/>
  <c r="AI53" i="9" s="1"/>
  <c r="AP44" i="9"/>
  <c r="AG44" i="9"/>
  <c r="AF44" i="9" s="1"/>
  <c r="AP34" i="9"/>
  <c r="AP33" i="9"/>
  <c r="AP32" i="9"/>
  <c r="Z34" i="9"/>
  <c r="AB34" i="9" s="1"/>
  <c r="AC34" i="9" s="1"/>
  <c r="Z33" i="9"/>
  <c r="AB33" i="9" s="1"/>
  <c r="AC33" i="9" s="1"/>
  <c r="Z32" i="9"/>
  <c r="AB32" i="9" s="1"/>
  <c r="AC32" i="9" s="1"/>
  <c r="AP13" i="9"/>
  <c r="AF13" i="9"/>
  <c r="AG13" i="9" s="1"/>
  <c r="AH13" i="9" s="1"/>
  <c r="AI13" i="9" s="1"/>
  <c r="AM5" i="9"/>
  <c r="AN5" i="9" s="1"/>
  <c r="AK5" i="9" s="1"/>
  <c r="AM4" i="9"/>
  <c r="AP5" i="9"/>
  <c r="AF5" i="9"/>
  <c r="AP4" i="9"/>
  <c r="AF4" i="9"/>
  <c r="AH4" i="9" s="1"/>
  <c r="AI4" i="9" s="1"/>
  <c r="AP14" i="9"/>
  <c r="AB14" i="9"/>
  <c r="AC14" i="9" s="1"/>
  <c r="AA14" i="9" s="1"/>
  <c r="AL13" i="3"/>
  <c r="AL14" i="3"/>
  <c r="AL15" i="3"/>
  <c r="AL16" i="3"/>
  <c r="AL17" i="3"/>
  <c r="AL18" i="3"/>
  <c r="AL19" i="3"/>
  <c r="AL20" i="3"/>
  <c r="AL21" i="3"/>
  <c r="AL22" i="3"/>
  <c r="AL23" i="3"/>
  <c r="AL24" i="3"/>
  <c r="AL25" i="3"/>
  <c r="AL26" i="3"/>
  <c r="AL27" i="3"/>
  <c r="AL28" i="3"/>
  <c r="AK8" i="3"/>
  <c r="AK7" i="3"/>
  <c r="AN8" i="3"/>
  <c r="AN7" i="3"/>
  <c r="AN3" i="3"/>
  <c r="AK3" i="3" s="1"/>
  <c r="AN4" i="3"/>
  <c r="AK4" i="3" s="1"/>
  <c r="AN2" i="3"/>
  <c r="AK2" i="3" s="1"/>
  <c r="AN6" i="3"/>
  <c r="AM6" i="3"/>
  <c r="AN5" i="3"/>
  <c r="AM5" i="3"/>
  <c r="AL6" i="3"/>
  <c r="AK6" i="3" s="1"/>
  <c r="AL5" i="3"/>
  <c r="AK5" i="3" s="1"/>
  <c r="AF11" i="3"/>
  <c r="AI11" i="3" s="1"/>
  <c r="AI7" i="3"/>
  <c r="AI8" i="3"/>
  <c r="AI6" i="3"/>
  <c r="AI5" i="3"/>
  <c r="AI4" i="3"/>
  <c r="AI3" i="3"/>
  <c r="AI2" i="3"/>
  <c r="AH5" i="3"/>
  <c r="AH6" i="3"/>
  <c r="AI13" i="3"/>
  <c r="AI14" i="3"/>
  <c r="AI15" i="3"/>
  <c r="AI16" i="3"/>
  <c r="AI17" i="3"/>
  <c r="AI18" i="3"/>
  <c r="AI19" i="3"/>
  <c r="AI25" i="3"/>
  <c r="AI26" i="3"/>
  <c r="AI27" i="3"/>
  <c r="AI28" i="3"/>
  <c r="AG3" i="3"/>
  <c r="AH3" i="3" s="1"/>
  <c r="AG4" i="3"/>
  <c r="AH4" i="3" s="1"/>
  <c r="AG2" i="3"/>
  <c r="AH2" i="3" s="1"/>
  <c r="AI20" i="3"/>
  <c r="AI21" i="3"/>
  <c r="AI22" i="3"/>
  <c r="AI23" i="3"/>
  <c r="AI24" i="3"/>
  <c r="AM96" i="9"/>
  <c r="AN96" i="9" s="1"/>
  <c r="AK96" i="9" s="1"/>
  <c r="AL96" i="9" s="1"/>
  <c r="AN48" i="9"/>
  <c r="AM48" i="9"/>
  <c r="AK48" i="9"/>
  <c r="AM18" i="9"/>
  <c r="AF40" i="9"/>
  <c r="AM3" i="9"/>
  <c r="AN3" i="9" s="1"/>
  <c r="AF3" i="9"/>
  <c r="AM11" i="3"/>
  <c r="AN11" i="3" s="1"/>
  <c r="AK11" i="3" s="1"/>
  <c r="AM10" i="3"/>
  <c r="AN10" i="3" s="1"/>
  <c r="AK10" i="3" s="1"/>
  <c r="AM8" i="3"/>
  <c r="AF10" i="3"/>
  <c r="AI10" i="3" s="1"/>
  <c r="AF8" i="3"/>
  <c r="AC13" i="3"/>
  <c r="AA13" i="3"/>
  <c r="AC14" i="3"/>
  <c r="AC15" i="3"/>
  <c r="AC16" i="3"/>
  <c r="AC17" i="3"/>
  <c r="AC18" i="3"/>
  <c r="AC19" i="3"/>
  <c r="AC20" i="3"/>
  <c r="AC21" i="3"/>
  <c r="AC22" i="3"/>
  <c r="AC23" i="3"/>
  <c r="AC24" i="3"/>
  <c r="AC25" i="3"/>
  <c r="AC26" i="3"/>
  <c r="AC27" i="3"/>
  <c r="AC28" i="3"/>
  <c r="AA14" i="3"/>
  <c r="AA15" i="3"/>
  <c r="AA16" i="3"/>
  <c r="AA17" i="3"/>
  <c r="AA18" i="3"/>
  <c r="AA19" i="3"/>
  <c r="AA20" i="3"/>
  <c r="AA21" i="3"/>
  <c r="AA22" i="3"/>
  <c r="AA23" i="3"/>
  <c r="AA24" i="3"/>
  <c r="AA25" i="3"/>
  <c r="AA26" i="3"/>
  <c r="AA27" i="3"/>
  <c r="AA28" i="3"/>
  <c r="AF14" i="3"/>
  <c r="AK14" i="3" s="1"/>
  <c r="AF15" i="3"/>
  <c r="AK15" i="3" s="1"/>
  <c r="AF16" i="3"/>
  <c r="AK16" i="3" s="1"/>
  <c r="AF17" i="3"/>
  <c r="AK17" i="3" s="1"/>
  <c r="AF18" i="3"/>
  <c r="AK18" i="3" s="1"/>
  <c r="AF19" i="3"/>
  <c r="AK19" i="3" s="1"/>
  <c r="AF20" i="3"/>
  <c r="AK20" i="3" s="1"/>
  <c r="AF21" i="3"/>
  <c r="AK21" i="3" s="1"/>
  <c r="AF22" i="3"/>
  <c r="AK22" i="3" s="1"/>
  <c r="AF23" i="3"/>
  <c r="AK23" i="3" s="1"/>
  <c r="AF24" i="3"/>
  <c r="AK24" i="3" s="1"/>
  <c r="AF25" i="3"/>
  <c r="AK25" i="3" s="1"/>
  <c r="AF26" i="3"/>
  <c r="AK26" i="3" s="1"/>
  <c r="AF27" i="3"/>
  <c r="AK27" i="3" s="1"/>
  <c r="AF28" i="3"/>
  <c r="AK28" i="3" s="1"/>
  <c r="AF13" i="3"/>
  <c r="AK13" i="3" s="1"/>
  <c r="AH12" i="14" l="1"/>
  <c r="AN12" i="14" s="1"/>
  <c r="AO12" i="14" s="1"/>
  <c r="AF28" i="14"/>
  <c r="AM59" i="14"/>
  <c r="AC12" i="14"/>
  <c r="AE12" i="14" s="1"/>
  <c r="AN57" i="14"/>
  <c r="AO57" i="14" s="1"/>
  <c r="AL65" i="14"/>
  <c r="AM65" i="14" s="1"/>
  <c r="AM70" i="14"/>
  <c r="AH31" i="14"/>
  <c r="AL31" i="14" s="1"/>
  <c r="AL37" i="14"/>
  <c r="AM37" i="14" s="1"/>
  <c r="AE66" i="14"/>
  <c r="AC66" i="14" s="1"/>
  <c r="AD66" i="14" s="1"/>
  <c r="AO4" i="14"/>
  <c r="AL4" i="14" s="1"/>
  <c r="AM4" i="14" s="1"/>
  <c r="AM14" i="14"/>
  <c r="AI14" i="14" s="1"/>
  <c r="AJ14" i="14" s="1"/>
  <c r="AH14" i="14"/>
  <c r="AK14" i="14" s="1"/>
  <c r="AF8" i="14"/>
  <c r="AD8" i="14" s="1"/>
  <c r="AL3" i="14"/>
  <c r="AM3" i="14" s="1"/>
  <c r="AF19" i="14"/>
  <c r="AD19" i="14" s="1"/>
  <c r="AC30" i="14"/>
  <c r="AN6" i="14"/>
  <c r="AO6" i="14" s="1"/>
  <c r="AH4" i="14"/>
  <c r="AK4" i="14" s="1"/>
  <c r="AJ39" i="14"/>
  <c r="AJ32" i="14"/>
  <c r="AK32" i="14" s="1"/>
  <c r="AH39" i="14"/>
  <c r="AK39" i="14" s="1"/>
  <c r="AJ54" i="14"/>
  <c r="AM71" i="14"/>
  <c r="AC8" i="14"/>
  <c r="AH37" i="14"/>
  <c r="AI46" i="14"/>
  <c r="AJ46" i="14" s="1"/>
  <c r="AL76" i="14"/>
  <c r="AO52" i="14"/>
  <c r="AL52" i="14" s="1"/>
  <c r="AM52" i="14" s="1"/>
  <c r="AI16" i="14"/>
  <c r="AM67" i="14"/>
  <c r="AH13" i="14"/>
  <c r="AN13" i="14" s="1"/>
  <c r="AO13" i="14" s="1"/>
  <c r="AK37" i="14"/>
  <c r="AK38" i="14"/>
  <c r="AN16" i="14"/>
  <c r="AO16" i="14" s="1"/>
  <c r="AL46" i="14"/>
  <c r="AM72" i="14"/>
  <c r="AO48" i="14"/>
  <c r="AL48" i="14" s="1"/>
  <c r="AM48" i="14" s="1"/>
  <c r="AM47" i="14"/>
  <c r="AJ47" i="14"/>
  <c r="AK47" i="14" s="1"/>
  <c r="AJ4" i="14"/>
  <c r="AI59" i="14"/>
  <c r="AJ59" i="14" s="1"/>
  <c r="AJ12" i="14"/>
  <c r="AK12" i="14" s="1"/>
  <c r="AL41" i="14"/>
  <c r="AI48" i="14"/>
  <c r="AJ48" i="14" s="1"/>
  <c r="AK48" i="14" s="1"/>
  <c r="AM15" i="14"/>
  <c r="AJ15" i="14"/>
  <c r="AK15" i="14" s="1"/>
  <c r="AL11" i="14"/>
  <c r="AM29" i="14"/>
  <c r="AJ29" i="14"/>
  <c r="AK29" i="14" s="1"/>
  <c r="AO17" i="14"/>
  <c r="AL17" i="14" s="1"/>
  <c r="AM17" i="14" s="1"/>
  <c r="AD28" i="14"/>
  <c r="AJ10" i="14"/>
  <c r="AK10" i="14" s="1"/>
  <c r="AH32" i="14"/>
  <c r="AH54" i="14"/>
  <c r="AL7" i="14"/>
  <c r="AN7" i="14"/>
  <c r="AO7" i="14" s="1"/>
  <c r="AK41" i="14"/>
  <c r="AO56" i="14"/>
  <c r="AL56" i="14" s="1"/>
  <c r="AM56" i="14" s="1"/>
  <c r="AH47" i="14"/>
  <c r="AJ53" i="14"/>
  <c r="AN60" i="14"/>
  <c r="AO60" i="14" s="1"/>
  <c r="AL60" i="14"/>
  <c r="AJ68" i="12"/>
  <c r="AK36" i="12"/>
  <c r="AJ34" i="12"/>
  <c r="AK34" i="12" s="1"/>
  <c r="AK23" i="12"/>
  <c r="AK27" i="12"/>
  <c r="AK35" i="12"/>
  <c r="AK17" i="12"/>
  <c r="AK12" i="12"/>
  <c r="AK28" i="12"/>
  <c r="AK63" i="12"/>
  <c r="AK26" i="12"/>
  <c r="AH49" i="9"/>
  <c r="AI49" i="9" s="1"/>
  <c r="AN14" i="12"/>
  <c r="AO14" i="12" s="1"/>
  <c r="AL14" i="12"/>
  <c r="AL83" i="12"/>
  <c r="AM83" i="12" s="1"/>
  <c r="AN74" i="12"/>
  <c r="AO74" i="12" s="1"/>
  <c r="AK92" i="9"/>
  <c r="AL92" i="9" s="1"/>
  <c r="AH10" i="13"/>
  <c r="AN10" i="13" s="1"/>
  <c r="AO10" i="13" s="1"/>
  <c r="AF16" i="13"/>
  <c r="AD16" i="13" s="1"/>
  <c r="AM21" i="13"/>
  <c r="AK48" i="13"/>
  <c r="AF26" i="13"/>
  <c r="AF12" i="13"/>
  <c r="AD12" i="13" s="1"/>
  <c r="AM69" i="13"/>
  <c r="AM39" i="13"/>
  <c r="AN6" i="13"/>
  <c r="AO6" i="13" s="1"/>
  <c r="AH4" i="13"/>
  <c r="AK4" i="13" s="1"/>
  <c r="AM54" i="13"/>
  <c r="AH8" i="13"/>
  <c r="AN8" i="13" s="1"/>
  <c r="AO8" i="13" s="1"/>
  <c r="AI11" i="13"/>
  <c r="AM11" i="13" s="1"/>
  <c r="AH39" i="13"/>
  <c r="AK39" i="13" s="1"/>
  <c r="AE68" i="13"/>
  <c r="AC68" i="13" s="1"/>
  <c r="AD68" i="13" s="1"/>
  <c r="AL4" i="13"/>
  <c r="AM4" i="13" s="1"/>
  <c r="AM40" i="13"/>
  <c r="AH32" i="13"/>
  <c r="AL32" i="13" s="1"/>
  <c r="AH55" i="13"/>
  <c r="AK55" i="13" s="1"/>
  <c r="AK32" i="13"/>
  <c r="AM30" i="13"/>
  <c r="AH48" i="13"/>
  <c r="AN7" i="13"/>
  <c r="AO7" i="13" s="1"/>
  <c r="AC12" i="13"/>
  <c r="AL30" i="13"/>
  <c r="AM8" i="13"/>
  <c r="AL11" i="13"/>
  <c r="AM55" i="13"/>
  <c r="AN11" i="13"/>
  <c r="AO11" i="13" s="1"/>
  <c r="AM48" i="13"/>
  <c r="AK47" i="13"/>
  <c r="AI38" i="13"/>
  <c r="AJ38" i="13" s="1"/>
  <c r="AL42" i="13"/>
  <c r="AD26" i="13"/>
  <c r="AL61" i="13"/>
  <c r="AK61" i="13"/>
  <c r="AJ9" i="13"/>
  <c r="AK9" i="13" s="1"/>
  <c r="AJ27" i="13"/>
  <c r="AK27" i="13" s="1"/>
  <c r="AL58" i="13"/>
  <c r="AM58" i="13" s="1"/>
  <c r="AF29" i="13"/>
  <c r="AD29" i="13" s="1"/>
  <c r="AO49" i="13"/>
  <c r="AL49" i="13" s="1"/>
  <c r="AM49" i="13" s="1"/>
  <c r="AN70" i="13"/>
  <c r="AO70" i="13" s="1"/>
  <c r="AK42" i="13"/>
  <c r="AI49" i="13"/>
  <c r="AJ49" i="13" s="1"/>
  <c r="AK49" i="13" s="1"/>
  <c r="AI60" i="13"/>
  <c r="AJ60" i="13" s="1"/>
  <c r="AH13" i="13"/>
  <c r="AK13" i="13" s="1"/>
  <c r="AI47" i="13"/>
  <c r="AJ47" i="13" s="1"/>
  <c r="AM32" i="13"/>
  <c r="AO3" i="13"/>
  <c r="AL3" i="13" s="1"/>
  <c r="AM3" i="13" s="1"/>
  <c r="AO60" i="13"/>
  <c r="AL60" i="13" s="1"/>
  <c r="AM60" i="13" s="1"/>
  <c r="AK14" i="12"/>
  <c r="AH4" i="12"/>
  <c r="AK4" i="12" s="1"/>
  <c r="AH5" i="12"/>
  <c r="AK5" i="12" s="1"/>
  <c r="AM87" i="12"/>
  <c r="AN5" i="12"/>
  <c r="AO5" i="12" s="1"/>
  <c r="AL5" i="12" s="1"/>
  <c r="AM5" i="12" s="1"/>
  <c r="AM88" i="12"/>
  <c r="AM14" i="12"/>
  <c r="AF37" i="12"/>
  <c r="AD37" i="12" s="1"/>
  <c r="AM72" i="9"/>
  <c r="AN72" i="9" s="1"/>
  <c r="AK72" i="9" s="1"/>
  <c r="AL72" i="9" s="1"/>
  <c r="AA32" i="9"/>
  <c r="AG89" i="9"/>
  <c r="AH89" i="9" s="1"/>
  <c r="AC21" i="9"/>
  <c r="AA21" i="9" s="1"/>
  <c r="AH53" i="9"/>
  <c r="AA34" i="9"/>
  <c r="AF69" i="9"/>
  <c r="AA33" i="9"/>
  <c r="AL5" i="9"/>
  <c r="AF50" i="9"/>
  <c r="AG66" i="9"/>
  <c r="AH66" i="9" s="1"/>
  <c r="AC20" i="9"/>
  <c r="AA20" i="9" s="1"/>
  <c r="AL50" i="9"/>
  <c r="AI66" i="9"/>
  <c r="AI50" i="9"/>
  <c r="AF54" i="9"/>
  <c r="AI54" i="9" s="1"/>
  <c r="AG65" i="9"/>
  <c r="AH65" i="9" s="1"/>
  <c r="AL89" i="9"/>
  <c r="AM48" i="12"/>
  <c r="AM69" i="12"/>
  <c r="AM39" i="12"/>
  <c r="AL18" i="12"/>
  <c r="AM58" i="12"/>
  <c r="AM47" i="12"/>
  <c r="AM59" i="12"/>
  <c r="AL57" i="12"/>
  <c r="AM16" i="12"/>
  <c r="AI16" i="12" s="1"/>
  <c r="AJ16" i="12" s="1"/>
  <c r="AL60" i="12"/>
  <c r="AL8" i="12"/>
  <c r="AL13" i="12"/>
  <c r="AN69" i="12"/>
  <c r="AO69" i="12" s="1"/>
  <c r="AL50" i="12"/>
  <c r="AN50" i="12"/>
  <c r="AO50" i="12" s="1"/>
  <c r="AM15" i="12"/>
  <c r="AL15" i="12"/>
  <c r="AN107" i="12"/>
  <c r="AO107" i="12" s="1"/>
  <c r="AL62" i="12"/>
  <c r="AM62" i="12" s="1"/>
  <c r="AL69" i="12"/>
  <c r="AM38" i="12"/>
  <c r="AL77" i="12"/>
  <c r="AM17" i="12"/>
  <c r="AL7" i="12"/>
  <c r="AL73" i="12"/>
  <c r="AM73" i="12" s="1"/>
  <c r="AM95" i="12"/>
  <c r="AL38" i="12"/>
  <c r="AM36" i="12"/>
  <c r="AM93" i="12"/>
  <c r="AM66" i="12"/>
  <c r="AN108" i="12"/>
  <c r="AO108" i="12" s="1"/>
  <c r="AM35" i="12"/>
  <c r="AM94" i="12"/>
  <c r="AM34" i="12"/>
  <c r="AM28" i="12"/>
  <c r="AM42" i="12"/>
  <c r="AL67" i="12"/>
  <c r="AM67" i="12" s="1"/>
  <c r="AN77" i="12"/>
  <c r="AO77" i="12" s="1"/>
  <c r="AN111" i="12"/>
  <c r="AO111" i="12" s="1"/>
  <c r="AM53" i="12"/>
  <c r="AM30" i="12"/>
  <c r="AN102" i="12"/>
  <c r="AO102" i="12" s="1"/>
  <c r="AN113" i="12"/>
  <c r="AO113" i="12" s="1"/>
  <c r="AN112" i="12"/>
  <c r="AO112" i="12" s="1"/>
  <c r="AN110" i="12"/>
  <c r="AO110" i="12" s="1"/>
  <c r="AN104" i="12"/>
  <c r="AO104" i="12" s="1"/>
  <c r="AN115" i="12"/>
  <c r="AO115" i="12" s="1"/>
  <c r="AM46" i="12"/>
  <c r="AN109" i="12"/>
  <c r="AO109" i="12" s="1"/>
  <c r="AM79" i="12"/>
  <c r="AN89" i="12"/>
  <c r="AO89" i="12" s="1"/>
  <c r="AN105" i="12"/>
  <c r="AO105" i="12" s="1"/>
  <c r="AN116" i="12"/>
  <c r="AO116" i="12" s="1"/>
  <c r="AN103" i="12"/>
  <c r="AO103" i="12" s="1"/>
  <c r="AN114" i="12"/>
  <c r="AO114" i="12" s="1"/>
  <c r="AN106" i="12"/>
  <c r="AO106" i="12" s="1"/>
  <c r="AF32" i="12"/>
  <c r="AI76" i="12"/>
  <c r="AJ76" i="12" s="1"/>
  <c r="AF33" i="12"/>
  <c r="AI18" i="12"/>
  <c r="AJ18" i="12" s="1"/>
  <c r="AM45" i="12"/>
  <c r="AK59" i="12"/>
  <c r="AD31" i="12"/>
  <c r="AM12" i="12"/>
  <c r="AH58" i="12"/>
  <c r="AI46" i="12"/>
  <c r="AJ46" i="12" s="1"/>
  <c r="AO82" i="12"/>
  <c r="AI57" i="12"/>
  <c r="AJ57" i="12" s="1"/>
  <c r="AF21" i="12"/>
  <c r="AD21" i="12" s="1"/>
  <c r="AH39" i="12"/>
  <c r="AH47" i="12"/>
  <c r="AK47" i="12" s="1"/>
  <c r="AK58" i="12"/>
  <c r="AD84" i="12"/>
  <c r="AD33" i="12"/>
  <c r="AF9" i="12"/>
  <c r="AD9" i="12" s="1"/>
  <c r="AL4" i="12"/>
  <c r="AM4" i="12" s="1"/>
  <c r="AK39" i="12"/>
  <c r="AI56" i="12"/>
  <c r="AJ56" i="12" s="1"/>
  <c r="AD32" i="12"/>
  <c r="AO61" i="12"/>
  <c r="AO19" i="12"/>
  <c r="AL19" i="12" s="1"/>
  <c r="AO76" i="12"/>
  <c r="AH48" i="12"/>
  <c r="AK48" i="12" s="1"/>
  <c r="AI61" i="12"/>
  <c r="AF31" i="12"/>
  <c r="AF22" i="12"/>
  <c r="AD22" i="12" s="1"/>
  <c r="AH59" i="12"/>
  <c r="AL3" i="12"/>
  <c r="AM3" i="12" s="1"/>
  <c r="AO63" i="12"/>
  <c r="AL63" i="12" s="1"/>
  <c r="AL56" i="9"/>
  <c r="AL87" i="9"/>
  <c r="AN18" i="9"/>
  <c r="AK18" i="9" s="1"/>
  <c r="AL18" i="9" s="1"/>
  <c r="AN73" i="9"/>
  <c r="AK73" i="9" s="1"/>
  <c r="AL73" i="9" s="1"/>
  <c r="AK74" i="9"/>
  <c r="AL74" i="9" s="1"/>
  <c r="AK3" i="9"/>
  <c r="AL3" i="9" s="1"/>
  <c r="AK79" i="9"/>
  <c r="AL79" i="9" s="1"/>
  <c r="AG52" i="9"/>
  <c r="AH52" i="9" s="1"/>
  <c r="Z14" i="9"/>
  <c r="AL12" i="14" l="1"/>
  <c r="AN31" i="14"/>
  <c r="AO31" i="14" s="1"/>
  <c r="AL39" i="14"/>
  <c r="AN39" i="14"/>
  <c r="AO39" i="14" s="1"/>
  <c r="AL13" i="14"/>
  <c r="AJ16" i="14"/>
  <c r="AK16" i="14" s="1"/>
  <c r="AM16" i="14"/>
  <c r="AL47" i="14"/>
  <c r="AN47" i="14"/>
  <c r="AO47" i="14" s="1"/>
  <c r="AN54" i="14"/>
  <c r="AO54" i="14" s="1"/>
  <c r="AL54" i="14"/>
  <c r="AK54" i="14"/>
  <c r="AN32" i="14"/>
  <c r="AO32" i="14" s="1"/>
  <c r="AL32" i="14"/>
  <c r="AJ61" i="12"/>
  <c r="AK61" i="12" s="1"/>
  <c r="AL10" i="13"/>
  <c r="AN32" i="13"/>
  <c r="AO32" i="13" s="1"/>
  <c r="AN39" i="13"/>
  <c r="AO39" i="13" s="1"/>
  <c r="AJ11" i="13"/>
  <c r="AK11" i="13" s="1"/>
  <c r="AL8" i="13"/>
  <c r="AL55" i="13"/>
  <c r="AL39" i="13"/>
  <c r="AN55" i="13"/>
  <c r="AO55" i="13" s="1"/>
  <c r="AN48" i="13"/>
  <c r="AO48" i="13" s="1"/>
  <c r="AL48" i="13"/>
  <c r="AL82" i="12"/>
  <c r="AM82" i="12" s="1"/>
  <c r="AL58" i="12"/>
  <c r="AN58" i="12"/>
  <c r="AO58" i="12" s="1"/>
  <c r="AL48" i="12"/>
  <c r="AN48" i="12"/>
  <c r="AO48" i="12" s="1"/>
  <c r="AL76" i="12"/>
  <c r="AM76" i="12" s="1"/>
  <c r="AM63" i="12"/>
  <c r="AM19" i="12"/>
  <c r="AL47" i="12"/>
  <c r="AN47" i="12"/>
  <c r="AO47" i="12" s="1"/>
  <c r="AL61" i="12"/>
  <c r="AM61" i="12" s="1"/>
  <c r="AN39" i="12"/>
  <c r="AO39" i="12" s="1"/>
  <c r="AL39" i="12"/>
  <c r="AL59" i="12"/>
  <c r="AN59" i="12"/>
  <c r="AO59" i="12" s="1"/>
  <c r="AK18" i="12"/>
  <c r="AM18" i="12"/>
</calcChain>
</file>

<file path=xl/sharedStrings.xml><?xml version="1.0" encoding="utf-8"?>
<sst xmlns="http://schemas.openxmlformats.org/spreadsheetml/2006/main" count="22574" uniqueCount="2378">
  <si>
    <t>INCLUSION</t>
  </si>
  <si>
    <t>DATA COLECTED</t>
  </si>
  <si>
    <t>DOI</t>
  </si>
  <si>
    <t>TITLE</t>
  </si>
  <si>
    <t>ABSTRACT</t>
  </si>
  <si>
    <t>YEAR</t>
  </si>
  <si>
    <t>TYPE</t>
  </si>
  <si>
    <t>AUTHORS</t>
  </si>
  <si>
    <t>LINK</t>
  </si>
  <si>
    <t>Y</t>
  </si>
  <si>
    <t>N</t>
  </si>
  <si>
    <t>10.4067/S0717-92002011000300010</t>
  </si>
  <si>
    <t>ABOVE GROUND BIOMASS AND LEAF AREA MODELS BASED ON A NON DESTRUCTIVE METHOD FOR URBAN TREES OF TWO COMMUNES IN CENTRAL CHILE; [ECUACIONES DE BIOMASA AEREA Y AREA FOLIAR BASADAS EN METODOS NO DESTRUCTIVES PARA ARBOLES URBANOS DE DOS COMUNAS DE CHILE CENTRAL]</t>
  </si>
  <si>
    <t>Biomass is regarded as an important indicator of ecological and management processes in urban vegetation, difficult to measure but easy to interpret. Existence and growing rates of biomass can be used to calculate carbon storage and sequestration, estimate dry deposition of air pollution or volatile organic compound emissions. In cities, management practices also affect the amount and distribution of biomass components within a tree and local calibrated equations should be used. However, traditional destructive methods to gather the data necessary to build such equations are less practical in urban environments. The main objective of this work was to develop above ground biomass and leaf area models by using non destructive methods for common urban trees in Santiago, Chile. We used randomised branch sampling (RBS), a non-destructive method, and easily measured variables such as DBH and total height to estimate crown biomass and leaf area for the 11 most common urban tree species in Santiago. Results using equations developed in this study yielded crown biomass estimates, comparable and within the range of values reported in literature and within those obtained from urban forest structure models. Leaf area results yielded more reasonable estimates when compared to field data and urban forest structure models. These equations can be incorporated into urban forest function models for more precise estimates of Latin American temperate urban forest function. With increased sampling intensity the RBS sampling method could be presented as a non-destructive and repeatable method for estimating different types of urban tree crown characteristics.</t>
  </si>
  <si>
    <t>Article</t>
  </si>
  <si>
    <t>Dobbs C.; Hernández J.; Escobedo F.</t>
  </si>
  <si>
    <t>https://www.scopus.com/inward/record.uri?eid=2-s2.0-84855534533&amp;doi=10.4067%2fS0717-92002011000300010&amp;partnerID=40&amp;md5=88df76ddce6ebb8c18a1af3dbce663ee</t>
  </si>
  <si>
    <t>10.3390/f13050745</t>
  </si>
  <si>
    <t>AN ECOSYSTEM SERVICES-CENTRIC LAND USE AND LAND COVER CLASSIFICATION FOR A SUBBASIN OF THE TAMPA BAY WATERSHED</t>
  </si>
  <si>
    <t>Land-use and land-cover (LULC) change is a primary driver of terrestrial carbon release, often through the conversion of forest into agriculture or expansion of urban areas. Classification schemes are a key component of landscape analyses. This study creates a novel LULC classification scheme by incorporating ecological data to redefine classes of an existing LULC classification based on variation in above-ground tree carbon. A tree inventory was conducted for 531 plots within a subbasin of the Tampa Bay Watershed, Florida, USA. Above-ground tree carbon was estimated using the i-Tree model. Plots were classified using the Florida Land Use Cover Classification System. Mean quantities of above-ground tree carbon, by class, were tested for statistical differences. A reclassification was conducted based on these differences. Sub-classes within a given “land cover” class were similar for six of the seven classes. Significant differences were found within the “Wetlands” class based on vegetation cover, forming two distinct groups: “Forested Wetlands” and “Non-forested and Mangrove Wetlands”. The urban “land use” class showed differences between “Residential” and “Non-residential” sub-classes, forming two new classes. LULC classifications can sometimes aggregate areas perceived as similar that are in fact distinct regarding ecological variables. These aggregations can obscure the true variation in a parameter at the landscape scale. Therefore, a study’s classification system should be designed to reflect landscape variation in the parameter(s) of interest.</t>
  </si>
  <si>
    <t>Lagrosa, John J.; Zipperer, Wayne C.; Andreu, Michael G.</t>
  </si>
  <si>
    <t>https://app.dimensions.ai/details/publication/pub.1147842123</t>
  </si>
  <si>
    <t>10.22059/poll.2024.372985.2268</t>
  </si>
  <si>
    <t>AN OPTIMIZATION MODEL FOR UTILIZING GREEN ROAD CORRIDORS AND URBAN PARKS TO ENHANCE TREE ABSORPTION OF MOTOR VEHICLE CO2 EMISSIONS IN PEKANBARU CITY, INDONESIA</t>
  </si>
  <si>
    <t>The surge in CO2 emissions from vehicles has precipitated a rise in global temperatures, instigating the greenhouse effect. This study draws on case studies from prominent Indonesian cities, including Jakarta, Surabaya, and Manado, highlighting a notable dissonance between the capacity of plants to absorb carbon and the volume emitted. Green Road Corridors and Urban Forests assume multifaceted roles in urban ecosystems, functioning as barriers, filters, absorbers, and producers, contributing to air quality, noise reduction, and environmental preservation. Employing linear programming as a mathematical programming branch, this research integrates diverse factors into decision-making models. It strives to achieve optimal solutions pertaining to the selection and quantity of trees for maximizing CO2 absorption resulting from motor vehicle activities in Pekanbaru City, specifically along Subrantas Street and Harapan Raya Street. Land cover classifications in Pekanbaru City encompass green spaces, buildings, open areas, undergrowth, water bodies, and non-private zones. The optimization model, targeting 10% utilization of the Jalan Subrantas urban park area, demonstrates a significant CO2 absorption of 827,976 tons/ha and an O2 surplus of 176,207.72 tons/ha. Conversely, full utilization of the Jalan Sudirman Urban Park area yields a CO2 absorption of 206,982 tons/ha and an O2 surplus of 9036.63 tons/ha. These optimized outcomes lay a foundation for potential carbon tax development within the urban transportation sector of Pekanbaru, with envisaged implementation by the year 2040. © 2024 University of Tehran. All rights reserved.</t>
  </si>
  <si>
    <t>Zulanda; Sukendi; Siregar Y.I.; Suprayogi I.; Irawati I.</t>
  </si>
  <si>
    <t>https://www.scopus.com/inward/record.uri?eid=2-s2.0-85195604630&amp;doi=10.22059%2fpoll.2024.372985.2268&amp;partnerID=40&amp;md5=c52d82dc3c82b5386c08e2132bca4304</t>
  </si>
  <si>
    <t>10.3390/su11184821</t>
  </si>
  <si>
    <t>AN URBAN SYSTEM OPTIMIZATION MODEL BASED ON CO2 SEQUESTRATION INDEX: A BIG DATA ANALYTICS APPROACH</t>
  </si>
  <si>
    <t>Urban development in recent decades has had a significant impact on climate change. Cities have implemented traffic monitoring systems to sustain the new building code in meeting the target for environmental indicators. Timisoara is the second city in Romania and manages over 60% of the development and pollution of Timis County. The analysis of large volumes of data provided by local sensors and databases requires big data analytics. In this research, for the first time, we simultaneously developed two parallel scenario-based decision-making support models to assess a CO2 sequestration index. The model is based on a tree inventory for traffic area and car flow using Roegenian processes with borders. The first scenario (dt1) analyzes the real O2-pollution car flows for process streets as receivers of pollution. The second scenario (dt2) analyzes O2-pollution flows for the same streets from the perspective of streets that garage the cars. We modeled the parallel integration of actual O2 production and pollution flows for 160 main streets that account for over 50% of the urban mileage of Timisoara city. The carbon sequestration indexes of the streets are in the range of 0.0000043–0.437 (dt1) and 0.0000092–11.78 (dt2). The results can be used to support local decision making regarding the environment CO2-O2 balances by optimizing the local fiscal policies. The research could be extended to secondary streets and separately for the pollution of heating-cooling devices for residential building areas.</t>
  </si>
  <si>
    <t>Dogaru, Vasile; Brandas, Claudiu; Cristescu, Marian</t>
  </si>
  <si>
    <t>https://app.dimensions.ai/details/publication/pub.1120870580</t>
  </si>
  <si>
    <t>10.1111/njb.04562</t>
  </si>
  <si>
    <t>A CASE STUDY ON STRUCTURAL DEVELOPMENT AND ECOLOGICAL SERVICES OF RESTORED MANGROVES IN ADYAR ESTUARY, INDIA</t>
  </si>
  <si>
    <t>Mangroves, critical coastal wetlands, face global degradation, necessitating conservation and restoration efforts. This study evaluates mangrove restoration in the Adyar Estuary, Chennai, along the Bay of Bengal, degraded by urbanization and anthropogenic pressures. It evaluates afforested mangroves' structural development, restored ecological functions, and factors enabling their establishment. Spanning 56.6 acres, the estuary hosts six mangrove species, with Avicennia marina dominant. The afforested mangroves showed a median density of 3900 trees ha−1, vegetation biomass of 222.26 Mg ha−1, and carbon stock of 99.89 Mg C ha−1 (366.60 Mg CO2e ha−1). Total carbon storage was 2288.00 Mg C (8397.05 Mg CO2e), with annual sequestration at 325.71 Mg C year−1 (1195.42 Mg CO2e year−1). Reduced self-thinning indicated enhanced self-tolerance. Despite pollution, mangroves thrived due to locally adapted species, replanting efforts and community involvement. This study highlights mangrove restoration as a strategy for climate resilience, aligning ecological and socio-economic goals. © 2025 Nordic Society Oikos. Published by John Wiley &amp; Sons Ltd.</t>
  </si>
  <si>
    <t>Viswanathan C.; Joyson Joe Jeevamani J.; Abhilash K.R.; Amrutha P.A.; Balachandar K.; Manodheepan K.K.; Viswanathan S.; Deepak Samuel V.; Purvaja R.</t>
  </si>
  <si>
    <t>https://www.scopus.com/inward/record.uri?eid=2-s2.0-86000539340&amp;doi=10.1111%2fnjb.04562&amp;partnerID=40&amp;md5=f2927a5aa71012a46a83195eb7eb88eb</t>
  </si>
  <si>
    <t>10.5772/geet.17</t>
  </si>
  <si>
    <t>A GIS-BASED ASSESSMENT OF LAND COVER CHANGES AND TREE SPECIES SUITABILITY FOR URBAN GREENING POLICIES IN THE CITY OF KITWE, ZAMBIA</t>
  </si>
  <si>
    <t>Study objective and design A change vector analysis (CVA) was used to determine land cover (LC) changes and identify tree species that are best for urban greening based on carbon sequestration and air pollution. The study assessed LC change in Kitwe, Zambia, from 1990 to 2015. This study identified the most planted urban tree species along Kitwe’s main roads and highways and evaluated typical urban tree species’ pH, RWC, total chlorophyll, ascorbic acid, and biomass.   Place and length of study The urban trees in Kitwe, Zambia, make up the study population. The city of Kitwe is a thriving centre for mining and commercial activities and is situated in Zambia’s Copperbelt Province. The investigation took place during 2018 and 2019.   Methodology The NDVI and BSI indices were created using spectral indices created from Landsat images of Kitwe taken in 1990 and 2015, respectively. The size and direction of the LC were then determined using CVA, and a district database of land cover changes was constructed using GIS. Urban trees from the built-up area were utilised to create an inventory of common urban tree species based on the land cover classification. The anticipated performance index (API), which measures the suitability of tree species for improving air quality, and the air pollution tolerance index (APTI), which measures the suitability of tree species for urban greening, are two of the three assessment methods that were employed. In addition, above-ground biomass (AGB) was employed to quantify the carbon sequestration contribution of the current urban forest.   Results  The study discovered that between 1990 and 2015, mining activity and urban growth in Kitwe both contributed to changes in the area’s LC. While the central business district still exhibits a persistent presence as a result of the town’s age, having sprung up before the 1990s with more expansions in the new areas, areas being monitored showed low and medium change intensity, mostly in the northeast of the district. In the current investigation, there was a significant difference in the relative abundance of species ( p = 0.05). In the study site, Mangifera indica (RA = 12.3%) and Delonix regia (RA = 15.9%) were the two most prevalent species. According to the study, eleven species were found, and each has accumulated carbon in a unique way throughout time depending on its allometry and age. These distinctions in physiological response (tolerance) to air pollution are noteworthy. Bauhinia variegata , Toona ciliate , Gmelina arborea , Eucalyptus grandis , and Delonix regia were all identified as suitable tree species.    Conclusion  Over the past 25 years, more than 50% of the land cover has changed, with the majority of that change occurring in regions that are now classified as built-up areas. The majority of Kitwe’s urban forests are found in the populated areas and are made up of a variety of ornamental trees that are frequently cultivated for their aesthetic value, attractiveness, and shade. According to the research, this mixture also includes opportunistic urban trees (invasive species) and fruit-bearing trees intermingled with native species. Overall, this study suggests the following species: For urban trees suited for greening programmes aimed at improving air quality and providing shade and beauty in green areas, residences, and sidewalks that have a low air pollution environment, consider Bauhinia variegata , Toona ciliate , Gmelina arborea , Eucalyptus grandis , and Delonix regia .</t>
  </si>
  <si>
    <t>Banda, David Agamemnon</t>
  </si>
  <si>
    <t>https://app.dimensions.ai/details/publication/pub.1172628498</t>
  </si>
  <si>
    <t>10.1088/1755-1315/1064/1/012020</t>
  </si>
  <si>
    <t>ABOVE-GROUND BIOMASS ESTIMATION FOR URBAN FOREST MANAGEMENT USING REMOTE SENSING</t>
  </si>
  <si>
    <t>The urban forest acts as excellent storage for carbon dioxide (CO2). Quantifying the above-ground biomass can be vital in understanding the role of urban forest in mitigating excessive carbon dioxide in the urban environment. This study aimed to quantify and compare the above-ground biomass changes that occur from 1995 to 2005 and from 2005 to 2015 in Bandar Meru Raya, Ipoh, Perak using Landsat 5 and Landsat 8 images. The estimation of above-ground biomass was carried out using two methods, the development of a model equation using correlation analysis for the oil palm plantation inside the study area and an existing model equation that uses normalized difference vegetation index (NDVI) for the urban forest. The results obtained shows that the above-ground biomass content inside the study area has decreased by 6.60% in the first 10 years and decreased by another 33.78% in the second 10 years. These above-ground biomass changes show that there is a severe loss of carbon storage in the study area. Hence, the results can enable authorities to take action in managing the urban forest in order to maintain a stable climate and achieve low carbon city status.</t>
  </si>
  <si>
    <t>Hosni, Ahmad Taufiq; Teriman, Suharto; Adnan, Nor Aizam; Kamar, Muhamad Asri Abdullah</t>
  </si>
  <si>
    <t>https://app.dimensions.ai/details/publication/pub.1149768514</t>
  </si>
  <si>
    <t>10.1007/s12040-012-0237-z</t>
  </si>
  <si>
    <t>ABOVE-GROUND TREE OUTSIDE FOREST (TOF) PHYTOMASS AND CARBON ESTIMATION IN THE SEMI-ARID REGION OF SOUTHERN HARYANA: A SYNTHESIS APPROACH OF REMOTE SENSING AND FIELD DATA</t>
  </si>
  <si>
    <t>Trees outside forest (TOF) play an important role in global carbon cycling, since they are large pools of carbon as well as potential carbon sinks and sources to the atmosphere. In view of the importance of biomass estimates in the global carbon (C) cycle, the present study demonstrates the potential of the standwise tree outside forest inventory data and finer spatial resolution of IRS-P6 LISS-IV satellite data to classify TOF, to estimate above-ground TOF phytomass and the carbon content of TOF in a semi-arid region of the southern Haryana, India. The study reports that above-ground TOF phytomass varied from 1.26 tons/ha in the scattered trees in the rural/urban area to 91.5 tons/ha in the dense linear TOF along the canal. The total above-ground TOF phytomass and carbon content was calculated as 367.04 and 174.34 tons/ha, respectively in the study area. The study results conclude that the classification of TOF and estimation of phytomass and carbon content in TOF can be successfully achieved through the combined approach of Remote Sensing and GIS based spatial technique with the supplement of field data. The present approach will help to find out the potential carbon sequestration zone in the semi-arid region of southern Haryana, India.</t>
  </si>
  <si>
    <t>SINGH, KULDEEP; CHAND, PRITAM</t>
  </si>
  <si>
    <t>https://app.dimensions.ai/details/publication/pub.1024569057</t>
  </si>
  <si>
    <t>10.21472/bjbs.030615</t>
  </si>
  <si>
    <t>AIR POLLUTION TOLERANCE INDEX (APTI) AND CARBON SEQUESTRATION OF SELECTED TREES AND SHRUBS FOR URBAN DEVELOPMENT IN AKURE ONDO STATE, SOUTHWEST NIGERIA</t>
  </si>
  <si>
    <t>Urban green space is a collection of trees and shrubs growing in urban area. Green plants are well known for their abilities to reduce air and noise pollution. It is important that plants used for the development of urban landscaping must be tolerant to air pollutants. There must be some criteria to select tolerant plants for urban landscaping design and for that two indices viz. Air Pollution Tolerance Index (APTI) and carbon sequestration can be a good tool. Thus this study was carried out to assess the efficiency of urban trees (Tabebuia rosea, Polyalthia longifolia, Delonix regia and Raphia farinifera) and shrubs (Ficus spp) to tolerate air pollution and potential for carbon sequestration in Akure, Ondo State, Nigeria in 2015. The sites were sampled from Akure City Major Road, from Oloko Junction to Oba-Ile. The plant species identified at the sample area were Ficus spp, Tabebuia rosea, Polyalthia longifolia, Delonix regia and Raphia farinifera. The assessment of the ascorbic acid, pH, relative water content and total chlorophyll content of the leaves of the identified plant species was done to determine the APTI. The APTI of the plant ranged from 5.11 to 9.31 with Tabebuia rosea having the highest value which indicates it’s high tolerance of air pollutants from the assessment and Raffia farinifera with the lowest value and least tolerant. The biomass of the trees species were estimated for the quantification of the amount of carbon sequestered and the absorbed CO2 in the plant. Tabebuia rosea also had the highest carbon sequestered (10,074 kg) and Delonix regia having the lowest of 4,702.50 kg.</t>
  </si>
  <si>
    <t>Okunlola, A. Ibironke; Adepoju, Akinola O.; Agele, Samuel O.</t>
  </si>
  <si>
    <t>https://app.dimensions.ai/details/publication/pub.1069103555</t>
  </si>
  <si>
    <t>10.1051/bioconf/20249404006</t>
  </si>
  <si>
    <t>AN ASSESSMENT OF URBAN FOREST LANDSCAPE SERVICES FOR GREEN SPACE MANAGEMENT IMPROVEMENT IN BANDUNG CITY, WEST JAVA, INDONESIA</t>
  </si>
  <si>
    <t>In the Bandung metropolitan area, urban forests (UFs) play a crucial role in providing landscape services, especially within the Babakan Siliwangi Urban Forest (BSUF). The BSUF is currently facing multiple development challenges, necessitating scientific evidence to elucidate its role in Bandung's urban landscape. This research analyzes the BSUF’s function in carbon storage, carbon sequestration, and oxygen production and to formulate management recommendations to provide optimal future benefits. Data collection was carried out in 14 sample plots and i-Tree Eco was used to analyze landscape services and predict future vegetation structure based on planned plantings. The findings reveal that (1) BSUF has a high tree diversity, with a 3.3 Shannon index and 41 tree species identified; (2) it stores 381 tons of carbon, sequesters 25.17 tons of carbon annually, and produces 65.07 tons of oxygen per year; (3) to enhance landscape services value for the next 30 years, a minimum 300 trees must be planted per year. These results demonstrate the BSUF’s significance and the importance of tree diversity in sustaining landscape services provided by UF. Additionally, this research introduces i-Tree Eco as a valuable tool for conducting vegetation analysis, aiding stakeholders in monitoring and formulating improved landscape management strategies.</t>
  </si>
  <si>
    <t>Afrianti, Chairunnisa; Widiarti, Novita Mellinia; Akbar, Indria Zhafirah; Rachmanto, Eurico Pratama; Hanif, Muhammad Faig; Amin, Rahmat Akhirul; Kaswanto, Kaswanto; Wiyoga, Harityas; Mosyaftiani, Amarizni</t>
  </si>
  <si>
    <t>https://app.dimensions.ai/details/publication/pub.1170154516</t>
  </si>
  <si>
    <t>10.1590/0103-8478cr20210208</t>
  </si>
  <si>
    <t>AN ESTIMATION OF ECOSYSTEM SERVICES PROVIDED BY URBAN AND PERI-URBAN FORESTS: A CASE STUDY IN JUIZ DE FORA, BRAZIL</t>
  </si>
  <si>
    <t>ABSTRACT: Urban expansion has led to the replacement of natural landscapes and environmental degradation, making cities and their urban and peri-urban forests (UPFs) vulnerable to climate change, especially on the formation of heat islands. Using i-Tree Canopy program (v. 7.0), we estimate the ecosystem services provided by UPFs in Juiz de Fora (Minas Gerais State, Southeastern Brazil), through the analysis of the (1) annual removal of atmospheric pollutants, (2) annual removal of atmospheric carbon, (3) total carbon stock in vegetation, and (4) the monetary benefits of sequestered and stocked carbon, based on Future Carbon Credit (CFI2Z1) as a monetary proxy. The results showed an average total amount of removal of 4.45 thousand tons of air pollution annually. The average annual total carbon storage was 158 thousand tons and the equivalent CO2 was 580 thousand tons, with an estimated total value of R$ 173 million per year. Significant values of the gross carbon stock (3.98 million tons) and equivalent CO2 (14.59 million tons) were found, being valued at R$ 4.35 billion. We concluded that the Juiz de Fora UPFs have a great potential for socio-environmental and economic benefits.
RESUMO: A expansão urbana levou à substituição de paisagens naturais por paisagens urbanas e à degradação ambiental, tornando cidades e suas florestas urbanas e peri-urbanas (FUPs) vulneráveis às mudanças climáticas, especialmente à formação de ilhas de calor. Utilizando o software i-Tree Canopy (v.7.0), estimamos os serviços ecossistêmicos promovidos pelas UPFs em Juiz de Fora (Minas Gerais, Sudeste do Brasil), por meio da análise de (1) remoção anual de poluentes atmosféricos, (2) remoção anual de carbono atmosférico, (3) estoque de carbono na vegetação e (4) os benefícios monetários do carbono sequestrado anualmente e estocado, utilizando o Mercado de Crédito de Carbono Futuro (CFI2Z1) como um proxy monetário. Os resultados apresentam uma quantidade total média de remoção de 4,45 mil toneladas de poluentes do ar, anualmente. O armazenamento médio anual de carbono total foi de 158 mil toneladas e o de CO2 equivalente foi de 580 mil toneladas, com um valor total estimado anual de R$ 173 milhões. Foram encontrados expressivos valores do estoque bruto de carbono (3,98 milhões de toneladas) e CO2 equivalente (14,59 milhões de toneladas), sendo avaliado em R$ 4,35 bilhões. Concluímos que as FUPs de Juiz de Fora possuem um grande potencial para benefícios socioambientais e econômicos.</t>
  </si>
  <si>
    <t>Costemalle, Valéria Borges; Candido, Helder Marcos Nunes; Carvalho, Fabrício Alvim</t>
  </si>
  <si>
    <t>https://app.dimensions.ai/details/publication/pub.1149696013</t>
  </si>
  <si>
    <t>10.3390/en17205093</t>
  </si>
  <si>
    <t>ANALYSIS OF SPATIOTEMPORAL PREDICTIONS AND DRIVERS OF CARBON STORAGE IN THE PEARL RIVER DELTA URBAN AGGLOMERATION VIA THE PLUS-INVEST-GEODETECTOR MODEL</t>
  </si>
  <si>
    <t>Land use and land cover change (LUCC) significantly influences the dynamics of carbon storage in thin terrestrial ecosystems. Investigating the interplay between land use alterations and carbon sequestration is crucial for refining regional land use configurations, sustaining the regional carbon balance, and augmenting regional carbon storage. Using land use data from the Pearl River Delta Urban Agglomeration (PRDUA) from 2010 to 2020, this study employed PLUS-InVEST models to analyze the spatiotemporal dynamics of land use and carbon storage. Projections for the years 2030, 2040, and 2050 were performed under three distinct developmental scenarios, namely, natural development (ND), city priority development (CPD), and ecological protection development (EPD), to forecast changes in land use and carbon storage. The geographic detector model was leveraged to dissect the determinants of the spatial and temporal variability of carbon storage, offering pertinent recommendations. The results showed that (1) during 2010–2020, the carbon storage in the PRDUA showed a decreasing trend, with a total decrease of 9.52 × 106 Mg, and the spatial distribution of carbon density in the urban agglomeration was imbalanced and showed an overall trend in increasing from the center to the periphery. (2) Clear differences in carbon storage were observed among the three development scenarios of the PRDUA between 2030 and 2050. Only the EPD scenario achieved an increase in carbon storage of 1.10 × 106 Mg, and it was the scenario with the greatest potential for carbon sequestration. (3) Among the drivers of the evolution of spatial land use patterns, population, the normalized difference vegetation index (NDVI), and distance to the railway had the greatest influence on LUCC. (4) The annual average temperature, annual average rainfall, and GDP exerted a significant influence on the spatiotemporal dynamics of carbon storage in the PRDUA, and the interactions between the 15 drivers and changes in carbon storage predominantly manifested as nonlinear and double-factor enhancements. The results provide a theoretical basis for future spatial planning and achieving carbon neutrality in the PRDUA.</t>
  </si>
  <si>
    <t>Cai, Jinghang; Chi, Hui; Lu, Nan; Bian, Jin; Chen, Hanqing; Yu, Junkeng; Yang, Suqin</t>
  </si>
  <si>
    <t>https://app.dimensions.ai/details/publication/pub.1181335823</t>
  </si>
  <si>
    <t>Air quality enhancement zones in Taiwan: A carbon reduction benefit assessment.</t>
  </si>
  <si>
    <t>HUTT-TAYLOR</t>
  </si>
  <si>
    <t>Analyzing the efficacy of subtropical urban forests in offsetting carbon emissions from cities</t>
  </si>
  <si>
    <t>JANERETTE</t>
  </si>
  <si>
    <t>AN URBAN FOREST EFFECTS (UFORE) MODEL STUDY OF THE INTEGRATED EFFECTS OF VEGETATION ON LOCAL AIR POLLUTION IN THE WESTERN SUBURBS OF PERTH, WA</t>
  </si>
  <si>
    <t>Managing vegetation in urban environments requires an understanding of its structure, atmospheric interactions and function. This has led to quantification and development of models to estimate the functions of urban vegetation, particularly the integrated effects that take place between vegetation and local atmospheres. The Urban FORest Effects (UFORE) model (developed in North America by the U.S Forest Service (USFS)) provides a method of quantifying multiple functions of urban vegetation including the structure, deposition of air pollutants, emission of biogenic volatile organic compounds (BVOCs), carbon store and annual carbon sequestration, and identifies those species which are most effective at improving local air quality. It has had limited international applications and has not been applied to an Australian environment. This study applied UFORE to the vegetation on public owned land contained in several western suburbs of Perth, Western Australia. Differences in vegetation and air quality between Australia and North America were analysed to assess the applicability of this model to an urban Australian environment. There are many complex processes involved in both the removal of pollutants from the local atmosphere and the emission of BVOCs, which are currently unknown or difficult to model (such as dispersion of pollutants at different scales, physiological differences in vegetation between climatic regions and the effect of resource limitations on plant growth). However the results of this study provide a first approximation of the influence vegetation has on a local urban atmosphere in Western Australia. The results show an overall net removal of air pollutants (294 tonnes annually) when compared to BVOC emissions (119 tonnes annually). It is recognised that individual air pollutants vary in structure and reactivity, and there can also be significant spatial variability in the removal of pollutants by vegetation, hence this should be taken into account when planning the location of new vegetation establishments. While the Perth region does not yet have significant air quality issues, this analysis provides a greater understanding of how vegetation selection can impact local air quality and identifies the potential for UFORE to influence public planning and policy. Incorporating the atmospheric function of vegetation into planning early can ensure that the species composition and level of vegetation in the area will provide the maximum atmospheric benefits as the population grows and pollutant emissions increase In addition to traditional air pollution abatement strategies, vegetation can contribute to the air quality of local urban atmospheres, and is seen as a relatively cost effective method of reducing pollutant levels. Identification and incorporation of local data into UFORE will allow estimates of urban vegetation functions to be improved and lead to wider use of the model in Australian urban environments.</t>
  </si>
  <si>
    <t>Conference paper</t>
  </si>
  <si>
    <t>Saunders S.M.; Dade E.; Van Niel K.</t>
  </si>
  <si>
    <t>https://www.scopus.com/inward/record.uri?eid=2-s2.0-84858847986&amp;partnerID=40&amp;md5=1466d6e68fe4f6da39cacda2d4178ba8</t>
  </si>
  <si>
    <t>10.33002/nr2581.6853.070215</t>
  </si>
  <si>
    <t>ASSESSING ECOSYSTEM LEVEL CARBON LOSS AND MITIGATING CAPACITY OF RUBBER (HEVEA BRASILIENSIS) PLANTATIONS IN HILLY REGIONS IN INDIA</t>
  </si>
  <si>
    <t>Ecosystem level carbon loss and the resultant loss of CO2 mitigating capacity of rubber (Hevea brasiliensis) plantations of 23 and 30 years in a hilly urbanized terrain dominated by development and construction activities was investigated. The total carbon loss of the rubber ecosystem due to the destruction of a surface area of 10, 25, and 50 hectares of rubber plantation was derived from published data of destructive tree felling based on the biomass and carbon sequestration potential of one hectare of rubber plantation. The popularly cultivated clone RRII 105 since 1980 occupying 85% of the total rubber area in India was chosen for the study. The data was analyzed using ANOVA and Standard Error (SE) Means for the base data and extrapolated to ecosystem-level calculation. Results revealed a total ecosystem carbon loss of 2142, 5355, 10710 tons for 23 years and 3415, 8538, 17075 tons for 30 years under deforested area of 10, 25, and 50 hectares, respectively. The carbon loss (tons) from tree biomass (tons) removal was 570, 1425, 2850, litter fall was 575, 1438, 2875 and sheet rubber was 432, 1080, 2160 for 23 year plantation. In 30 years plantation, carbon loss from tree biomass was 1480, 3700, 740, litter fall was 750, 1875, 3750, and sheet rubber was 621, 1553, 3105 tons. Total soil carbon stock loss (tons) was 565, 1413 and 2825 for both 23 and 30 years, since the soil carbon stock was calculated similarly with one value for both plantation years. Other studied clones such as RRII 414, RRII 429, and RRII 417 recorded 44-50 percent higher carbon loss compared to RRII 105. The highest carbon loss was recorded in the central part and lowest in the area with severe drought. The study clearly depicts the importance of rubber plantations in mitigating climate change due to massive removal of rubber plantations, an important economically and environmentally sustainable agro ecosystem. The study recommends for putting in place appropriate policies and regulations to restrict the removal of economic tree plantations for ecosystem sustainability. © 2024 by author(s).</t>
  </si>
  <si>
    <t>Ambily K.K.; Ulaganathan A.</t>
  </si>
  <si>
    <t>https://www.scopus.com/inward/record.uri?eid=2-s2.0-85201830500&amp;doi=10.33002%2fnr2581.6853.070215&amp;partnerID=40&amp;md5=101fd1255031343702740240249345e6</t>
  </si>
  <si>
    <t>10.1016/j.buildenv.2022.109335</t>
  </si>
  <si>
    <t>ASSESSING THE IMPACTS OF VEGETATION COVER LOSS ON SURFACE TEMPERATURE, URBAN HEAT ISLAND AND CARBON EMISSION IN PENANG CITY, MALAYSIA</t>
  </si>
  <si>
    <t>Rapid urbanization, human demands with dynamic hydrology, and land resources impact the carbon cycle and ecosystem resilience at the city level. The expansion of urban areas is continuously replacing the vegetative cover (VC), which accelerates carbon emissions (CE), raises land surface temperature (LST), and contributes to global warming. This study aimed to assess the CE dynamics in Penang City, Malaysia, resulting from land use and land cover (LULC) changes during 1996–2021 and to identify the impacts of CE dynamics on LST change and urban heat island (UHI) effects. In this regard, remote sensing and geospatial methods were applied to monitor the LULC changes and used the biomass carbon stock assessment techniques to quantify carbon storage. The findings of the study illustrate a 17% decrease in forest cover and an excessive increase in urban areas (22%), average LST (8 °C) and UHI (38%) in the last 25 years. The carbon stock (CS) concentration reveals a 24% decrease in high CS areas with more than 1% yearly decline from 1996 to 2021. In addition, due to the massive VC loss, carbon attracted the sun rays, which led to lower CS in built-up and no VC areas. The strong positive correlations between CE and LST and CE and UHI (R2 &gt; 0.7961) at a significant level (p-value &lt; 0.001) suggest that CE is highly responsible for the LST increase and UHI effects. This study proposes effective strategies, including afforestation, reforestation and urban greening practices through rooftop gardening, which can significantly improve the CS capacity and reduce climate change and global warming impacts in the fastest-growing cities.</t>
  </si>
  <si>
    <t>Rahaman, Zullyadini A.; Al Kafy, Abdulla -; Saha, Milan; Rahim, Asyirah Abdul; Almulhim, Abdulaziz I.; Rahaman, Sk Nafiz; Fattah, Abdul; Rahman, Muhammad Tauhidur; Kalaivani, S; Faisal, Abdullah-Al-; Al Rakib, Abdullah</t>
  </si>
  <si>
    <t>https://app.dimensions.ai/details/publication/pub.1149466451</t>
  </si>
  <si>
    <t>Assessment of above- and belowground carbon pools in a semi-arid forest ecosystem of Delhi, India</t>
  </si>
  <si>
    <t>Assessment of above- and below-ground carbon pools in a tropical dry deciduous forest ecosystem of Bhopal, India</t>
  </si>
  <si>
    <t>10.1016/j.ecoleng.2022.106692</t>
  </si>
  <si>
    <t>ASSESSMENT OF CARBON SEQUESTRATION POTENTIAL OF TROPICAL TREE SPECIES FOR URBAN FORESTRY IN INDIA</t>
  </si>
  <si>
    <t>Urban, peri urban and patch forests play a critical role in climate change mitigation through increased carbon storage and for that, it is imperative to assess the species response in an eco-region to recommend a potentially higher carbon sequestering species. In urban settings, green spaces, in particular, trees play a vital role in preserving biodiversity, reducing the impact of urban heat islands, enhancing the hydrological cycle, as well as sequestering carbon. When introduced in urban greening projects, native species provide better ecosystem services, conserve and maintain biodiversity more sustainably than exotic species. However, fewer efforts are being made to evaluate the carbon sequestration potential of native tropical tree species in urban greening initiatives. The present study aims to assess the biomass production and carboxylation efficiency of three native tropical tree species to identify the high carbon sequestering species, which will enhance the carbon stocks under urban green spaces. Above ground biomass, carbon stock and physiological performance of three native tropical tree species (Tectona grandis, Mallotus nudiflorus and Syzygium cumini) were measured in Botanical Garden of CSIR-National Botanical Research Institute, Lucknow for eight years old tree stands. Above ground biomass (AGB, Mg/ha) was measured using a non-destructive method by applying allometric equations. Tree height, diameter at breast height (DBH) and leaf area index (LAI) was maximum in T. grandis stand (10.43 m, 29.21 cm, 1.95, respectively). Maximum AGB (71.94 Mg/ha) and carbon stock (25.54 Mg/ha) was observed in T. grandis plantations among the three tree stands. T. grandis stand also had maximum litter fall (5.82 Mg/ha). Highest diurnal photosynthesis rate, water use efficiency and stomatal conductance were also observed in T. grandis stand. However, maximum photosynthetic rate was observed in Mallotus nudiflorus. One way ANOVA revealed significant differences (p &lt; 0.001) in AGB, carbon stock and physiological parameters among the three species. Pearson's Correlation matrix established the positive relationship between growth performance and physiological traits of species with their capacity to sequester carbon. T. grandis can be promoted for urban greening projects for achieving carbon sequestration targets with short time span, however plantation of mixed native species will provide better delivery of all ecosystem services in sustainable mode. Results from the present study shed light on the patterns of carbon sequestration by these species, which in turn will help in the decision-making process for sustainable urban greening. Further, more tropical species can be assessed for their biomass and carbon capture capacities to determine the best species matrix for plantations to enhance carbon storage and develop climate resilient greenbelt under urban landscape forestry programs.</t>
  </si>
  <si>
    <t>Behera, Soumit K.; Mishra, Shruti; Sahu, Nayan; Manika, N; Singh, Shiv Naresh; Anto, Sonik; Kumar, Rahul; Husain, Ragib; Verma, Anil K.; Pandey, Nalini</t>
  </si>
  <si>
    <t>https://app.dimensions.ai/details/publication/pub.1148412530</t>
  </si>
  <si>
    <t>Assessment of spatio-temporal changes in terrestrial carbon sequestration due to Kochi metro rail project in India</t>
  </si>
  <si>
    <t>10.3390/f10110970</t>
  </si>
  <si>
    <t>ASSESSMENT OF THE DIVERSE ROLES OF HOME GARDENS AND THEIR SUSTAINABLE MANAGEMENT FOR LIVELIHOOD IMPROVEMENT IN WEST JAVA, INDONESIA</t>
  </si>
  <si>
    <t>Home garden is a traditional agroforestry system, which is an ecologically and socio-economically sustainable land use system in West Java, Indonesia. It plays a fundamental role in providing subsistence food and income to local people through a multi-strata structure. Despite the importance of the home garden, which is strongly linked with quality of living, there is still a lack of quantitative data and information. Therefore, we quantified the economic and ecological characteristics of home gardens in the present study to evaluate their diverse roles. In addition, general strategies that are applicable to home gardens inWest Java were developed for sustainable management. The results of this study indicated that: (1) large landholding size showed a significantly higher Net Present Value (NPV) than small landholding size when the home gardens were dominated by fruit tree species, (2) species richness, species diversity, and carbon stock did not differ significantly among the different types and sizes of home gardens in West Java, and (3) multi-layered and diverse species composition is considerable for sustainable management of home gardens in terms of income generation and against urbanization and commercialization in West Java, Indonesia. Further studies should be considered for developing a standardized and generalized model that is able to evaluate and quantify the various ecosystem values that are generally acceptable and applicable in rural areas. © 2019 by the authors.</t>
  </si>
  <si>
    <t>Park J.H.; Woo S.Y.; Kwak M.J.; Lee J.K.; Leti S.; Soni T.</t>
  </si>
  <si>
    <t>https://www.scopus.com/inward/record.uri?eid=2-s2.0-85075385919&amp;doi=10.3390%2ff10110970&amp;partnerID=40&amp;md5=099a92d14242ec6b65d346e4f8243323</t>
  </si>
  <si>
    <t>10.1016/j.landurbplan.2013.07.003</t>
  </si>
  <si>
    <t>BIOGENIC VOLATILE ORGANIC COMPOUND EMISSIONS IN RELATION TO PLANT CARBON FIXATION IN A SUBTROPICAL URBAN-RURAL COMPLEX</t>
  </si>
  <si>
    <t>Changes in vegetation coverage and species composition have contributed to the alteration in biogenic volatile organic compounds (BVOC) emissions, which are regarded as losses of photosynthetically fixed carbon. This study estimates the amount of BVOCs carbon emitted in relation to carbon fixation for the built-up areas and rural forests in a subtropical urban-rural complex. Urban greenspace was subdivided into block greenspace and linear greenspace, while rural areas were characterized by four forest types. A field survey was conducted to assess the vegetation composition, biomass and foliar mass for each tree species. Results showed (1) the emissions intensity of BVOC in the greater Ningbo area is 4.48×106gCkm-2yr-1, the average emission intensity of the greenspace in the built-up areas (2.86×106gCkm-2yr-1) is higher than rural forests excluding bamboo forest (2.66×106gCkm-2yr-1); (2) the contribution of carbon emitted as BVOCs to net primary production (NPP) (BVOCs/NPP ratio) is about 4.3%, with 1.8% for the built-up areas which is lower than that for rural forests including bamboo forest (4.4%), but higher than rural forests excluding bamboo forest (0.96%); (3) the BVOCs/NPP ratio between native and exotic tree species exhibits no significant difference. The results suggest that BVOC emissions can be reduced while carbon sequestration can be increased by planting trees with low-emitting but high carbon fixation capacity in built-up areas, and by reducing bamboo forest while restoring broad-leaved forest in rural forests. © 2013 Elsevier B.V.</t>
  </si>
  <si>
    <t>Guo P.; Guo K.; Ren Y.; Shi Y.; Chang J.; Tani A.; Ge Y.</t>
  </si>
  <si>
    <t>https://www.scopus.com/inward/record.uri?eid=2-s2.0-84883826763&amp;doi=10.1016%2fj.landurbplan.2013.07.003&amp;partnerID=40&amp;md5=7ec4df071da976d3fcb52af777e66301</t>
  </si>
  <si>
    <t>Biomass and carbon storage in trees of the first section of Chapultepec Park, Mexico City</t>
  </si>
  <si>
    <t>10.1063/1.5064185</t>
  </si>
  <si>
    <t>BIOMASS ESTIMATION BY COMBINING FIELD-SAMPLING MEASUREMENT AND VEGETATION INDICES DERIVED FROM SPOT-7 IMAGERY IN URBAN AREA: CASE STUDY IN SOUTH TANGERANG, INDONESIA</t>
  </si>
  <si>
    <t>Biomass estimation is important to understand the benefits of vegetation in the urban area. Since administratively separated from Tangerang Regency in 2008, the population increased substantially by approximately 3.64%. The rapid urban expansion tends to prioritize a short-term development and led to the conversion of green areas to urban uses. Moreover, it will reduce the vegetation cover which is important in reducing carbon emission. This study used field - sampling measurement and vegetation indices formula to develop a simple biomass estimation model. This study aims to estimate biomass values, the amount of CO2 stored by vegetation and also explain the spatial distribution of biomass in South Tangerang. The allometric equation developed by the United States Department of Agriculture (USDA) is used to get the biomass value from field measurement data. Vegetation indices formula includes NDVI (Normalized Differential Vegetation Index), SAVI (Soil-adjusted Vegetation Index) and ARVI (Atmospherically Resistant Vegetation Index) extracted from the SPOT-7 image. Grid analysis used for analyzing the data. © 2018 Author(s).</t>
  </si>
  <si>
    <t>Pitriya A.; Rokhmatuloh R.; Wibowo A.; Ash-Shidiq I.P.</t>
  </si>
  <si>
    <t>https://www.scopus.com/inward/record.uri?eid=2-s2.0-85056144406&amp;doi=10.1063%2f1.5064185&amp;partnerID=40&amp;md5=5b19b2d37718d195f20890d532f39fe0</t>
  </si>
  <si>
    <t>10.1016/j.foreco.2013.08.062</t>
  </si>
  <si>
    <t>BIOMASS ESTIMATION WITHIN AN AUSTRALIAN EUCALYPT FOREST: MESO-SCALE SPATIAL ARRANGEMENT AND THE INFLUENCE OF SAMPLING INTENSITY</t>
  </si>
  <si>
    <t>Plant biomass is important when measuring productivity, calculating carbon stores and when studying interactions between abiotic factors and biotic organisms. However, information on the spatial arrangement of above ground live biomass (AGLB) is lacking and while the influence of replication on estimated AGLB has been studied, it has rarely been the focus in Australian ecosystems. This study examined spatial arrangement of AGLB, the influence of survey design, and interactions between abiotic factors and AGLB. Above ground live biomass was measured in a remnant eucalypt forest at Karawatha Forest Park (∼900ha), a long term ecological research site (LTER node) within the Terrestrial Ecosystem Research Network (TERN) South-east Queensland Peri-urban Supersite, Australia. Sampling of woody vegetation occurred in 32 one-hectare plots systematically placed at 500m intervals. Above ground live biomass was estimated to be 146.51Mg ha−1, with spatial interpolation calculating that there was 133,487Mg of AGLB (&gt;1cm DBH) within Karawatha Forest Park. Time and effort could be saved by not measuring trees &lt;10cm, because only ∼7% of the AGLB biomass (&gt;1cm) would be lost. Despite relatively low variation in AGLB among plots, bootstrapping indicated that at least 15 PPBio (Program for Planned Biodiversity and Ecosystem Research) plots are needed to precisely estimate AGLB within Karawatha Forest Park. Topography and soil chemistry performed poorly at explaining AGLB, and it is likely that past and present human activities (e.g. logging and arson) play a role in influencing AGLB at Karawatha Forest Park. This study identifies the importance of independent replication to capture variation in AGLB for carbon storage estimation, and the power of systematic sampling within sites for mapping carbon stocks at meso and larger scales.</t>
  </si>
  <si>
    <t>Hero, J.-M.; Castley, J.G.; Butler, S.A.; Lollback, G.W.</t>
  </si>
  <si>
    <t>https://app.dimensions.ai/details/publication/pub.1047481261</t>
  </si>
  <si>
    <t>10.23910/2/2025.5917b</t>
  </si>
  <si>
    <t>BIOMASS POTENTIAL, CARBON STOCK AND CARBON SEQUESTRATION OF URBAN FOREST IN SHIMLA CITY OF HIMACHAL PRADESH, INDIA</t>
  </si>
  <si>
    <t>The study was conducted during April–June month of 2022 at Shimla city of Himachal Pradesh, India under the facilities provided by Department of Environmental Sciences, HPU, Shimla to determine the carbon storage potential by urban forests in Shimla city, Himachal Pradesh. The biomass production and carbon sequestration of the urban forest across two altitude ranges (B1 and B2) and four aspects (A1, A2, A3, and A4) showed significant variation due to the aspects and altitudinal gradient. The results revealed the maximum biomass (625.61 t ha-1) was accumulated in A1, whereas in case of altitudinal range maximum biomass (530.98 t ha-1) in B2 (2100–2500 m). Vegetation carbon density of moist-temperate forest ecosystem followed the order; A1&gt;A2&gt;A3 and A4 aspect, whereas in case of altitudinal ranges the trend was B2&gt;B1. Similar trend was also seen in respect of biomass carbon stock at different aspect and altitudinal range. Maximum soil organic carbon density was recorded in aspect (22.73 t ha-1), which was found to be significantly higher than all other. In case of the altitudinal range the trend was B1 (19.66 t ha-1) &gt;B2 (17.06 t ha-1). There were 5 pre-dominant tree species identified in study area as Quercus leucotrichophora, Rhododendron arboretum, Cedrus deodara, Pinus roxburghii and Quercus floribunda which contributed in biomass production and carbon storage potential. For species contribution in biomass, Quercus leucotricophora has maximum contribution (742.48 t ha-1) among all other and similar observations in case of total carbon stock and total CO2 sequestrated, which were seen maximum in Quercus leucotricophora (371.24 t ha-1) and (1362.1650 t ha-1).</t>
  </si>
  <si>
    <t>Supriya, Kalyani; Kapoor, Himesh; Thakur, Nishant</t>
  </si>
  <si>
    <t>https://app.dimensions.ai/details/publication/pub.1186899763</t>
  </si>
  <si>
    <t>10.1016/j.envdev.2023.100860</t>
  </si>
  <si>
    <t>CARBON FOOTPRINT IN AN EDUCATIONAL INSTITUTION AND COMPENSATION POTENTIAL IN URBAN FORESTS</t>
  </si>
  <si>
    <t>Greenhouse Gas (GHG) emissions are growing at an accelerated pace and can generate several environmental, social and economic problems. Because of this, Educational Institutions (IE) are taking a leading role in the development and implementation of sustainable practices and initiatives, recognizing their potential to accelerate this progress towards sustainable development. The objective was to develop GHG emission indices and the carbon footprint of the Federal University of Viçosa, Viçosa campus, in the base period of 2019 and also the potential for compensation through the removal of carbon from the native forests existing at the university. In the base period, UFV emitted a total of 3492.46 MgCO2e. When considering the existing tree vegetation, it was found that the removal was 8547.76 MgCO2e, making the carbon balance negative, with a balance of 5055.30 MgCO2e. The emission index per total area was 2.13 MgCO2e.ha−1. year−1, the emission index per constructed area was 81.03 MgCO2e.ha−1. year−1, and the carbon footprint was 0.19 MgCO2e.person−1. year−1. It is concluded that the carbon balance is negative, indicating that the removal of carbon is greater than the emission of GHG. With the results obtained, UFV can promote green marketing and become an example for other Brazilian and worldwide IE.</t>
  </si>
  <si>
    <t>de Almeida Rocha, Thaís; Silva, Lauana Blenda; Alves, Eliana Boaventura Bernardes Moura; Jacovine, Laércio Antônio Gonçalves</t>
  </si>
  <si>
    <t>https://app.dimensions.ai/details/publication/pub.1157181636</t>
  </si>
  <si>
    <t>10.47836/pjst.29.1.22</t>
  </si>
  <si>
    <t>CARBON FOOTPRINT OF BUILT FEATURES AND PLANTING WORKS DURING CONSTRUCTION, MAINTENANCE AND RENEWAL STAGES AT URBAN PARKS IN PETALING JAYA, SELANGOR</t>
  </si>
  <si>
    <t>Carbon emissions in Malaysia are escalating due to rapid urbanisation wherein their sources are claimed to be generated by the construction industry, including urban park development. Upon completion of the urban park project, the vegetation will supposedly function immediately as a carbon sequester. However, the processes of building, maintaining, and renewing built features and plantings can emit additional carbon dioxide (CO2) than the storage. Rigorous CO2 release across the maintenance and renewal stages may be contributed by park management activities, such as planting grooming, built feature rectification, and park maintenance works. This study investigated carbon footprint derived from built features and planting works during the construction, maintenance, and renewal stages of park management. Taman Bandaran Kelana Jaya and Taman Aman Petaling Jaya were chosen as the study sites as they were located at urban areas. Continued use of the parks resulted in a swift deterioration of its facilities, whereby this scenario would ensure recurrent maintenance and renewal works were conducted for them. As-built drawings were utilised to identify the lists of inventories and work breakdown structure for every built feature and planting work to approximate the indirect CO2 emissions, which was aided by EToolLCD software. This study revealed that the amount of CO2 sequestered by the manicured vegetation was only 28.7% out of the total CO2 emission produced since its construction stage. Hence, urban parks can be perceived as a carbon source instead of a carbon sink medium.</t>
  </si>
  <si>
    <t>Jamirsah, Nurzuliza; Said, Ismail; Jaafar, Badrulzaman; Mohd Hassani, Mohd Haniff</t>
  </si>
  <si>
    <t>https://app.dimensions.ai/details/publication/pub.1134882182</t>
  </si>
  <si>
    <t>10.24294/jipd.v8i6.3385</t>
  </si>
  <si>
    <t>CARBON SEQUESTRATION ANALYSIS OF THE UNIVERSITY CAMPUSES IN THE BANGKOK METROPOLITAN REGION</t>
  </si>
  <si>
    <t>Due to the gradual growth of urbanization in cities, urban forests can play an essential role in sequestering atmospheric carbon, trapping pollution, and providing recreational spaces and ecosystem services. However, in many developing countries, the areas of urban forests have sharply been declining due to the lack of conservation incentives. While many green city spaces have been on the decline in Thailand, most university campuses are primarily covered by trees and have been serving as urban forests. In this study, the carbon sequestration of the university campuses in the Bangkok Metropolitan Region was analyzed using geoinformatics technology, Sentinal-2 satellite data, and aerial drone photos. Seventeen campuses were selected as study areas, and the dendrometric parameters in the tree databases of two areas at Chulalongkorn University and Thammasat University were used for validation. The results showed that the weight average carbon stock density of the selected university campuses is 46.77 tons per hectare and that the total carbon stock and sequestration of the study area are 22,546.97 tons and 1402.78 tons per year, respectively. Many universities in Thailand have joined the Green University Initiative (UI) and UI GreenMetric ranking and have implemented several campus improvements while focusing on environmental concerns. Overall, the used methods in this study can be useful for university leaders and policymakers to obtain empirical evidence for developing carbon storage solutions and campus development strategies to realize green universities and urban sustainability.</t>
  </si>
  <si>
    <t>Anantsuksomsri, Sutee; Positlimpakul, Korrakot; Chatakul, Paron; Janpathompong, Dalin; Chen, Gang; Tontisirin, Nij</t>
  </si>
  <si>
    <t>https://app.dimensions.ai/details/publication/pub.1173560670</t>
  </si>
  <si>
    <t>10.3390/f15091488</t>
  </si>
  <si>
    <t>CARBON SEQUESTRATION AND STORAGE OF URBAN TREES IN A POLLUTED SEMIARID CITY</t>
  </si>
  <si>
    <t>Cities play a critical role in anthropogenic CO2 emissions, which exacerbate climate change and impact urban populations. Urban green infrastructure, such as urban trees, provides essential ecosystem services, including reducing atmospheric CO2 levels. However, there is a significant knowledge gap regarding the impact of urban trees on climate change in semiarid, polluted cities like Tehran, the capital and largest metropolis of the Middle East. This study assesses the carbon sequestration and storage potential of Tehran’s urban infrastructure using the i-Tree Eco model. A randomized cluster sampling method was employed, collecting data on species composition, diameter at breast height (DBH), and total tree height. The results indicate that Tehran’s urban trees sequester approximately 60,102 tons of carbon per year, equivalent to 220,393 tons of CO2. The net carbon storage in urban trees is about 254,579 tons, equivalent to 933,455 tons of CO2. Parks and urban green spaces demonstrate the highest rate of carbon sequestration per hectare, followed by urban services land use. Prioritizing the planting of species with high sequestration rates like Cupressus arizonica (Arizona cypress) and Cupressus sempervirens L. var. horizontalis (Mediterranean cypress) could enhance carbon sequestration efforts in Tehran. These data provide valuable insights into the carbon sequestration potential and environmental impact of different land use types, and may aid in the development of effective environmental policies and land management strategies in semiarid urban areas and other cities in similar settings.</t>
  </si>
  <si>
    <t>Rasoolzadeh, Reihaneh; Dinan, Naghmeh Mobarghaee; Esmaeilzadeh, Hassan; Rashidi, Yousef; Marcu, Marina Viorela; Sadeghi, Seyed Mohammad Moein</t>
  </si>
  <si>
    <t>https://app.dimensions.ai/details/publication/pub.1175109107</t>
  </si>
  <si>
    <t>Carbon sequestration estimates of indigenous street trees in the City of Tshwane, South Africa</t>
  </si>
  <si>
    <t>Carbon sequestration in the bio-edaphic ecosystem of National Highway-27 in Guwahati, Assam, India</t>
  </si>
  <si>
    <t>10.1007/s40030-022-00621-9</t>
  </si>
  <si>
    <t>CARBON SEQUESTRATION POTENTIAL OF URBAN TREES: A CASE OF KOLAR AREA IN BHOPAL CITY, INDIA</t>
  </si>
  <si>
    <t>With higher targets for economic and social development, cities and urban areas are expanding and releasing higher amounts of greenhouse gases into the atmosphere, of which carbon dioxide has the highest percentage composition. In order to combat climate change, there is a need to capture carbon released through anthropogenic activities. The study was conducted in a ward of the rapidly growing Kolar area of Bhopal city which is the capital of Madhya Pradesh state of India. It quantifies total biomass and amount of carbon content in each urban tree species of the study area using the non-destructive biometric method comprising of diameter at breast height (DBH), tree height, wood densities, and above-ground and below-ground biomass estimations through allometric equations. Sample of three plots of 25 hectares each was chosen based on density and diversity of urban trees and density of building footprints and the average of existing tree count were taken. Based on the highest level of carbon sequestered by the studied tree species, ward level interventions are proposed depending on tree count per hectare to reach an optimum level. The study and the recommendations will prove to be helpful in afforestation projects for urban landscapes and reducing the local area carbon dioxide equivalent concentrations. The integration of the same in the local action plans for each city of the country will have a big contribution in achieving the national targets for increasing carbon sinks in urban areas under National Mission for a Green India by 2030.</t>
  </si>
  <si>
    <t>Chaurasia, Shreya; Munoth, Navneet</t>
  </si>
  <si>
    <t>https://app.dimensions.ai/details/publication/pub.1146281501</t>
  </si>
  <si>
    <t>10.21837/pmjournal.v13.i5.142</t>
  </si>
  <si>
    <t>CARBON SEQUESTRATION THROUGH URBAN GREEN RESERVE AND OPEN SPACE</t>
  </si>
  <si>
    <t>The world is experiencing rapid development and urbanisation of urban areas that cause an increase in the carbon emission which contributes to greenhouse gasses and global warming. The environment has been declining for the past few years while extreme weather has impacted some urban areas in Malaysia. In 2009, the Malaysian government pledged to achieve up to 40% voluntary reduction in carbon emission intensity by 2020. Now it is time to move forward by proposing the green and low-carbon way to offset carbon emission from both planning and landscaping perspectives. This research demonstrates how urban green reserves, being a vital land use component in the urban area, is effective in carbon sequestration to absorb and store carbon emission for an extended term. Through the natural process of photosynthesis, mature trees planted in urban green reserve and open space can act as a carbon sink. This research computes the volume of carbon sequestration of trees planted in urban green reserve and the open space within the study area. Through this study, the accurate allometric relationship for the total above-ground biomass with the tree diameter and height was developed to estimate the rate of carbon sequestration in Pasir Gudang. The results based on mature trees inventory revealed that the total amount of carbon sequestration contributed by both urban green reserve and open space were 2,238.183 tons of carbon per year. Within the design parameters of the case study area, the total contribution of carbon reduction was merely 3.15% per year compared to the target of 10% carbon reduction via carbon sequestration. The total balance of carbon reduction that needs to be offset via carbon sequestration is 6.85%. Therefore, there is a need to provide smart planning and consolidating of low carbon initiatives to increase the contribution of carbon sequestration for a healthier environment in the urban area. © 2015 by Malaysia Institute of Planners (MIP).</t>
  </si>
  <si>
    <t>Misni A.; Jamaluddin S.; Kamaruddin S.M.</t>
  </si>
  <si>
    <t>https://www.scopus.com/inward/record.uri?eid=2-s2.0-84959461300&amp;doi=10.21837%2fpmjournal.v13.i5.142&amp;partnerID=40&amp;md5=2dfe39771a430269c34a9893c9b4167e</t>
  </si>
  <si>
    <t>10.1007/s11252-020-00961-z</t>
  </si>
  <si>
    <t>CARBON STOCK AND WOODY SPECIES DIVERSITY PATTERNS IN CHURCH FORESTS ALONG CHURCH AGE GRADIENT IN ADDIS ABABA, ETHIOPIA</t>
  </si>
  <si>
    <t>Most of the Ethiopian Orthodox Churches comprise natural and planted forests and trees on their premises. A study was conducted to investigate carbon stock and woody species diversity patterns along the church age gradient in Addis Ababa city. We hypothesized that the carbon stock would relate to the church age gradient. Thus, the study was conducted in forests belonging to churches that were selected in a stratified random sampling from four age categories with the year of establishments ranging from 1897 to 1993. Counting of all the woody species and DBH and height measurement of all individuals with DBH of 5 cm and above was carried out. Carbon stock and different diversity indices were computed, and the relationships between church age and tree parameters were evaluated. Results showed that the forests were characteristically small (0.6 ± 0.57 ha), and the tree species with the highest total carbon stock were Juniperus procera, Eucalyptus globulus and E. camaldulensis. The mean amount of carbon stock contained in each church forest was 156 ± 92 t ha-1. A total of 50 indigenous and 40 exotic woody species were identified. A statistically significant difference (p &lt; 0.05) among the four Strata was revealed for the carbon stock of native trees. Correlation analysis also revealed a significant positive relationship between church age and native trees’ carbon stock. We conclude that the church forests have a very important role in carbon sequestration and biodiversity conservation, and thus scaling up the long-term maintenance and management of such small-sized forests in urban green spaces is vital.</t>
  </si>
  <si>
    <t>Yilma, Getaw; Derero, Abayneh</t>
  </si>
  <si>
    <t>https://app.dimensions.ai/details/publication/pub.1125921523</t>
  </si>
  <si>
    <t>10.21833/ijaas.2023.10.004</t>
  </si>
  <si>
    <t>CARBON STOCK ASSESSMENT OF MANGROVE FORESTS ALONG MACAJALAR BAY, MISAMIS ORIENTAL, PHILIPPINES</t>
  </si>
  <si>
    <t>Mangrove ecosystems are widely recognized for their crucial role in mitigating climate change through carbon storage and sequestration services. These ecosystems possess significant carbon reservoirs, particularly in their soils. Nevertheless, the unremitting development of coastal areas and alterations in land use constitute impending threats to these ecosystems, endangering the continuity of their invaluable services. Recognizing the crucial role of mangrove ecosystems in mitigating climate change, this study meticulously evaluates the cumulative carbon stocks encompassing the aboveground and soil components within three mangrove-protected areas in the Macajalar Bay region of Misamis Oriental. The research findings show that soil carbon makes up a significant portion, ranging from 40% to 90%, of the total carbon stocks in the three study areas. This emphasizes the crucial function of mangrove soils as carbon repositories. Furthermore, the study establishes a direct connection between the age of mangrove stands and the occurrence of large-girth trees, both of which add to the rise in carbon stocks. Despite their substantial carbon storage capacity, mangrove forests in the Macajalar Bay region are still facing encroachments due to urbanization pressures. This assessment of carbon stocks in these coastal ecosystems plays a critical role in developing localized strategies that align with the United Nations Framework Convention on Climate Change's (UNFCCC) REDD+ initiatives, thus preventing further degradation of these vital carbon sinks. © 2023 The Authors. Published by IASE.</t>
  </si>
  <si>
    <t>Lomoljo-Bantayan N.A.; Tatil W.T.; Dagoc F.L.S.; Tampus A.D.; Amparado R.J.F.</t>
  </si>
  <si>
    <t>https://www.scopus.com/inward/record.uri?eid=2-s2.0-85178644246&amp;doi=10.21833%2fijaas.2023.10.004&amp;partnerID=40&amp;md5=b42c82ad8ad5a310ed357d1343b9aaa7</t>
  </si>
  <si>
    <t>10.3390/su15054300</t>
  </si>
  <si>
    <t>CARBON STOCK MAPPING UTILIZING ACCUMULATED VOLUME OF SEQUESTRATED CARBON AT BANGLADESH AGRICULTURAL UNIVERSITY, BANGLADESH</t>
  </si>
  <si>
    <t>The potential to sequester carbon by tree species in tropical regions such as Bangladesh is promising in regard to carbon sequestration (CS) potentiality and reducing CO2 emissions. This study focuses on perennial tree species within 488 hectares of Bangladesh Agricultural University (BAU) to assess the CS and to produce a C stock map for BAU. To compute the green and dry weight, weight of C and CO2 sequestration in the tree, a simplified methodology from the National Computational Science Institute of the Shodor Education Foundation was applied. A total of 27,543 trees comprising 424 species were taken into consideration, dividing the whole study area into four segments. B. ceiba and L. acidissima received the maximum and minimum green, dry, and C weight values. The topmost five carbon stock accumulating trees are M. longifolium (264,768 kg yr−1), S. mahagoni (257,290), A. lebbeck (118,310), M. indica (78,906), and T. grandis (51,744) whilst A. lebbeck is the major C stock accumulating tree within BAU. The top five CS potential are found for B. ceiba (181 kg), A. columnaris (139 kg), S. siamea (116 kg), F. elastica (113 kg), and F. religiosa (83 kg). To reveal the prospects of tree species in Bangladesh for emission reduction, the CS potential could be incorporated with the C trading scheme of the CDM (clean development mechanism) of the Kyoto Protocol. © 2023 by the authors.</t>
  </si>
  <si>
    <t>Farukh M.A.; Rani K.; Nashif S.M.; Khatun R.; Toma L.T.; Hyakumura K.; Islam K.K.</t>
  </si>
  <si>
    <t>https://www.scopus.com/inward/record.uri?eid=2-s2.0-85149922173&amp;doi=10.3390%2fsu15054300&amp;partnerID=40&amp;md5=6256c4ff81a258e73750a533f088b21c</t>
  </si>
  <si>
    <t>10.1051/e3sconf/202455703001</t>
  </si>
  <si>
    <t>CARBON STOCK POTENTIAL OF TREES IN SELECTED URBAN UN-CONSERVED FOREST IN ENTOTO MOUNT FOREST, ADDIS ABABA, ETHIOPIA</t>
  </si>
  <si>
    <t>Urban forests have a role in climate regulation by managing greenhouse gas emissions. The aim of this study was to assess the potential carbon (C) stock of both above ground biomass (AGB) and below-ground biomass (BGB) in the un-conserved Entoto mount forest and to determine their contribution to mitigating climate change and enhancing ecosystem services. The selected study sites recorded a total of 417 trees, with Eucalyptus globulus covering 45.08% of the species and Juniperus procera covering 38.13%. The average AGB was 114.28 ton/hectare (t/ha), while BGB it was 22.28 t/ha. The average C content in the AGB was 53.73 t/ha, while in the BGB it was 10.81 t/ha. This study enhances the comprehension of the forest-s present ecological condition and facilitates decision-making processes for conservation and sustainable development.  © 2024 The Authors, published by EDP Sciences.</t>
  </si>
  <si>
    <t>Solomon L.W.; Arunrat N.; Phutthai T.; Wisawapipat W.</t>
  </si>
  <si>
    <t>https://www.scopus.com/inward/record.uri?eid=2-s2.0-85202569445&amp;doi=10.1051%2fe3sconf%2f202455703001&amp;partnerID=40&amp;md5=b4599520edc5aac03b0afe93370d5fd5</t>
  </si>
  <si>
    <t>10.1007/s40011-022-01348-0</t>
  </si>
  <si>
    <t>CARBON STORAGE AND CARBON DIOXIDE SEQUESTRATION BY URBAN TREE COVER: CASE STUDY FROM VARANASI, INDIA</t>
  </si>
  <si>
    <t>Increasing number of urban settlements is a major contributor to global climate change and has resulted into rising sea level,  increasing the frequency of floods and droughts and ultimately decreasing human well-being. Urban areas are likely to account for 68 per cent of the world’s population by 2050, which will result in extensive environmental degradation and ecological destruction. They are considered the major source of carbon emissions because anthropogenic activities such as the heating of domestic spaces and vehicular emissions are concentrated in urban areas. Tree populations in urban areas have a tremendous potential to mitigate emissions through carbon sequestration. However, only a few studies on the quantification of carbon stock in urban vegetation are so far available. There is therefore an urgent need to quantify the amount of sequestered carbon in urban tree cover for better monitoring and management of regional carbon stock. In the present study, we explore the potential of carbon dioxide sequestration in trees at a few sites in the heavily populated city of Varanasi. Our study shows that the carbon stock in both above-ground and below-ground biomass in different sites averaged 1901 metric tonnes of carbon per hectare, with carbon dioxide sequestration of 6977 tonnes per hectare. This indicates that urban tree plantations have a significant potential to sequester anthropogenic carbon locally at source and to stock it in their biomass for long periods of time. Some key recommendations regarding the expansion of urban green cover and the planting of fast-growing native species are offered, in order to enhance carbon dioxide sequestration.</t>
  </si>
  <si>
    <t>Singh, Ashutosh Kumar; Nair, Vivek Kumar; Singh, Hema; Mishra, Rohit Kumar; Singh, J. S.</t>
  </si>
  <si>
    <t>https://app.dimensions.ai/details/publication/pub.1147171482</t>
  </si>
  <si>
    <t>Carbon storage and sequestration potential of urban trees in Cebu City, Philippines</t>
  </si>
  <si>
    <t>Carbon storage estimation of tropical urban trees by an improved allometric model for aboveground biomass based on terrestrial laser scanning</t>
  </si>
  <si>
    <t>10.1016/j.ufug.2023.128009</t>
  </si>
  <si>
    <t>CARBON STORAGE IN A PERI-URBAN NEOTROPICAL FOREST: ASSESSING ITS POTENTIAL AND PATTERNS OF CHANGE OVER HALF A CENTURY</t>
  </si>
  <si>
    <t>Forest ecosystems are associated with environmental regulation services, such as carbon storage, which is an outstanding service. Carbon fluxes in cities are difficult to estimate due to the scale at which they are addressed, particularly at the local level. In this work, we were interested in determining the carbon stored in the aboveground biomass of the tropical montane cloud forest tree species located on the western periphery of the city of Xalapa, Veracruz, Mexico. With these data, we interpolated the storage and sequestration over five decades through image satellites and aerial photography of this unique forest. Additionally, to assess this potential as a basis for a biodiversity contribution to city resilience, we conducted phytosociological sampling. Native species such as Quercus xalapensis, Liquidambar styraciflua var. mexicana and Q. lancifolia showed the most significant values of 72.92, 58.79, and 49.14 Mg ha−1, respectively, of carbon. We used phytosociological sampling to better understand structural and functional features of urban forest biodiversity that can contribute to management practices for adaptation to climate change. In addition, the native species currently studied offer an opportunity for the city to implement better-targeted reforestation and ecological restoration programs for integrated landscaping in urban planning. Our results suggest that between 1966 and 2022, there was a forest recovery of 52.4 ha and an increase in urban areas of 63.4 ha, which is equivalent to an increase from 7,700.86 Mg ha−1 in 1966 to 12,620.00 Mg ha−1 in 2022. In this context, it is possible to both recover the vegetation cover and expand the city, thus avoiding part of the loss of ecosystem services that urbanization usually implies. This should be promoted among decision-makers and citizens in urban planning. Recovery processes can take place successfully in some cases even as urban areas expand. This possibility is relevant due to the many contributions that vegetation provides to citizens, including carbon storage. The opportunity to study five decades allows us to know the history, monitor the processes and make a projection to conserve the vegetation and improve management.</t>
  </si>
  <si>
    <t>Benítez, Griselda; Ruelas-Monjardín, Laura C.; Von Thaden, Juan; Acosta-Rosado, Israel; Alvarado-Castillo, Gerardo; Equihua, Miguel</t>
  </si>
  <si>
    <t>https://app.dimensions.ai/details/publication/pub.1160003930</t>
  </si>
  <si>
    <t>10.1007/s11676-015-0058-4</t>
  </si>
  <si>
    <t>CARBON STORAGE POTENTIAL OF AVENUE TREES: A COMPARISON OF BARRINGTONIA RACEMOSA, CYCLOBALANOPSIS GLAUCA, AND ALNUS FORMOSANA</t>
  </si>
  <si>
    <t>Trees in cities play a valuable public health role for they are able to use photosynthesis to absorb atmospheric carbon dioxide (CO2), which is then stored as tree biomass. The present study compared the potential for carbon storage in the aboveground tree biomass of 3-year-old specimens of Barringtonia racemosa, Cyclobalanopsis glauca, and Alnus formosana grown in Chiayi City, Taiwan. Assessment of the carbon storage of avenue trees was based on measurement of the photosynthetic rate and leaf area, as well as the biomass of timbers, from October 2008 to 2009. Based on photosynthetic rates and leaf area, the estimated carbon stocks of B. racemosa, C. glauca, and A. formosana are 756, 615, and 2738 kg Cha(-1) a(-1), respectively. In addition, carbon storage can be estimated based on timber volume, and these results are 1170, 720, and 1995 kg Cha(-1) a(-1) for B. racemosa, C. glauca, and A. formosana, respectively. Based on these findings, A. formosana has the highest carbon fixation potential of these three trees. Although the photosynthetic rate measurements can provide detailed data on the diurnal changes in carbon stocks, this requires more time and labor. In contrast, timber volume measurements provide a rapid and convenient way to estimate carbon stocks.</t>
  </si>
  <si>
    <t>J</t>
  </si>
  <si>
    <t>Tsay, JS; Ko, PH; Chang, PT</t>
  </si>
  <si>
    <t>10.3390/f15020303</t>
  </si>
  <si>
    <t>CARBON STORAGES AND DENSITIES OF DIFFERENT ECOSYSTEMS IN CHANGZHOU CITY, CHINA: SUBTROPICAL FORESTS, URBAN GREEN SPACES, AND WETLANDS</t>
  </si>
  <si>
    <t>Climate change mitigation and carbon neutrality are current hot topics. Forests, urban green spaces, and wetland ecosystems are recognized as important carbon sinks. The Yangtze River Delta region in Eastern China, which plays a pivotal role in China’s economic and social development, is rich in such carbon-sink resources. There is, however, a lack of regional carbon data. The investigation of carbon storage and carbon densities of forest, urban green space, and wetland ecosystems is, therefore, of great importance. In this study, the forest resource management map (including wetland) and green space system planning map of Changzhou city, combined with a field investigation and laboratory experimental analysis, were used to estimate the carbon storages and carbon densities of the forest, urban green space, and wetland ecosystems in Changzhou city. The average carbon density and carbon storage in Changzhou were 83.34 ± 4.91 Mg C ha−1 and 11.30 ± 0.67 Tg C, respectively, of which soil accounted for 74%, plants accounted for 25%, and litter accounted for less than 1%. The forest ecosystem contributed the most to the carbon pool (72%), with the green space ecosystem and the wetland ecosystem each accounting for 14% of the carbon pools. Clearly, the forest, green space, and wetland ecosystems in Changzhou city have a large carbon storage capacity. This study is of significance as it provides data on the carbon sink functions of forest, green space, and wetland ecosystems at the provincial and national regional scales.</t>
  </si>
  <si>
    <t>Deng, Wenbin; Liu, Xinyu; Hu, Haibo; Liu, Zhiqiang; Ge, Zhiwei; Xia, Cuiping; Wang, Pan; Liang, Li; Zhu, Ziyi; Sun, Yi; Yao, Yiwen; Jiang, Xuyi</t>
  </si>
  <si>
    <t>https://app.dimensions.ai/details/publication/pub.1168617081</t>
  </si>
  <si>
    <t>10.3390/ijgi7020057</t>
  </si>
  <si>
    <t>CHANGES IN GROSS PRIMARY PRODUCTION (GPP) OVER THE PAST TWO DECADES DUE TO LAND USE CONVERSION IN A TOURISM CITY</t>
  </si>
  <si>
    <t>Understanding the changes in gross primary production (GPP), which is the total carbon fixation by terrestrial ecosystems through vegetation photosynthesis, due to land use conversion in a tourism city is important for carbon cycle studies. Satellite data from Landsat 5, Landsat 7 and Landsat 8 and meteorological data are used to calculate annual GPP for 1995, 2003 and 2014, respectively, using the vegetation production model (VPM) in the tourism city Denpasar, Bali, Indonesia. Five land use types generated from topographic maps in three different years over the past two decades are used to quantify the impacts of land use changes on GPP estimation values. Analysis was performed for two periods to determine changes in land use and GPP value as well as their speed. The results demonstrated that urban land development, namely, the increase of settlement areas due to tourism activity, had overall negative effects on terrestrial GPP. The total GPP of the whole area decreased by 7793.96 tC year1 (12.65%) during the study period. The decline is due to the conversion of agriculture and grassland area into settlements, which caused the city to lose half of its ability to uptake carbon through vegetation. However, although forest area is declining, forest maintenance and restoration by making them protection areas has been helpful in preventing a drastic decline in GPP value over the past two decades. This study provides information that is useful for carbon resource management, tourism, policy making and scholars concerned about carbon reduction in a tourism city. © 2018 by the authors. Licensee MDPI, Basel, Switzerland.</t>
  </si>
  <si>
    <t>Nuarsa W.; As-Syakur A.R.; Gunadi I.G.A.; Sukewijaya I.M.</t>
  </si>
  <si>
    <t>https://www.scopus.com/inward/record.uri?eid=2-s2.0-85043250914&amp;doi=10.3390%2fijgi7020057&amp;partnerID=40&amp;md5=d0b44aeb6ecd0e9689354aba59694bb1</t>
  </si>
  <si>
    <t>10.1016/j.envint.2019.05.010</t>
  </si>
  <si>
    <t>CHANGES IN SPATIO-TEMPORAL PATTERNS OF URBAN FOREST AND ITS ABOVE-GROUND CARBON STORAGE: IMPLICATION FOR URBAN CO2 EMISSIONS MITIGATION UNDER CHINA'S RAPID URBAN EXPANSION AND GREENING</t>
  </si>
  <si>
    <t>BACKGROUND: Understanding spatio-temporal dynamics of UF and its above-ground carbon storage (CS) is important for mitigating urban CO2 emissions under China's rapid urban expansion and greening.
METHODS: In our study, vegetation index (VI) data obtained from TM image and CS derived from field-based surveys were amalgamated to develop a regression model to predict spatio-temporal patterns of CS. VI correction model was established by normalizing previous imagery (1984, 1995, and 2005) to 2014 image data.
RESULTS: NDVI is better than other VIs for predicting urban forest CS. Both UF area and its CS increased gradually from 1984 to 2014, especially in outer rings of the city. CS showed a definite decreasing trend from outer rings to downtown. Due to urban greening policies, landscape patches of UF or CS recently became larger and more aggregated. The CS by UF class distribution was skewed toward low values in all the years, but the skew gradually decreased over time. It was estimated that the average annual increase of CS by UF could offset 3.9% of the average annual increase in urban carbon emissions.
CONCLUSIONS: Our study proposes that spatio-temporal changes in UF patterns dramatically affected the amount of CS and carbon capture. The increase in UF coverage and quality would mitigate more urban carbon emissions, especially in outer rings.</t>
  </si>
  <si>
    <t>Ren, Zhibin; Zheng, Haifeng; He, Xingyuan; Zhang, Dan; Shen, Guoqiang; Zhai, Chang</t>
  </si>
  <si>
    <t>https://app.dimensions.ai/details/publication/pub.1115987560</t>
  </si>
  <si>
    <t>10.1155/2024/6635230</t>
  </si>
  <si>
    <t>CHURCH FORESTS DIVERSITY AND BIOMASS CARBON STOCK ALONG URBANIZATION CONTINUUM IN DANGILA DISTRICT, AWI‐ZONE, ETHIOPIA</t>
  </si>
  <si>
    <t>Ethiopian Orthodox Tewahido Church forest plays a significant role in native species conservation, carbon sequestration, and climate change mitigation. The study was carried out to determine woody species diversity and biomass carbon stock of Church forests along the urbanization continuum in Dangila Woreda, Awi‐Zone, Ethiopia. After a preliminary survey, the churches were grouped into urban, peri‐urban, and rural continuums. From each group, one Church was purposively selected for each urbanization continuum based on accessibility for making a total of nine sample churches. Tree height and diameter data were recorded from a 2 m width of systematically laid down Gentry transect lines; seedlings were counted from three plots of 2 m × 2 m size at each transect line. The similarities along urbanization were calculated using Sorenson’s similarity index. ANOVA was then used to test for differences across the continuum. Finally, a total of 62, 57, and 73 woody species were identified in urban, per‐urban, and rural Church forest. The mean Shannon diversity for each urban, peri‐urban, and rural Church forest was 2.38, 2.67, and 2.90, respectively. The general pattern of woody species community structure for each urbanization continuum shows an inverted J‐shape. The biomass carbon stock along the urban, peri‐urban, and rural continuum was 24.96, 77.38, and 46.13 tons/ha, respectively. Therefore, Church forests play an indispensable role in woody species conservation, carbon sequestration, and climate change mitigation at each urbanization continuum.</t>
  </si>
  <si>
    <t>Sewagegn, Geremew Bitew; Abate, Dagm Fikir</t>
  </si>
  <si>
    <t>https://app.dimensions.ai/details/publication/pub.1172615344</t>
  </si>
  <si>
    <t>10.5194/egusphere-egu24-13183</t>
  </si>
  <si>
    <t>CLIMATE CHANGE AND SOCIAL- ECOLOGICAL VULNERABILITY INDEX IN THE BRAZILIAN AMAZON: A STUDY WITH A CASCADE MODEL APPROACH</t>
  </si>
  <si>
    <t>The Brazilian Amazon is a powerful Ecosystem Service (ES) provider. Simultaneously, many Amazonian local communities still preserve an intrinsic economic and cultural relationship in this Social-Ecological System. Paradoxically, the region concentrates a significant portion of the nation's poorest people, demonstrating the risks and susceptibility to socio-ecological vulnerability that region. Thus, the Amazon Forest dieback hypothesis predicts that the increased CO2 (eCO2), rising temperatures and droughts may push the forest toward a tipping point, which would bring a new composition of ES and would reflect on regional economic - cultural ways of living, as well as, social wellbeing and health. Hence, the research employed a cascade model using the Functional Diversity (FD) approach. The aim was to assess the impact of climate changes on CO2 storage related to Ecosystem Services and their implications for the adaptation capacity of both rural and urban populations in the Brazilian Amazon. The initial analysis, using the CAETE model, evaluated vegetation FD responses in a scenario of 50% precipitation reduction. This revealed a shift in plant composition towards drought-related strategies, leading to a 37-49% reduction in total carbon storage in the basin, resulting in increased carbon release into the atmosphere. This result translates direct impacts to global and local climate regulation and indirect to shifting of water flux and to native provisioning services. The second evaluating was on social dimension ambit, through drafting of Social Ecological Vulnerability Index (SEVI) with secondary data of the municipalities of Manaus, Itacoatiara e Silves in the state of Amazonas and Ilha de Cotijuba in the Belém city in the state of Pará. The SEVI points out that the common factor of the vulnerability among the municipalities was the indicators of the socio-climate exposure for susceptibility to disasters, to rising temperature and FD changes. The SEVI result summed to FD modelling demonstrate that the social well-being of communities is threated due to the impacts on the native ES, even though they are placed in the one of most biodiverse forest from the globe. In addition, the susceptibility to diseases related to climate change increases in the regions greater urbanized (score 2.5, in the range from 0 low to 4 high vulnerability) with in turn can undermine the public health system in the urban centres in expanding in the Amazonia. Thus, the SEVI reveals that the impacts, stemming from the shifting FD of the modelled plant community, do not merely pose a distant threat to social well-being, health, and income; instead, they exacerbate socio-ecological vulnerability. In view that, people recognize and link hazards in infrastructure (ES for erosion control), mobility, and food supply (ES for water flow, fish, and wild food). Therefore, all the results support the challenges for the development of public policies of climate adaptation involving social health, future maintenance of provisioning native ES, above all in the municipalities with inadequate socioeconomic indicators</t>
  </si>
  <si>
    <t>Almeida Canova, Moara; Rius, Bianca; Darela Filho, João; Montenegro Lapola, David</t>
  </si>
  <si>
    <t>https://app.dimensions.ai/details/publication/pub.1169582620</t>
  </si>
  <si>
    <t>10.1016/j.ufug.2024.128532</t>
  </si>
  <si>
    <t>CLIMATE CHANGE THREATENS CARBON STORAGE IN EUROPE’S URBAN TREES</t>
  </si>
  <si>
    <t>Urban trees contribute substantially to numerous ecosystem services. Here we quantify the threat to carbon stored by urban trees from increased heat and drought arising from climate change. We use data from tree inventories in 22 European cities, spread across five Köppen-Geiger climatic zones, that record ∼1.2 million trees from 188 species. We calculate species’ climatic niches using global tree distribution data and estimate species-specific thermal and hydraulic safety gaps and margins for each city in 2050 and 2070 using the RCP 8.5 emissions scenario. This scenario provides the best match for emissions to at least 2050 under current and stated policy plans, and highly plausible emission levels to 2100. We then assess the proportion of current carbon storage at risk from changes in temperature (associated with thermal stress) and precipitation changes (associated with hydraulic stress). By 2070 a substantial amount of the current carbon storage in urban trees is projected to be threatened by climatic stress. Average values (depending on the precise methods used for calculating climatic niches) are: 99.96 % - 99.98 % in the cold semi-arid climate zone; 82.97 % - 92.61 % in the humid subtropical zone, 69.72 % - 72.00 % in the warm Mediterranean zone, 44.18 % - 55.06 % in the humid continental zone and 29.60 % - 43.22 % in the temperate oceanic zone – although within each climatic zone risks are lower in some cities. In each climatic zone the vast majority of this threat is associated with thermal stress, with precipitation changes projected to be a comparatively minor threat. Our analyses highlight individual species which are particularly vulnerable to future climatic conditions, and more resilient species that if rapidly planted on mass could improve resilience of urban tree stocks to climate change. Our findings inform the development of climate-ready urban forestry and planning strategies that will facilitate long term carbon storage capacity of Europe’s urban forests, and emphasise the urgency of doing so.</t>
  </si>
  <si>
    <t>Lloyd, GR; Ossola, A.; Burley, HM; Evans, KL</t>
  </si>
  <si>
    <t>https://app.dimensions.ai/details/publication/pub.1176152492</t>
  </si>
  <si>
    <t>10.3390/su11184879</t>
  </si>
  <si>
    <t>CO2 FLUX CHARACTERISTICS OF DIFFERENT PLANT COMMUNITIES IN A SUBTROPICAL URBAN ECOSYSTEM</t>
  </si>
  <si>
    <t>Shanghai, China, is a city that is relatively representative of various cities in China due to its geographical location and socio-economic dynamics. The role of urban vegetation in the carbon cycle of urban developments in these types of cities is now being studied. We focus on identifying which urban plant community types have a greater influence on CO2 flux in cities, thus providing a scientific basis for low-carbon urban greening. Based on the eddy covariance (EC) observation system, ART Footprint Tool, plant inventory, and ecological community classification, we show that the CO2 flux characteristics of different plant communities vary temporally. The carbon sink duration during summer was the longest (up to 10 h) and the carbon sink duration was the shortest during winter (7.5 h). In addition, we discovered that the CO2 flux contribution rates of different plant community types are distinct. The annual average CO2 contribution rates of the Cinnamomum camphora-Trachycarpus fortunei community and the Metasequoia glyptostroboides+Sabina chinensis community are 11.88% and 0.93%, respectively. The CO2 flux contribution rate of the same plant community differs according to season. The CO2 contribution rate of the Cinnamomum camphora-Trachycarpus fortunei community exhibits local maxima during winter and summer, with a maximum difference of 11.16%. In contrast, the Metasequoia glyptostroboides+Sabina chinensis community has a CO2 contribution rate of 0.35% during the same period. In general, summer is the season with the lowest CO2 flux contribution rate of plant communities, and winter is the season with the highest CO2 flux contribution rate. However, the Cinnamomum camphora+Salix babylonica community and the Cinnamomum camphora+Sabina chinensis community present the opposite pattern. Finally, the diurnal variation characteristics of CO2 flux in different communities have the same trend, but the peak values differ significantly. Overall, daily CO2 flux peak value of the Metasequoia glyptostroboides community and the Cinnamomum camphora-Trachycarpus fortunei community indicate that these two plant communities exhibit a strong capacity for CO2 absorption in the study area. According to these research results, urban greening efforts in subtropical climates can increase the green space covered by the Cinnamomum camphora-Trachycarpus fortunei and the Metasequoia glyptostroboides community types when urban greening, so as to appropriately reduce the CO2 emitted into the atmosphere.</t>
  </si>
  <si>
    <t>Zhang, Kaidi; Gong, Yuan; Fa, Hao; Zhao, Min</t>
  </si>
  <si>
    <t>https://app.dimensions.ai/details/publication/pub.1120948894</t>
  </si>
  <si>
    <t>10.1186/s13021-019-0128-6</t>
  </si>
  <si>
    <t>COMPARATIVE ASSESSMENT OF NET CO2 EXCHANGE ACROSS AN URBANIZATION GRADIENT IN KOREA BASED ON EDDY COVARIANCE MEASUREMENTS</t>
  </si>
  <si>
    <t>BackgroundIt is important to quantify changes in CO2 sources and sinks with land use and land cover change. In the last several decades, carbon sources and sinks in East Asia have been altered by intensive land cover changes due to rapid economic growth and related urbanization. To understand impact of urbanization on carbon cycle in the monsoon Asia, we analyze net CO2 exchanges for various land cover types across an urbanization gradient in Korea covering high-rise high-density residential, suburban, cropland, and subtropical forest areas.ResultsOur analysis demonstrates that the urban residential and suburban areas are constant CO2 sources throughout the year (2.75 and 1.02 kg C m−2 year−1 at the urban and suburban sites), and the net CO2 emission indicate impacts of urban vegetation that responds to the seasonal progression of the monsoon. However, the total random uncertainties of measurement are much larger in the urban and suburban areas than at the nonurban sites, which can make it challenging to obtain accurate urban flux measurements. The cropland and forest sites are strong carbon sinks because of a double-cropping system and favorable climate conditions during the study period, respectively (− 0.73 and − 0.60 kg C m−2 year−1 at the cropland and forest sites, respectively). The urban area of high population density (15,000 persons km−2) shows a relatively weak CO2 emission rate per capita (0.7 t CO2 year−1 person−1), especially in winter because of a district heating system and smaller traffic volume. The suburban area shows larger net CO2 emissions per capita (4.9 t CO2 year−1 person−1) because of a high traffic volume, despite a smaller building fraction and population density (770 persons km−2).ConclusionsWe show that in situ flux observation is challenging because of its larger random uncertainty and this larger uncertainty should be carefully considered in urban studies. Our findings indicate the important role of urban vegetation in the carbon balance and its interaction with the monsoon activity in East Asia. Urban planning in the monsoon Asia must consider interaction on change in the monsoon activity and urban structure and function for sustainable city in a changing climate.</t>
  </si>
  <si>
    <t>Hong, Je-Woo; Hong, Jinkyu; Chun, Junghwa; Lee, Yong Hee; Chang, Lim-Seok; Lee, Jae-Bum; Yi, Keewook; Park, Young-San; Byun, Young-Hwa; Joo, Sangwon</t>
  </si>
  <si>
    <t>https://app.dimensions.ai/details/publication/pub.1120970291</t>
  </si>
  <si>
    <t>10.1051/e3sconf/202130403009</t>
  </si>
  <si>
    <t>COMPREHENSIVE STUDY ON THE AMOUNT OF CO2 ABSORBED BY VEGETATION: A CASE STUDY IN HO CHI MINH CITY, VIETNAM</t>
  </si>
  <si>
    <t>The city Ho Chi Minh (HCMC) is one of the largest cities in Vietnam with the most dramatically economic development rate. Along with the economic development, the urbanization process in this city is also taking place very fastly. Due to the rapid urbanization and development, the emission rate from the industry and transportation leads to the increase in the amount of carbon dioxide (CO 2 ) which has been worsening the climate change. Protecting forests and conducting afforestation so that CO 2 is transformed to nutrition through photosynthetic conversion is one of the most effective ways to mitigate the effects of climate change. As a result, the accumulation of CO 2 emissions has become a global concern. Vegetation absorbs carbon dioxide, helps to conserve the environment, produces oxygen, reduces noise, and helps to stabilize subsurface water. This paper highlights the results of ENVI software which was used to interpret remote sensing images and Arcgis to evaluate the amount of carbon dioxide absorbed by vegetation in each administrative unit: district in HCMC and ward. According to the obtained results, the amount of CO 2 absorbed in urban districts “District 1”, “District 3”, “District 4”, “District 5”, “Phu Nhuan District” is immensely low due to the high population density in the center of city. The population is mainly concentrated in the center districts but land area for vegetation is low. Regarding the suburban area, with mangrove forests, Can Gio District has the highest amount of CO 2 absorbed of 35,894.075 tons/day and followed by Cu Chi District with 21,548.48 tons/day. It can be indicated that Can Gio and Cu Chi districts improtantly function like the greenhouse gas sinks for the whole HCMC. The success of this study could contribute to climate change mitigation and support in urban and land planning, as well as resettlement policies. Aside from that, CO 2 emission and absorption assessment and evaluation in large–scale cities like HCMC has become a crucial, urgent, and practical issue nowadays.</t>
  </si>
  <si>
    <t>Nguyen, Truong; H, Phan Cao H; N, Hao Nguyen; T, Huyen Duong T; T, Nhat Tran; Bui, Khang Q; T, Van Ho T</t>
  </si>
  <si>
    <t>https://app.dimensions.ai/details/publication/pub.1141277113</t>
  </si>
  <si>
    <t>CONTINENTAL MONITORING: 34 YEARS OF LAND COVER CHANGE USING LANDSAT IMAGERY</t>
  </si>
  <si>
    <t>In Australia, remotely sensed Landsat data is routinely used for mapping and monitoring the change in extent of woody perennial vegetation. Time-series remotely sensed satellite imagery and ground information is used to form multi-temporal classifications of presence/absence of woody cover, typically for state-based management and reporting of clearing. More recently, there has been increased interest from landuse changes associated with agriculture and forestry being a significant component in Australia's carbon budget. To quantify the amount, the capability for continental monitoring of land cover changes using Landsat data has been developed through a collaboration between the Australian Greenhouse Office (AGO), the CSIRO, and other partners. The project, called the National Carbon Accounting - Land Cover Change Project (NCAS-LCCP) uses some 5000 Landsat MSS, TM and ETM+ images to map the presence/absence of perennial vegetation at 25m resolution for fifteen time periods since 1972. The landsat based monitoring program is expanding to include monitoring of sparse woodland (5-20% canopy cover) and urban change to meet both carbon accounting and natural resource management needs. In this paper we describe our methodology, with a focus on the remote sensing algorithms and techniques we employ, and present results of forest change along with estimates of accuracy.</t>
  </si>
  <si>
    <t>Caccetta P.; Furby S.; O'Connell J.; Wallace J.; Wu X.</t>
  </si>
  <si>
    <t>https://www.scopus.com/inward/record.uri?eid=2-s2.0-84880006448&amp;partnerID=40&amp;md5=a2e5972d6be0e29352160c902a990fae</t>
  </si>
  <si>
    <t>10.4067/s0717-92002010000200004</t>
  </si>
  <si>
    <t>CRECIMIENTO URBANO Y BALANCE DE CO2 EN LA CUENCA DEL RO ELQUI (CHILE)</t>
  </si>
  <si>
    <t>The study aimed to establish the relationship between the emission of carbon dioxide (CO2) caused by the growth of urban population and its rural surroundings fix capacity. We studied the catchment of the river Elqui, Coquimbo region, and determined the total amount of CO2 generated by its population. Per capita emission of that gas was linked to income and projected population growth of the territory under consideration. In parallel, the binding capacity of these plantations in the watershed was determined; which was compared with total production of carbon dioxide, by defining a maximum threshold of population growth. The study showed that the relationship of sustainability for Elqui basin was 1:61, i.e. the emission of CO2 in one hectare of urban housing growth would be set by 61s of tree growth. In connection with the case study, the total CO2 emitted exceeds the binding capacity of the basin at 77 %. It was concluded that to avoid a cumulative increase of CO2, the binding capacity of the territory analyzed plantation and the producing property (building permits) should be directly linked. El trabajo tuvo como objetivo establecer la relacin existente entre la emisin de dixido de carbono (CO2) provocada por el crecimiento de una poblacin urbana y la capacidad fijadora de su entorno rural. Se estudi la cuenca hidrogrfica del ro Elqui, regin de Coquimbo, y se determin la cantidad total de CO2 generado por parte de su poblacin. Se vincul el ingreso per cpita a la emisin de este gas y se proyect el crecimiento poblacional del territorio en estudio. Paralelamente, se determin la capacidad fijadora de las plantaciones presentes en la cuenca hidrogrfica y se contrast con la produccin total de anhdrido carbnico, definiendo un umbral de crecimiento poblacional mximo. El estudio mostr que la relacin de sostenibilidad para la cuenca del Elqui era de 1:61; es decir, la emisin de CO2 en una hectrea de crecimiento urbano habitacional sera fijada por 61 ha de crecimiento arbreo. En relacin con el caso de estudio, el total de CO2 emitido excede la capacidad fijadora de la cuenca en 77 %. Se concluy que para evitar un incremento acumulativo de CO2, debera vincularse directamente la capacidad fijadora de plantaciones del territorio analizado, con la produccin inmobiliaria (permisos de construccin).</t>
  </si>
  <si>
    <t>Walker, Francisco Bascun</t>
  </si>
  <si>
    <t>https://app.dimensions.ai/details/publication/pub.1035912399</t>
  </si>
  <si>
    <t>Current and potential carbon stocks of trees in urban parking lots in towns of the Eastern Cape, South Africa</t>
  </si>
  <si>
    <t>10.3390/su11164347</t>
  </si>
  <si>
    <t>DEVELOPING GENERAL EQUATIONS FOR URBAN TREE BIOMASS ESTIMATION WITH HIGH-RESOLUTION SATELLITE IMAGERY</t>
  </si>
  <si>
    <t>Urban trees provide various important ecological services, the quantification of which is vital to sustainable urban development and requires accurate estimation of tree biomass. A limited number of allometric biomass equations, however, have been developed for urban species due to the prohibitive cost. Remote sensing has provided cost-effective means for estimating urban forest biomass, although the propagation of error in the estimation process is not well understood. This study aimed to offer a baseline assessment of the feasibility of estimating urban tree biomass with remote sensing-based general equations applicable to broad taxonomic groups by conducting a large urban tree inventory on a university campus. The biomasses of 191 trees of seven species from the inventory, separated into two categories (i.e., evergreen and deciduous), were calculated exclusively with urban-based species-specific allometric equations. WorldView-2 satellite imagery data were acquired to retrieve normalized difference vegetation index (NDVI) values at the location, crown, and stand levels. The results indicated that biomass correlated with NDVI in varying forms and degrees. The general equations at the crown level yielded the most accurate biomass estimates, while the location-level estimates were the least accurate. Crown-level spectral responses provided adequate information for delivering spatially explicit biomass estimation.</t>
  </si>
  <si>
    <t>Wu, JD</t>
  </si>
  <si>
    <t>10.3390/su9050785</t>
  </si>
  <si>
    <t>DOES "GREENING" OF NEOTROPICAL CITIES CONSIDERABLY MITIGATE CARBON DIOXIDE EMISSIONS? THE CASE OF MEDELLIN, COLOMBIA</t>
  </si>
  <si>
    <t>Cities throughout the world are advocating highly promoted tree plantings as a climate change mitigation measure. Assessing the carbon offsets associated with urban trees relative to other climate change policies is vital for sustainable development, planning, and solving environmental and socio-economic problems, but is difficult in developing countries. We estimated and assessed carbon dioxide (CO2) storage, sequestration, and emission offsets by public trees in the Medellin Metropolitan Area, Colombia, as a viable Nature-Based Solution for the Neotropics. While previous studies have discussed nature-based solutions and explored urban tree carbon dynamics in high income countries, few have been conducted in tropical cities in low-middle income countries, particularly within South America. We used a public tree inventory for the Metropolitan Area of the Aburrá Valley and an available urban forest functional model, i-Tree Streets, calibrated for Colombia's context. We found that CO2 offsets from public trees were not as effective as cable cars or landfills. However, if available planting spaces are considered, carbon offsets become more competitive with cable cars and other air quality and socio-economic co-benefits are also provided. The use of carbon estimation models and the development of relevant carbon accounting protocols in Neotropical cities are also discussed. Our nature-based solution approach can be used to better guide management of urban forests to mitigate climate change and carbon offset accounting in tropical cities lacking available information. © 2017 by the authors.</t>
  </si>
  <si>
    <t>Reynolds C.C.; Escobedo F.J.; Clerici N.; Zea-Camaño J.</t>
  </si>
  <si>
    <t>https://www.scopus.com/inward/record.uri?eid=2-s2.0-85019092665&amp;doi=10.3390%2fsu9050785&amp;partnerID=40&amp;md5=5f0bdcbdb099d69af02c0846adb326ce</t>
  </si>
  <si>
    <t>10.1016/j.ecolind.2021.107954</t>
  </si>
  <si>
    <t>DYNAMICS OF PLANTATION FOREST DEVELOPMENT AND ECOSYSTEM CARBON STORAGE CHANGE IN COASTAL BANGLADESH</t>
  </si>
  <si>
    <t>Plantation forest has an immense potential for significantly contributing to the global carbon cycle for regulating climate change. Assessing the spatio-temporal distribution of plantation forest vegetation by analyzing Landsat land use/land cover (LULC) data can provide a logical basis for developing ecological and environmental policies to effectively manage ecosystem carbon storage in the future. The study aimed at assessing and predicting dynamics of plantation forest development and ecosystem carbon storage change in coastal Bangladesh over 1988-2041 under three future land management scenarios: business-as-usual (BAU), economic development (ED), and ecological protection-afforestation (EPA) by linking CA-Markov and InVEST models. Findings from LULC change analysis revealed that during 1988-2018, plantation forest increased by 984.9 km2 (68.34%) leading to an overall increase in regional carbon storage, of 3.30 Tg C. Over 2018-2041, plantation forest land could be increased by 249.90, 361.24, and 472.14 km2 under the BAU, ED, and EPA scenarios, respectively, that may potentially increase future carbon storage by 0.64 Tg C, 0.91 Tg C, and 3.77 Tg C, respectively. However, the three future land management scenarios may lead to shortages of regional food supply, of 5.96%, 13.69%, and 11.06% respectively. The suitability maps of different LULC types created in this study could be useful to find out the potential areas of plantation forest development in the future and would provide a scientific basis for further discussion by policymakers on future land use planning, to minimize the trade-offs between food security and climate change adaptation.</t>
  </si>
  <si>
    <t>Hoque, MZ; Cui, SH; Islam, I; Xu, LL; Ding, SP</t>
  </si>
  <si>
    <t>10.1016/j.apgeog.2008.08.008</t>
  </si>
  <si>
    <t>ECOLOGICAL BENEFITS OF URBAN FORESTRY: THE CASE OF KERWA FOREST AREA (KFA), BHOPAL, INDIA</t>
  </si>
  <si>
    <t>In developing countries like India, migration of people from rural to urban areas is responsible for ever expanding urban boundaries. This trend is exerting significant pressure on unprotected natural forests located near urban centers. This paper highlights the case of Kerwa Forest Area (KFA), located at about 10km from the city of Bhopal, capital of Madhya Pradesh state. The objectives of this study are to quantify the extent of disturbance faced and ecosystem services provided by the KFA. Suitable spatial technologies and forest sampling techniques have been used to achieve the objectives of the study. It was found that the KFA is currently facing severe anthropogenic pressure. Parts of the KFA, located close to the settlements, were found more disturbed than the parts which were located far from the settlements. In spite of disturbances, KFA is a habitat for many threatened and endangered plant, animal, and bird species. KFA also plays a critical role of a carbon sink with a total storage of about 19.5 thousand tons of aboveground carbon. Immediate precautionary measures are required to prevent further degradation of the KFA for ensuring better environmental quality for the residents of Bhopal city in the future.</t>
  </si>
  <si>
    <t>Dwivedi, Puneet; Rathore, Chinmaya S.; Dubey, Yogesh</t>
  </si>
  <si>
    <t>https://app.dimensions.ai/details/publication/pub.1018516750</t>
  </si>
  <si>
    <t>10.6165/tai.2024.69.321</t>
  </si>
  <si>
    <t>ECOLOGICAL INSIGHTS ON COMMUNAL FORESTS IN THE TROPICS: THE CASE OF ALAPANG COMMUNAL FOREST OF LA TRINIDAD, BENGUET, PHILIPPINES</t>
  </si>
  <si>
    <t>Communal forests are recognized to be of critical importance for the attainment of sustainable development goals (SDGs) but these are often understudied. Such is the case in Cordillera Central Range with its unique biodiversity and urban biodiversity sites requiring protection like the Alapang Communal Forest in Benguet, Northern Philippines. This study documented the floral diversity, carbon stock and the community perspectives as baseline for conservation. A total of 187 plant species belonging to 145 genera and 70 families were recorded with Pinus kesiya as the most dominant species. The forest exhibited high species richness, evenness, and diversity including indigenous, endemic species and some conservation important species. The total forest carbon was estimated at 6,931.44 t with an average of 192.54 t/ha. An interesting trade off was documented in the study with the pine dominated ridge stations having lower diversity but higher carbon stock while broad-leaf dominated depressed stations have higher diversity but lower carbon stock. Community surveys revealed the willingness to protect the forest due to its crucial role as a water source, highlighting its value and the importance of preservation. These findings offer empirical evidences on the role of communal forest on biodiversity conservation, carbon stock as well as forest goods and services. Locally, these findings offer insights for conservation and sustainable management of the Alapang Communal Forest and other local urban forests. © 2024, College of Life Science. All rights reserved.</t>
  </si>
  <si>
    <t>Pocyoy M.P.; Napaldet J.T.</t>
  </si>
  <si>
    <t>https://www.scopus.com/inward/record.uri?eid=2-s2.0-85202202253&amp;doi=10.6165%2ftai.2024.69.321&amp;partnerID=40&amp;md5=dd13400d797d49bb214310a7d077f3a0</t>
  </si>
  <si>
    <t>10.1007/s10668-023-03436-1</t>
  </si>
  <si>
    <t>ECOLOGICAL SERVICES OF URBAN VEGETATION IN SARGUJA (CHHATTISGARH), INDIA</t>
  </si>
  <si>
    <t>The urban area is the most diverse land-use due to various types of interferences. Urban vegetation is, therefore, a scarce resource and investigation on the potentiality and ecological services are yet to be explored properly across the world. This study investigates the floristic diversity, biomass, carbon (C) stock, and CO2 mitigation in the urban environment. The study area was explored across four directions i.e., east, west, north, and south with random sampling techniques. The density of trees, saplings, and seedlings ranged between 170–240 stems ha−1, 0–50 ha−1, and 30–420 ha−1, respectively. The basal cover of the tree and sapling varied from 14.10–39.26 m2 ha−1, and 0–0.17 m2 ha−1, respectively. For the tree layer, the Shannon index value ranged between 2.95 and 3.44, Simpsons index from 0.10–0.14, equitability from 1.28–1.43, richness from 1.67–2.19, and beta diversity from 2.00–2.55. The major ecological function performed by the urban vegetation in terms of biomass, C storage and CO2 mitigation ranged between 166.03–720.12 t ha−1, 60.36–319.35 t ha−1 and 221.52–1172.03 t ha−1, respectively being highest towards the east and least at the south. This finding reports Mangifera indica, Shorea robusta, Ficus benghalensis, Delonix regia, Acacia mangium, Azadirachta indica, and Dalbergia sissoo contributes significant ecological services in terms of biomass, C storage and CO2 mitigation and thus can be utilized for urban planning, greening, and sustainable development.</t>
  </si>
  <si>
    <t>Khan, Nahid; Jhariya, Manoj Kumar</t>
  </si>
  <si>
    <t>https://app.dimensions.ai/details/publication/pub.1159963346</t>
  </si>
  <si>
    <t>10.21829/myb.2023.2932588</t>
  </si>
  <si>
    <t>ECONOMIC VALUATION OF ECOSYSTEM SERVICES OF FOUR PERI-URBAN FOREST SYSTEMS THROUGH I-TREE ECO; [VALORACIÓN ECONÓMICA DE LOS SERVICIOS ECOSISTÉMICOS DE CUATRO SISTEMAS FORESTALES PERIURBANOS A TRAVÉS DE I-TREE ECO]</t>
  </si>
  <si>
    <t>Urban pressure on forest resources that make up the green structure of human settlements jeopardizes the provision of ecosystem services and their functioning. The objective of this research was to estimate the economic value of five ecosystem services provided by the green structure of four peri-urban forest systems in Tequexquináhuac, Texcoco de Mora, State of Mexico. A census and economic analysis were carried out for each system using the i-Tree Eco program. A tree population of 276 individuals was determined within the four peri-urban forest systems; it was found that they store 13.04 tons of carbon with a value of MXN 48 166 and that the annual functional values of the peri-urban trees evaluated provided: carbon capture of 690.26 kg year-1 (MXN 2545); avoided runoff 74.95 kg year-1 (MXN 3144); pollution removal 58.94 kg year-1 (MXN 136 100); oxygen production 1840.7 kg year-1; and a joint replacement cost of MXN 1 086 000. The results show that the ecosystem services generated by the green structure of the four peri-urban forest systems provided a tangible service in the urban settlement's environmental, economic, and social development. © 2023, Instituto de Ecologia, A.C.. All rights reserved.</t>
  </si>
  <si>
    <t>González-Hernández L.; Romo-Lozano J.L.; Cristóbal-Acevedo D.; Martínez Damian M.Á.; Mohedano Caballero L.</t>
  </si>
  <si>
    <t>https://www.scopus.com/inward/record.uri?eid=2-s2.0-85182835184&amp;doi=10.21829%2fmyb.2023.2932588&amp;partnerID=40&amp;md5=6525aa9c12eff5505881838a107fd267</t>
  </si>
  <si>
    <t>10.1007/s11252-016-0624-3</t>
  </si>
  <si>
    <t>ECOSYSTEM SERVICES ASSESSMENT OF THE URBAN FORESTS OF ADDIS ABABA, ETHIOPIA</t>
  </si>
  <si>
    <t>Addis Ababa is a highland city with varied topography and landscape features. The mountains that surround the city are covered with urban forest of different types. These forests are providing various ecosystem services for the urban and peri-urban population of the city. Apart from surface temperature regulating function of the green spaces of Addis Ababa, no quantitative assessment of the carbon sequestration and soil protection ecosystem services provided by the urban forest has been conducted to date. The aim of this study was to assess selected ecosystem services such as carbon storage potential, habitat support and soil erosion protection provided by different categories of urban forest of Addis Ababa. The result showed that carbon density in the study area varied with forest categories viz. 293tons/ha, 142tons/ha and 132tons/ha in the dense, medium and open forest types respectively. The Shannon-Wiener diversity index is3.24 for Junipers dominated forest, 2.98 for mixed forest and 2.76 for Eucalyptus dominated forest. The formation of soil erosion features is significantly different among the Eucalyptus forest, Juniperus forest and Mixed forest where high incidence of soil erosion was recorded in the Eucalyptus forest. Therefore, irrespective of the environmental factors such as slope, aspect and elevation differences, there is an association between Eucalyptus forest cover and high soil erosion features. To ensure sustainable supply of ecosystem services and maintain a balanced urban environment, all green spaces in the city should be ecologically networked and diversified. Therefore, assessment of ecosystem services provided essential information for effective planning of the green space in terms of species composition and interconnectivity.</t>
  </si>
  <si>
    <t>Woldegerima, T; Yeshitela, K; Lindley, S</t>
  </si>
  <si>
    <t>10.1007/s11252-012-0280-1</t>
  </si>
  <si>
    <t>ECOSYSTEM SERVICES FROM CONVERTED LAND: THE IMPORTANCE OF TREE COVER IN AMAZONIAN PASTURES</t>
  </si>
  <si>
    <t>Deforestation is responsible for a substantial fraction of global carbon emissions and changes in surface energy budgets that affect climate. Deforestation losses include wildlife and human habitat, and myriad forest products on which rural and urban societies depend for food, fiber, fuel, fresh water, medicine, and recreation. Ecosystem services gained in the transition from forests to pasture and croplands, however, are often ignored in assessments of the impact of land cover change. The role of converted lands in tropical areas in terms of carbon uptake and storage is largely unknown. Pastures represent the fastest-growing form of converted land use in the tropics, even in some areas of rapid urban expansion. Tree biomass stored in these areas spans a broad range, depending on tree cover. Trees in pasture increase carbon storage, provide shade for cattle, and increase productivity of forage material. As a result, increasing fractional tree cover can provide benefits land managers as well as important ecosystem services such as reducing conversion pressure on forests adjacent to pastures. This study presents an estimation of fractional tree cover in pasture in a dynamic region on the verge of large-scale land use change. An appropriate sampling interval is established for similar studies, one that balances the need for independent samples of sufficient number to characterize a pasture in terms of fractional tree cover. This information represents a useful policy tool for government organizations and NGOs interested in encouraging ecosystem services on converted lands. Using high spatial resolution remotely sensed imagery, fractional tree cover in pasture is quantified for the municipality of Rio Branco, Brazil. A semivariogram and devolving spatial resolution are employed to determine the coarsest sampling interval that may be used, minimizing effects of spatial autocorrelation. The coarsest sampling interval that minimizes spatial dependence was about 22 m. The area-weighted fractional tree cover for the study area was 1.85 %, corrected for a slight bias associated with the coarser sampling resolution. The pastures sampled for fractional tree cover were divided between ‘high’ and ‘low’ tree cover, which may be the result of intentional incorporation of arboreal species in pasture. Further research involving those ranchers that have a higher fractional tree cover may indicate ways to promote the practice on a broader scale in the region.</t>
  </si>
  <si>
    <t>Barrett, Kirsten; Valentim, Judson; Turner, B. L.</t>
  </si>
  <si>
    <t>https://app.dimensions.ai/details/publication/pub.1014596730</t>
  </si>
  <si>
    <t>10.1002/ldr.4545</t>
  </si>
  <si>
    <t>EFFECT OF LAND USE CHANGE ON CARBON STOCKS IN AN AGRICULTURAL REGION OF SOUTHERN BENIN</t>
  </si>
  <si>
    <t>Land use change is one of the most important determinants of carbon storage and dynamics in ecosystems. Areas in the proximity of metropoles undergo land use changes but are poorly studied for their soil and biomass carbon budget, especially in Africa. Close to Benin's economic capital, the Lama Territory located on the Allada Plateau and is subject to high demographic and urbanization pressures. Carbon (C) stocks in the region are likely to be rapidly changing. This research assessed the land use changes and quantified the spatial distribution and variation of C stocks between 2000 and 2018 on the Ferralsols of the study area. Random forest models using spectral bands of LANDSAT images and some spectral indices as predictors were calibrated to classify the land use. C stocks of four C pools (aboveground, belowground biomass, litter, and soil) were mapped with InVEST (integrated valuation of ecosystem services and tradeoffs) model. Land use change occurred in 61% of the Ferralsol area between 2000 and 2018. The surface of forests and crop-plantation associations decreased in benefit of tree plantations, adult palm groves, and built-up areas. With the loss of forest surface and the increasing urbanization, C stocks of the region decreased by −218 Gg C with 4% uncertainty (−175 Gg C in soil pools, and − 125 Gg C in aboveground biomass with both 6% uncertainty) between 2000 and 2018. Results highlight: (i) the need for soil C stock accounting to avoid underestimation of C stocks evolution in a rural region; and (ii) the relevance of tree plantations and deforestation control to maintain the C stocks in tropical areas. © 2022 The Authors. Land Degradation &amp; Development published by John Wiley &amp; Sons Ltd.</t>
  </si>
  <si>
    <t>Houssoukpèvi I.A.; le Maire G.; Aholoukpè H.N.S.; Fassinou D.J.M.; Amadji G.L.; Chapuis-Lardy L.; Chevallier T.</t>
  </si>
  <si>
    <t>https://www.scopus.com/inward/record.uri?eid=2-s2.0-85144136957&amp;doi=10.1002%2fldr.4545&amp;partnerID=40&amp;md5=875371bba66d3c100275f5a4d7ae7a84</t>
  </si>
  <si>
    <t>10.3390/rs17020212</t>
  </si>
  <si>
    <t>EFFECTIVENESS TRADE-OFF BETWEEN GREEN SPACES AND BUILT-UP LAND: EVALUATING TRADE-OFF EFFICIENCY AND ITS DRIVERS IN AN EXPANDING CITY</t>
  </si>
  <si>
    <t>Urban expansion encroaches on green spaces and weakens ecosystem services, potentially leading to a trade-off between ecological conditions and socio-economic growth. Effectively coordinating the two elements is essential for achieving sustainable development goals at the urban scale. However, few studies have measured urban–ecological linkage in terms of trade-off. In this study, we propose a framework by linking the degraded ecological conditions and urban land use efficiency from a return on investment perspective. Taking a rapidly expanding city as a case study, we comprehensively quantified urban–ecological conditions in four aspects: urban heat island, flood regulating service, habitat quality, and carbon sequestration. These conditions were assessed on 1 km2 grids, along with urban land use efficiency at the same spatial scale. We employed the slack-based measure model to evaluate trade-off efficiency and applied the geo-detector method to identify its driving factors. Our findings reveal that while urban–ecological conditions in Zhengzhou’s periphery degraded over the past two decades, the inner city showed improvement in urban heat island and carbon sequestration. Trade-off efficiency exhibited an overall upward trend during 2000–2020, despite initial declines in some inner city areas. Interaction detection demonstrates significant synergistic effects between pairs of drivers, such as the Normalized Difference Vegetation Index and building height, and the number of patches of green spaces and the patch cohesion index of built-up land, with q-values of 0.298 and 0.137, respectively. In light of the spatiotemporal trend of trade-off efficiency and its drivers, we propose adaptive management strategies. The framework could serve as guidance to assist decision-makers and urban planners in monitoring urban–ecological conditions in the context of urban expansion.</t>
  </si>
  <si>
    <t>Dong, Xinyu; Ye, Yanmei; Zhou, Tao; Haase, Dagmar; Lausch, Angela</t>
  </si>
  <si>
    <t>https://app.dimensions.ai/details/publication/pub.1184308288</t>
  </si>
  <si>
    <t>10.1186/s40663-018-0155-x</t>
  </si>
  <si>
    <t>EFFECTS OF THE URBAN HEAT ISLAND AND CLIMATE CHANGE ON THE GROWTH OF KHAYA SENEGALENSIS IN HANOI, VIETNAM</t>
  </si>
  <si>
    <t>BackgroundRecent projections expect that Vietnam will be affected most severely by climate change with higher temperatures, more precipitation and rising sea levels. Especially increased temperatures will worsen the situations in cities, amplifying the urban heat island effect. Green infrastructures, i.e. urban trees are a common tool to improve the urban micro-climate for humans. Vital and well growing trees provide greatest benefits such as evaporative cooling, shading, air filtering and carbon storage. However, urban tree growth is often negatively affected by urban growing conditions such as high soil sealing with compacted tree pits providing small growing spaces with limited water, nutrient and oxygen supply, further warm temperatures and high pollution emissions. This study analyzed the growth of urban and rural African mahogany (Khaya senegalensis (Desr.) A. Juss.) trees in the city of Hanoi, Vietnam and the effects of the surrounding climate conditions on tree growth.ResultsThe results showed that rural African mahogany trees grew better than trees situated in the city center, which is contrary to other results on tree growth of temperate and subtropical cities worldwide. Moreover tree growth was similar regardless of the time of growth. Other results regarding stem growth of African mahogany located in different areas of Hanoi (east, west, north, city center) revealed a better growth in the northern and western outskirts of the city compared to the growth of trees in the city center.ConclusionAfrican mahogany trees in the urban centers of Hanoi showed a decreased growth compared to rural trees, which was likely induced by a low ground-water level and high pollution rates. In view of climate change and global warming, the decreased tree growth in the city center may also affect tree service provision such as shading and cooling. Those climate mitigation solutions are strongly needed in areas severely affected by climate change and global warming such as Vietnam.</t>
  </si>
  <si>
    <t>Moser-Reischl, Astrid; Uhl, Enno; Rötzer, Thomas; Biber, Peter; Con, Tran van; Tan, Nguyen Thanh; Pretzsch, Hans</t>
  </si>
  <si>
    <t>https://app.dimensions.ai/details/publication/pub.1107561380</t>
  </si>
  <si>
    <t>10.1088/1755-1315/106/1/012029</t>
  </si>
  <si>
    <t>ENHANCING THE OPEN SPACE OF JABODETABEK AREA, INDONESIA</t>
  </si>
  <si>
    <t>Jabodetabek area is planned to be developed as a sustainable development region. The Government of Indonesia (GoI) committed in Paris Conference that the target of GHG emissions would be reduced by 29% up to 2030 with her own efforts and by 41% with supported by international assistance. This research attempts to apply specific methods such as stratified planting method to improve the quality of green open space by increasing the absorbed carbon level. The study showed that with the planting vegetation of stratified model, the total capacity of the mainland to absorb CO2 gas is quite significant increase with approximately 20% compared to that of homogeneous vegetation. The stratified planting model is worthwhile to achieve the commitment of the GoI mentioned above. © 2017 Published under licence by IOP Publishing Ltd.</t>
  </si>
  <si>
    <t>Wartaman A.S.; Situmorang R.; Suharto B.B.</t>
  </si>
  <si>
    <t>https://www.scopus.com/inward/record.uri?eid=2-s2.0-85042317045&amp;doi=10.1088%2f1755-1315%2f106%2f1%2f012029&amp;partnerID=40&amp;md5=c62c82ea58359383c759de0f271b4847</t>
  </si>
  <si>
    <t>10.1016/j.pce.2024.103681</t>
  </si>
  <si>
    <t>ENVIRONMENTAL RESPONSE CHARACTERISTICS OF THE CARBON AND WATER FLUXES ABOVE COMPLEX URBAN SURFACES OF A SUBTROPICAL MEGACITY IN CHINA</t>
  </si>
  <si>
    <t>Carbon-water cycle represents a fundamental material cycle within urban ecosystems, characterized by interdependence and inseparability. Based on flux measurements in Shenzhen, we analyzed periodical dynamics of carbon and water fluxes and simulated their variations using four machine learning models. The results indicated that hourly carbon fluxes exhibited a typical U-shaped trend, while water fluxes showed an inverse trend. Seasonal carbon sink capacity was strongest in spring and winter and lowest in summer. Human activities influenced carbon and water fluxes, evidenced by shorter duration of carbon sequestration at suburban station (10 h) compared to exurban station (10.5 h). Seasonal mean carbon fluxes ranged from -5.285 to -2.514 mu mol m- 2 center dot s- 1 at exurban station and from -2.197 to -1.352 mu mol m- 2 center dot s- 1 at suburban station, while seasonal mean water fluxes of the above stations ranged from -3.454 to -1.136 mu mol m- 2 center dot s- 1 and from -1.436 to -0.322 mu mol m- 2 center dot s- 1, respectively. Exurban station demonstrated a greater carbon sequestration capacity and a higher transpiration intensity than suburban station. The environmental factors influencing carbon and water fluxes of the two stations were generally similar and with some differences. At the exurban station, there was a weak negative correlation between photo-synthetic active radiation and carbon flux, whereas at the suburban station, it was weakly positively correlated. Carbon fluxes at both stations displayed a positive correlation with temperature and relative humidity, while exhibiting a significant negative correlation with saturation vapor pressure deficit. The comparative studies are important for revealing the regularities, influencing factors, and mechanisms of carbon and water cycling in subtropical urban ecosystems.</t>
  </si>
  <si>
    <t>Zhan, YL; Deng, YB; Wang, J; Liu, Q; Wang, WM</t>
  </si>
  <si>
    <t>10.1111/gcb.15944</t>
  </si>
  <si>
    <t>EPHEMERAL FOREST REGENERATION LIMITS CARBON SEQUESTRATION POTENTIAL IN THE BRAZILIAN ATLANTIC FOREST</t>
  </si>
  <si>
    <t>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 © 2021 John Wiley &amp; Sons Ltd.</t>
  </si>
  <si>
    <t>Piffer P.R.; Calaboni A.; Rosa M.R.; Schwartz N.B.; Tambosi L.R.; Uriarte M.</t>
  </si>
  <si>
    <t>https://www.scopus.com/inward/record.uri?eid=2-s2.0-85118305292&amp;doi=10.1111%2fgcb.15944&amp;partnerID=40&amp;md5=ddddd210de33c1db2a25068b37e17798</t>
  </si>
  <si>
    <t>10.20937/ATM.2016.29.03.01</t>
  </si>
  <si>
    <t>ESTIMATED CARBON DIOXIDE EXCHANGE FOR THREE NATIVE SPECIES IN AN ECOLOGICAL RESERVE OF MEXICO CITY</t>
  </si>
  <si>
    <t>Capture and emission of carbon dioxide of three species (Buddleia cordata, Senecio praecox and Echeveria gibbiflora) in the Reserva Ecológica del Pedregal de San Ángel (Ecological Reserve of the Pedregal de San Ángel), were estimated. CO2 sampling was carried out in 2010 during the dry (February, March, April and November) and rainy seasons (July to October). On the dry season B. cordata and S. praecox captured 16.14 and 3.25 kg CO2, respectively, whereas E. gibbiflora emitted 45.76 kg CO2. In the rainy season the exchange of CO2 was different for the three species. In the dry season, the photosynthetic rate was 22 μmol CO2 m–2 s–1 for B. cordata, 27 μmolCO2 m–2 s–1 for S. praecox and 29 μmolCO2 m–2 s–1 for E. gibbiflora. In the rainy season they were 6, 5.25 and 3 μmol CO2 m–2 s–1, respectively. In addition, MODIS data were used to estimate the normalized difference vegetation index (NDVI), indicating that the intensity of greenery at the site increased during the rainy months. This paper explains the contribution of studied plants to the carbon cycle of an ecosystem located within an urban area, and the relationship of environmental variables such as temperature, density photosynthetic photon flux and relative humidity in the capture or emission of CO2. This work provides valuable information about the carbon cycle dynamics on urban ecosystems, which can be useful in future studies for climate change mitigation. © 2016 Universidad Nacional Autónoma de México</t>
  </si>
  <si>
    <t>Sánchez-León E.; Castro T.; Peralta Ó.; Álvarez-Ospina H.; Espinosa M.D.L.L.; Martínez-Arroyo A.</t>
  </si>
  <si>
    <t>https://www.scopus.com/inward/record.uri?eid=2-s2.0-85015402339&amp;doi=10.20937%2fATM.2016.29.03.01&amp;partnerID=40&amp;md5=84dda3870d7d3895d2166c26487cfa82</t>
  </si>
  <si>
    <t>10.1007/s11252-020-01006-1</t>
  </si>
  <si>
    <t>ESTIMATES OF ABOVE-GROUND TREE CARBON AFTER PROJECTED LAND-USE AND LAND COVER CHANGE IN A SUBTROPICAL URBAN WATERSHED</t>
  </si>
  <si>
    <t>This study investigates the effect of land-use and land cover (LULC) change on above-ground tree carbon (AGTC) in a subbasin of the Tampa Bay Watershed, Florida. LULC change was integrated with AGTC to project future quantities under three landscape scenarios: baseline, increased and aggressive rates of development. A 12% increase in total landscape AGTC occurred from 2006 to 2011 as agriculture and rangeland were converted to residential, infrastructure and built classes. Scenario projections for 2016 show an additional increase of 11% AGTC under baseline change, 15% under increased development and 18% under aggressive development. These results suggest that residential expansion may cause an increase in AGTC storage as agriculture and rangeland areas are replaced. However, as agriculture and rangeland disappear, LULC change patterns could shift, with residential expansion replacing upland and wetland forested areas causing a long-term decrease in AGTC. These results show that biomass of the tree component of AGTC can be significant, in and of itself, for urban classes and provide insights into its role in AGTC dynamics for these systems. This information can also help decision-makers identify areas as potential carbon sources or sinks.</t>
  </si>
  <si>
    <t>https://app.dimensions.ai/details/publication/pub.1127709272</t>
  </si>
  <si>
    <t>10.3390/f7070138</t>
  </si>
  <si>
    <t>ESTIMATING ABOVEGROUND BIOMASS AND CARBON STOCKS IN PERIURBAN ANDEAN SECONDARY FORESTS USING VERY HIGH RESOLUTION IMAGERY</t>
  </si>
  <si>
    <t>Periurban forests are key to offsetting anthropogenic carbon emissions, but they are under constant threat from urbanization. In particular, secondary Neotropical forest types in Andean periurban areas have a high potential to store carbon, but are currently poorly characterized. To address this lack of information, we developed a method to estimate periurban aboveground biomass (AGB)-a proxy for multiple ecosystem services-of secondary Andean forests near Bogotá, Colombia, based on very high resolution (VHR) GeoEye-1, Pleiades-1A imagery and field-measured plot data. Specifically, we tested a series of different pre-processing workflows to derive six vegetation indices that were regressed against in situ estimates of AGB. Overall, the coupling of linear models and the Ratio Vegetation Index produced the most satisfactory results. Atmospheric and topographic correction proved to be key in improving model fit, especially in high aerosol and rugged terrain such as the Andes. Methods and findings provide baseline AGB and carbon stock information for little studied periurban Andean secondary forests. The methodological approach can also be used for integrating limited forest monitoring plot AGB data with very high resolution imagery for cost-effective modelling of ecosystem service provision from forests, monitoring reforestation and forest cover change, and for carbon offset assessments.</t>
  </si>
  <si>
    <t>Clerici N.; Rubiano K.; Abd-Elrahman A.; Hoestettler J.M.P.; Escobedo F.J.</t>
  </si>
  <si>
    <t>https://www.scopus.com/inward/record.uri?eid=2-s2.0-84982814460&amp;doi=10.3390%2ff7070138&amp;partnerID=40&amp;md5=7c120ff50782ec5bcb72d92fc356ebf4</t>
  </si>
  <si>
    <t>10.3389/fevo.2022.905799</t>
  </si>
  <si>
    <t>ESTIMATING CARBON STOCKS AND SEQUESTRATION WITH THEIR VALUATION UNDER A CHANGING LAND USE SCENARIO: A MULTI-TEMPORAL RESEARCH IN ABHA CITY, SAUDI ARABIA</t>
  </si>
  <si>
    <t>Urbanization and land-use change are significant contributors to cumulative greenhouse gas emissions, causing climate change and environmental damage. Research on land-use-derived carbon storage and sequestration capability is crucial for emission reduction strategy and sustainable development. Because cities are becoming significant sources of carbon emissions, an accurate assessment of city-level carbon storage and sequestration is now required. This study intended to estimate the carbon storage and sequestration capabilities using the InVEST model under different land use land cover (LULC) classes in Abha, Saudi Arabia. We used a support vector machine (SVM) for LULC mapping. For the future forecasting of the LULC map, we employed cellular automata (ANN-CA). Expansion of built-up land is the primary source of CO2. From 1990 to 2040, agriculture lost 145 megagram of carbon per hectare (Mg C/ha), whereas vegetation lost 34,948.15 Mg C/ha. Vegetation would get 17,363.7 Mg C/ha during the same period, whereas urban areas would receive 3924.1 Mg C/ha. Approximately 17,000 Mg C/ha would be lost from the vegetation area in future periods. The approaches outlined in this paper may add a new dimension to carbon emission analyses and provide helpful information for low-carbon city.</t>
  </si>
  <si>
    <t>Mallick, Javed; Almesfer, Mohammed K.; Alsubih, Majed; Ahmed, Mohd; Kahla, Nabil Ben</t>
  </si>
  <si>
    <t>https://app.dimensions.ai/details/publication/pub.1148403914</t>
  </si>
  <si>
    <t>10.1186/s13021-018-0098-0</t>
  </si>
  <si>
    <t>ESTIMATING URBAN ABOVE GROUND BIOMASS WITH MULTI-SCALE LIDAR</t>
  </si>
  <si>
    <t>BackgroundUrban trees have long been valued for providing ecosystem services (mitigation of the “heat island” effect, suppression of air pollution, etc.); more recently the potential of urban forests to store significant above ground biomass (AGB) has also be recognised. However, urban areas pose particular challenges when assessing AGB due to plasticity of tree form, high species diversity as well as heterogeneous and complex land cover. Remote sensing, in particular light detection and ranging (LiDAR), provide a unique opportunity to assess urban AGB by directly measuring tree structure. In this study, terrestrial LiDAR measurements were used to derive new allometry for the London Borough of Camden, that incorporates the wide range of tree structures typical of an urban setting. Using a wall-to-wall airborne LiDAR dataset, individual trees were then identified across the Borough with a new individual tree detection (ITD) method. The new allometry was subsequently applied to the identified trees, generating a Borough-wide estimate of AGB.ResultsCamden has an estimated median AGB density of 51.6 Mg ha–1 where maximum AGB density is found in pockets of woodland; terrestrial LiDAR-derived AGB estimates suggest these areas are comparable to temperate and tropical forest. Multiple linear regression of terrestrial LiDAR-derived maximum height and projected crown area explained 93% of variance in tree volume, highlighting the utility of these metrics to characterise diverse tree structure. Locally derived allometry provided accurate estimates of tree volume whereas a Borough-wide allometry tended to overestimate AGB in woodland areas. The new ITD method successfully identified individual trees; however, AGB was underestimated by ≤ 25% when compared to terrestrial LiDAR, owing to the inability of ITD to resolve crown overlap. A Monte Carlo uncertainty analysis identified assigning wood density values as the largest source of uncertainty when estimating AGB.ConclusionOver the coming century global populations are predicted to become increasingly urbanised, leading to an unprecedented expansion of urban land cover. Urban areas will become more important as carbon sinks and effective tools to assess carbon densities in these areas are therefore required. Using multi-scale LiDAR presents an opportunity to achieve this, providing a spatially explicit map of urban forest structure and AGB.</t>
  </si>
  <si>
    <t>Wilkes, Phil; Disney, Mathias; Vicari, Matheus Boni; Calders, Kim; Burt, Andrew</t>
  </si>
  <si>
    <t>https://app.dimensions.ai/details/publication/pub.1104690863</t>
  </si>
  <si>
    <t>10.1117/12.2541749</t>
  </si>
  <si>
    <t>ESTIMATION OF ABOVEGROUND BIOMASS IN URBAN FOREST AREA USING SPOT 7 IMAGERIES IN TANGERANG CITY</t>
  </si>
  <si>
    <t>The national law in Indonesia stated that cities are required to have 30% of green open space from the total area. Tangerang City is one of the capital's buffer cities that has been continuously grown since the 1990s. The development of the city is quite rapid, and the emergence of various activities such as household activities, transportation, and industry are encouraging changes in green open space areas. Data from the regional statistic shows that open green space in Tangerang City is only 12.56% (2,319.21 hectares) of the total area. The less open green space area might degrade its main function as an absorber of emissions or pollutants, especially for carbon dioxide gas (CO2). This study aims to estimate the biomass, total CO2 stored by vegetation. This study uses direct measurements and vegetation index to formulate the ideal biomass formula. The pre-field activities begin with the extraction of NDVI (Normalized Differential Vegetation Index) and EVI (Enhanced Vegetation Index) from SPOT 7 imageries. The biomass allometric formulas used in this study are the Brown and Lugo equation, to find biomass values from tree stand parameters such as diameter breast height (DBH) and tree height. Quantitative and spatial analysis used in this study is a regression analysis of biomass and vegetation index value. The results show EVI has a better regression value and total biomass of around 26 million kilograms. © 2019 SPIE.</t>
  </si>
  <si>
    <t>Muthia A.; Taqyuddin; Shidiq I.P.A.; Saraswati R.; Ristya Y.</t>
  </si>
  <si>
    <t>https://www.scopus.com/inward/record.uri?eid=2-s2.0-85079224081&amp;doi=10.1117%2f12.2541749&amp;partnerID=40&amp;md5=22eef0da212413e3ccaa62b9bf97121e</t>
  </si>
  <si>
    <t>Estimation of Greenhouse Gas Emissions Produced by Road Projects in Abu Dhabi, United Arab Emirates</t>
  </si>
  <si>
    <t>10.3390/f15122158</t>
  </si>
  <si>
    <t>ESTIMATION OF VEGETATION CARBON SINKS AND THEIR RESPONSE TO LAND USE INTENSITY IN THE EXAMPLE OF THE BEIJING–TIANJIN–HEBEI REGION</t>
  </si>
  <si>
    <t>Accurate regional carbon sequestration estimates are essential for China’s emission reduction and carbon sink enhancement efforts to address climate change. Enhancing the spatial precision of vegetation carbon sink estimates is crucial for a deeper understanding of the underlying response mechanisms, yet this remains a significant challenge. In this study, the Beijing–Tianjin–Hebei (BTH) region was selected as the study area. We employed the GF-SG (Gap filling and Savitzky–Golay filtering) model to fuse Landsat and MODIS data, generating high-resolution imagery to enhance the accuracy of NPP (Net Primary Productivity) and NEP (Net Ecosystem Productivity) estimates for this region. Subsequently, the Sen+MK model was used to analyze the spatiotemporal variations in carbon sinks. Finally, the land use intensity index, which reflects human activity disturbances, was applied, and the bivariate Moran’s spatial autocorrelation method was used to analyze the response mechanisms of carbon sinks. The results indicate that the fused GF-SG NDVI (Normalized Difference Vegetation Index) data provided highly accurate 30 m resolution imagery for estimating NPP and NEP. The spatial distribution of carbon sinks in the study area showed higher values in the northeastern forest regions, relatively high values in the southeastern plains, and lower values in the northwestern plateau and central urban areas. Additionally, 58.71% of the area exhibited an increasing trend, with 11.73% showing significant or strongly significant growth. A generally negative spatial correlation was observed between land use intensity and carbon sinks, with the impact of land use intensity on carbon sinks exceeding 0.3 in 2010. This study provides methodological insights for obtaining vegetation monitoring data and estimating carbon sinks in large urban agglomerations and offers scientific support for developing ecological and carbon reduction strategies in the BTH region. © 2024 by the authors.</t>
  </si>
  <si>
    <t>Yao Q.; Zhang J.; Song H.; Yu R.; Xiong N.; Wang J.; Cui L.</t>
  </si>
  <si>
    <t>https://www.scopus.com/inward/record.uri?eid=2-s2.0-85213270575&amp;doi=10.3390%2ff15122158&amp;partnerID=40&amp;md5=d983a76b4ec1047c5711524c886af2a3</t>
  </si>
  <si>
    <t>10.1016/j.rsase.2021.100484</t>
  </si>
  <si>
    <t>EVALUATING THE ACCURACY OF SPECTRAL INDICES FROM SENTINEL-2 DATA FOR ESTIMATING FOREST BIOMASS IN URBAN AREAS OF THE TROPICAL SAVANNA</t>
  </si>
  <si>
    <t>Over the past decades, there has been significant challenges in the detection and quantification of urban forest biomass due to limitation of traditional methods (e.g. Field survey) which are not only costly but also impractical to monitor large and inaccessible areas. The application of accurate remote sensing data has greatly improved urban biomass estimation and modelling approaches due to development in new satellite sensors to address urban climate dynamics. For example, the launch of Sentinel-2 by the Copernicus programme of the European Union, which provides data down to 10 m, has been quite remarkable. In this study, four vegetation indices (VIs) were derived from the Sentinel-2 data for 2016 (the red and near-infrared bands (10 m)) which were atmospherically corrected by using the Sen2Cor tool. The sensitivities of the four VIs to biomass (normalized difference vegetation index (NDVI), soil adjusted vegetation index (SAVI), difference vegetation index (DVI) and enhanced vegetation index (EVI2) were assessed through a predictive modelling approach using thirty sixty (36) plots belonging to eleven (11) different tree species sampled at different locations along the major streets in the study area. All VIs significantly correlate with the field estimated biomass (p &lt; 0.0001) using Pearson's correlation. Based on the correlation between the VIs and field measured biomass, we established a simple linear model using the 64% of the field data for model estimation while retaining the remaining 36% for evaluating the model accuracy. The assessments of model performance using the mean absolute error (NDVI = 8.91%, SAVI = 8.92%, EVI2 = 8.94%) indicated that the DVI (9.43%) had the largest error. Urban biomass maps are required for urban vegetation monitoring, urban cool/heat island modelling, climate change mitigation and adaptation research and model parameterization and validation.</t>
  </si>
  <si>
    <t>Adamu, B; Ibrahim, S; Rasul, A; Whanda, SJ; Headboy, P; Muhammed, I; Maiha, IA</t>
  </si>
  <si>
    <t>10.1016/j.ecolind.2017.11.062</t>
  </si>
  <si>
    <t>EXPLORING TEMPORAL DYNAMICS OF URBAN ECOSYSTEM SERVICES IN LATIN AMERICA: THE CASE OF BOGOTA (COLOMBIA) AND SANTIAGO (CHILE)</t>
  </si>
  <si>
    <t>Latin America is one of the most urbanized region in the world, where patterns of urbanization are disorganized and disjoint from urban planning, with unknown effects for ecosystem services (ES). We evaluated the ES in Bogota and Santiago for a 30-year period. Using remote sensing data, models and census data we quantified carbon regulation, climate mitigation and recreation potential. We assessed ES provision changes and their spatio-temporal patterns using landscape metrics. Urban vegetation patterns differ between the two cities because of climate variability and greening policies. Bogota stored more carbon than Santiago given to climate effects, differences within city were the result of different policies and management. Climate mitigation showed similar behavior for both cities, influenced by global climate, densification and urban sprawling. Recreation potential increased in the inner-city and decrease at the outskirts, reflecting unplanned urban sprawling and increase population. Areas of high ecosystem services connected for Bogota and fragmented for Santiago. Bogota improved its environmental condition, as evaluated by ES provision, while Santiago worsens, even there was an increased in vegetation cover. Vegetation cover was not a sufficient indicator for ecosystem services and the distribution of it becomes highly relevant for informing mismatches between services and vegetation.</t>
  </si>
  <si>
    <t>Dobbs, C; Hernández-Moreno, A; Reyes-Paecke, S; Miranda, MD</t>
  </si>
  <si>
    <t>10.1016/j.envc.2021.100283</t>
  </si>
  <si>
    <t>EXPLORING THE IMPACTS OF URBAN EXPANSION ON GREEN SPACES AVAILABILITY AND DELIVERY OF ECOSYSTEM SERVICES IN THE ACCRA METROPOLIS</t>
  </si>
  <si>
    <t>As Accra, Ghana's capital city, expands at an unprecedented rate, the fragmentation and loss of natural and semi-natural ecosystems may be the greatest challenge to achieving sustainable development. This study investigates the impact of Accra's growth and expansion on its natural green spaces, availability, and ecosystem services delivery. The study uses remotely sensed imageries (Landsat 1991–2018) for land use change analysis, the i-Tree Canopy model to quantify and value of urban ecosystems and stakeholder interviews to explore perceptions on green space value. Results showed that the overwhelming number of stakeholders understand and are aware of the beneficial values of urban green spaces but highlight poor planning, coupled with land tenure challenges, as a threat to the conservation of green spaces. Land use and land cover change analysis shows that the urban built environment has expanded from 55.1% to 83.79% at the expense of the natural environment, including green spaces, which have declined from 41% to 15% over 27 years. Existing areas of green spaces, including the Achimota forest, the University of Ghana campus and street trees on major roads, were valued at US$37,610,980 for carbon sequestration and storage, US$1,478,173 for air pollution regulation and US$458 for avoided runoff. A rapid assessment of the availability, accessibility and management of urban green spaces in the Accra metropolis can be an essential step towards identifying and mapping their consumptive and non-consumptive use-value and introducing appropriate interventions necessary for enhancing the city's resilience in an era of climate change.</t>
  </si>
  <si>
    <t>Puplampu, Dzifa Adimle; Boafo, Yaw Agyeman</t>
  </si>
  <si>
    <t>https://app.dimensions.ai/details/publication/pub.1141064754</t>
  </si>
  <si>
    <t>10.1007/s11252-024-01529-x</t>
  </si>
  <si>
    <t>EXPLORING THE VALUE OF ECOSYSTEM SERVICES AT HEALTH CLINIC GARDENS IN A SOUTH AFRICAN CONTEXT</t>
  </si>
  <si>
    <t>Ecosystem services (ESs) valuation is important for advancing biodiversity objectives and investing in green infrastructure (GI) establishment. Little is known about the potential of health clinic gardens (HCGs) to provide ESs and their potential values. This study sought to determine the plant and bird species composition and potential value of ESs provided by 32 HCGs in two South African district municipalities. HCG sizes range from 513.0m2 to 13531.0m2 and each had at least one micro-garden. Among the 312 plant species observed across all HCGs, 60% were exotic. The small HCGs had 31 ± 3.6 different plant species per garden, compared to the medium-sized (32 ± 3.7) and large ones (49 ± 5.2). Provisioning ESs from the observed species were prominent with 17.4 ± 1.16 species potentially used for general well-being, 13.66 ± 1.08 as potential food plants, and 11.91 ± 0.93 potentially raw materials. Trees in HCGs were estimated to sequester up to 163481.87 kg of carbon from trees covering an area of up to 9620.80m2. Approximately 1390.70 ± 427.50m2 of HCG space had the potential to provide a habitat for plants and birds, and 11 bird species were observed across all HCGs. Sixty-three bird nests encountered in 18 HCGs are believed to belong to the Passer domesticus. HCGs resemble other types of gardens like home and domestic gardens, and their rich plant biodiversity positions them as ideal ecosystems to benefit even the most vulnerable members of society. They provide an opportune platform for knowledge upscaling in the cultivation and use of plant species as a supplement of primary healthcare and food security issues in the summer months to the rural, urban, and peri-urban poor in the Global South.</t>
  </si>
  <si>
    <t>Gwedla, N.; Muller, M.; Cilliers, S. S.; Niesing, C.; Bester, P.; Du Toit, M.J.</t>
  </si>
  <si>
    <t>https://app.dimensions.ai/details/publication/pub.1169269534</t>
  </si>
  <si>
    <t>10.1002/ldr.1010</t>
  </si>
  <si>
    <t>FOREST CONVERSION AND PROVISION OF ECOSYSTEM SERVICES IN THE BRAZILIAN ATLANTIC FOREST</t>
  </si>
  <si>
    <t>The importance of quantifying existing ecosystem services, assessing the impacts of various land use decisions and ultimately evaluating the overall costs and benefits of different land use patterns having internalized ecosystem services, is now widely recognized and such work is at the forefront of current landscape management planning. We aim to quantify ecosystem services derived from different land uses within the Atibainha Reservoir catchment in Brazil, determine the spatial distribution of ecosystem services and quantify the impacts of land use changes on the provision of ecosystem services. Four ecosystem services were considered: carbon sequestration, mitigation of sediment delivery into the reservoir, purification of water and maintenance of soil fertility. Results indicate strong increase in the provision of ecosystem services among the main land uses in the following order: urban area/bare soil; pastures; plantation of eucalyptus and native forests. The most important services provided by native forests, when compared with bare soil, were carbon sequestration and prevention of sedimentation, with an additional 864 569 tons of carbon stored in forest biomass in 30 years, and prevention of 244 511 tons of sediment delivery into the reservoir per year, respectively, from 7624 ha of lands around the reservoir. Spatial variation in the provision of ecosystem services were mapped to develop a tool to support decision making at the landscape scale. Results and maps from the decision support tool can support policies that ensure effective land-use planning and can serve as the basis for the development of payment for ecosystem service schemes in the region. Copyright © 2010 John Wiley &amp; Sons, Ltd.</t>
  </si>
  <si>
    <t>Ditt E.H.; Mourato S.; Ghazoul J.; Knight J.</t>
  </si>
  <si>
    <t>https://www.scopus.com/inward/record.uri?eid=2-s2.0-78649641422&amp;doi=10.1002%2fldr.1010&amp;partnerID=40&amp;md5=22a9fe693c2583714d8fc476bde18ac1</t>
  </si>
  <si>
    <t>From savanna to suburb: Effects of 160 years of landscape change on carbon storage in Silicon Valley, California</t>
  </si>
  <si>
    <t>GIS-BASED APPROACH IN ESTIMATING CARBON EMISSION ATTRIBUTED BY LAND USE AND LAND COVER DYNAMICS IN BUTUAN CITY, PHILIPPINES</t>
  </si>
  <si>
    <t>Monitoring land use and land cover (LULC) dynamics is crucial in evaluating and decision-making in addressing the pressing concerns on carbon emission. Butuan City has experienced major land conversion activities ranging from the purpose of settlement driven by urbanization and expansion of agricultural areas to address the increasing demand for food and deforestation. This study used integrated methods in remote sensing, geographic information system (GIS), and Intergovernmental Panel on Climate Change (IPCC) to calculate vegetative carbon and soil organic carbon (SOC) emissions induced by LULC dynamics from 2011-2016 and 2016-2021. Land cover maps for 2011, 2016, and 2021 were generated using the Google Earth Engine with an SVM classifier using tier-based boundary delineation to minimize repetitive misclassifications and maximize the accuracy for each map of at least 93%. From 2011-2016 and 2016-2021, LULC dynamics in Butuan City showed a successive increase in grassland areas (3,910.53 ha equivalent to 784.24% and 721.31 ha equivalent to 16.36%, respectively) and water areas (66.69 ha equivalent to 5.14% and 205.657 ha equivalent to 15.065%, respectively). Other land classes has experienced area reduction during 2011-2016 and area increase in 2016-2017, such as agricultural lands (225.1 ha decrease equivalent to -1.21% 2011-2016 and 2,302.482 ha increase equivalent to 11.165% in 2016-2021), barren lands (200.1 ha decrease equivalent to -64.64% in 2011-2016, and 1,463.28 ha increase equivalent to 1,337.07% increase in 2016-2021), and built-up areas (909.02 ha decrease equivalent to -21.33% in 2011-2016, and 1,660.06 ha increase equivalent to 49.513% in 2016-2021). Forest areas have experienced successive reductions with -6.94% (2,779.075 ha) in 2011-2016 and -8.59% (3,198.656 ha) in 2016-2021. The decline in vegetation carbon stocks or vegetative carbon emissions in Butuan City was approximately 583,567.24 tons of carbon during 2011-2016 and 8,161,161.46 tons of carbon during 2016-2021. SOC emissions from land conversion involving soil activities were approximately 421,318.94 tons and 514,213.95 tons of carbon in 2011-2016 and 2016-2021, respectively. Overall, LULC dynamics have resulted in significant quantities of carbon emission of both vegetative carbon and SOC in Butuan City from 2011-2021. © 43rd Asian Conference on Remote Sensing, ACRS 2022.</t>
  </si>
  <si>
    <t>Cacayan A., Jr.; Apdohan A.; Cacayan V.; Saludes R.</t>
  </si>
  <si>
    <t>https://www.scopus.com/inward/record.uri?eid=2-s2.0-85149434267&amp;partnerID=40&amp;md5=6d1e40d492884c376825231b0113079c</t>
  </si>
  <si>
    <t>10.1016/j.scitotenv.2023.166456</t>
  </si>
  <si>
    <t>GLOBAL DISTRIBUTION, TRENDS AND TYPES OF ACTIVE FIRE OCCURRENCES</t>
  </si>
  <si>
    <t>Fire occurrence is synonymous to terrestrial ecosystems and an important component of the Earth system. Climate change, vegetation characteristics, and human activity regulate fire occurrence and spread, however, fires also interact with them in multiple ways. Due to the complicated mechanisms of interactions between fire and land use or cover, the spatial distribution, change trends and land use or cover types of fire occurrences exist wide discrepancies in different regions or countries around the world. Therefore, the quantitative and spatial relationship and differences between fire and land use or cover at the global scale remain poorly understood systematically. Here, we combine active fire and land cover products during 2001-2020 to explore the spatio-temporal features, trends, and types of active fires from global to continental scales. Globally, the annual changes of monthly active fire occurrences kept a dramatic increase in first two or three years but a circuitous decrease since then. Most areas prevailingly experienced active fires for once to five times, a small part of areas clustered in Africa, Southeast Asia, and South America experienced active fires for over five times in the last 20-years. In particular, above 60 % of active fires (re-)occurred in forest and 20-25 % in cropland, whereas grassland and construction land only accounted for about 5 % and less than 2 % respectively. Driven by active fires, the conversion of forest to cropland accounted for nearly 60 % and the transition of cropland to forest (about 10 %) followed and formed an interactive circle. Our findings improve the understanding of fire-land cover change interactions, particularly agricultural expansion and forest loss driven by active fires. Future efforts on agricultural expansion, urban safety, carbon sequestration and biodiversity conservation should take the results of this research into account.</t>
  </si>
  <si>
    <t>Xiang, Mingtao; Xiao, Chiwei; Feng, Zhiming; Ma, Qin</t>
  </si>
  <si>
    <t>https://app.dimensions.ai/details/publication/pub.1163407803</t>
  </si>
  <si>
    <t>10.1109/ICACCS60874.2024.10716878</t>
  </si>
  <si>
    <t>GREEN INFRASTRUCTURE AND SMART TREES: COMBATING URBAN HEAT IN GUAYAQUIL CITY, ECUADOR</t>
  </si>
  <si>
    <t>Urban heat islands, resulting from rapid urban expansion with minimal consideration for green spaces, pose a significant challenge. This necessitates a transition towards green infrastructure, such as greenways, instead of traditional gray solutions. Green infrastructure, through carbon sequestration, shading, and provision of recreational areas, plays a pivotal role in mitigating urban heat. This paper introduces a smart tree equipped with sensors and an internet-connected system, enabling real-time monitoring of urban climate, particularly in areas with high heat indexes. Through comprehensive data collection facilitated by the Blynk cloud platform, the effectiveness of green-ways in reducing heat emissions and preserving essential trees is demonstrated. Ultimately, the importance of embracing nature-based solutions and cutting-edge technologies is emphasized in fostering a cooler and ecologically balanced urban environment. © 2024 IEEE.</t>
  </si>
  <si>
    <t>Velasquez W.; MacIas-Zambrano L.; Leon-Monge M.; Filian-Gomez M.</t>
  </si>
  <si>
    <t>https://www.scopus.com/inward/record.uri?eid=2-s2.0-85208605210&amp;doi=10.1109%2fICACCS60874.2024.10716878&amp;partnerID=40&amp;md5=5982a90db15fffb3a999f5c6fa2a8a20</t>
  </si>
  <si>
    <t>10.1007/s11356-019-07182-8</t>
  </si>
  <si>
    <t>HERBACEOUS DYNAMICS AND CO2 MITIGATION IN AN URBAN SETUP—A CASE STUDY FROM CHHATTISGARH, INDIA</t>
  </si>
  <si>
    <t>Adjoining areas of urban environment has undergone rapid alteration in structure, composition and ecological changes, which makes them a dynamic entity. During the present investigation, herbaceous vegetation were studied in east, west, north and south directions of Ambikapur township at various seasons during March 2017 to April 2018. A total of 18 species representing 11 families were recorded at various directions of Ambikapur township in different seasons. Asteraceae was the predominant family in the study area. Highest species counts were recorded during summer season. Among the herbaceous vegetation, more than two-thirds of the herb species were exotic in nature, revealing the anthropogenic role towards loss of indigenous species. Highest species density was recorded in north direction (152,000 herb/ha during rainy, 104,000 herb/ha in winter and 184,000 herb/ha in summer) and lowest in south direction (90,000 herb/ha during rainy, 72,000 herb/ha in winter and 88,000 herb/ha in summer) in all seasons. Higher Shannon diversity (2.71 in rainy, 2.69 in winter and 3.07 in summer) and richness (0.67 in rainy, 0.52 in winter and 0.66 in summer after west direction) were recorded in the north direction. Total biomass, C storage and CO2 mitigation were found to be highest towards north direction in all seasons. Argemone mexicana, Cassia tora, Ocimum tenuiflorum and Sida acuata are the most suitable species in terms of C storage, CO2 mitigation under urban setup. Beside, some weed species also reflected significant potential. CO2 mitigation by herb species can act as complimentary system towards climate cane adaptation beside other vegetal layers. Such studies are also very much effective towards development of greenery in an urban setup leading to climate mitigation process.</t>
  </si>
  <si>
    <t>Khan, Nahid; Jhariya, Manoj Kumar; Yadav, Dhiraj Kumar; Banerjee, Arnab</t>
  </si>
  <si>
    <t>https://app.dimensions.ai/details/publication/pub.1123348633</t>
  </si>
  <si>
    <t>10.1007/s10661-023-11707-7</t>
  </si>
  <si>
    <t>HIGHER DIVERSITY, DENSER STANDS AND GREATER BIOMASS IN PERI-URBAN FORESTS THAN IN ADJACENT AGROFORESTRY SYSTEMS IN WESTERN BURKINA FASO: IMPLICATIONS FOR URBAN SUSTAINABILITY</t>
  </si>
  <si>
    <t>Urban and peri-urban forests greatly contribute to the well-being of urban dwellers in West Africa. However, increasing urban densification and spatial expansion negatively affect the functioning of urban ecosystems. Therefore, highlighting the negative impacts of land use change on the ecological attributes of urban landscapes is fundamental for sustainable urban planning. This study aimed to assess the impacts of land use on woody species diversity, structure and carbon storage in peri-urban areas in Burkina Faso. Forest inventories were conducted in 167 plots across two peri-urban forests and their adjacent agroforestry systems. We found a total diversity of 91 woody species representing 69 genera and 26 families. Diversity indices were significantly higher (p-value &lt; 0.0001) in the peri-urban forests than in the agroforestry systems, highlighting a negative impacts of land use on tree diversity. Besides, peri-urban forests had significantly lower tree diameter (15.749 ± 9.194 cm), but higher basal area (5.030 ± 4.407 m2. ha−1) and denser stands (317.308 ± 307.845 ind. ha−1) compared to the agroforestry systems. Tree aboveground biomass was significantly higher (p-value &lt; 0.0001) in the peri-urban forests (18.198 ± 23.870 Mg. ha−1) than in the agroforestry systems (7.821 ± 6.544 Mg. ha−1). Multivariate analyses revealed that denser stands hold higher diversity in peri-urban areas, and that stand basal area mostly drives carbon storage than tree density and diversity. These findings highlight the potential of peri-urban forests to conserve plant biodiversity and mitigate climate change. The study advocates for a sustainable urban land use and planning.</t>
  </si>
  <si>
    <t>Balima, Larba Hubert; Zerbo, Issouf; Bayen, Philippe; Kiemtoré, Henry; Ganamé, Moussa; Cissé, Mohamed; Thiombiano, Adjima</t>
  </si>
  <si>
    <t>https://app.dimensions.ai/details/publication/pub.1163506373</t>
  </si>
  <si>
    <t>10.1016/j.landurbplan.2024.105076</t>
  </si>
  <si>
    <t>HIGH-RESOLUTION SATELLITE IMAGES REVEAL THE PREVALENT POSITIVE INDIRECT IMPACT OF URBANIZATION ON URBAN TREE CANOPY COVERAGE IN SOUTH AMERICA</t>
  </si>
  <si>
    <t>Trees in urban areas act as carbon sinks and provide ecosystem services for residents. However, the impact of urbanization on tree coverage in South America remains poorly understood. Here, we make use of very high resolution satellite imagery to derive urban tree coverage for 882 cities in South America and developed a tree coverage impacted (TCI) coefficient to quantify the direct and indirect impacts of urbanization on urban tree canopy (UTC) coverage. The direct effect refers to the change in tree cover due to the rise in urban intensity compared to scenarios with extremely low levels of urbanization, while the indirect impact refers to the change in tree coverage resulting from human management practices and alterations in urban environments. Our study revealed the negative direct impacts and prevalent positive indirect impacts of urbanization on UTC coverage. In South America, 841 cities exhibit positive indirect impacts, while only 41 cities show negative indirect impacts. The prevalent positive indirect effects can offset approximately 48% of the direct loss of tree coverage due to increased urban intensity, with full offsets achieved in Argentinian and arid regions of South America. In addition, human activity factors play the most important role in determining the indirect effects of urbanization on UTC coverage, followed by climatic and geographic factors. These findings will help us understand the impact of urbanization on UTC coverage along the urban intensity gradient and formulate policies and strategies to promote sustainable urban development in South America.</t>
  </si>
  <si>
    <t>Guo, Jianhua; Hong, Danfeng; Zhu, Xiao Xiang</t>
  </si>
  <si>
    <t>https://app.dimensions.ai/details/publication/pub.1170312790</t>
  </si>
  <si>
    <t>10.3390/f11040420</t>
  </si>
  <si>
    <t>HOW WELL DO THREE TREE SPECIES ADAPT TO THE URBAN ENVIRONMENT IN GUANGDONG-HONGKONG-MACAO GREATER BAY AREA OF CHINA REGARDING THEIR GROWTH PATTERNS AND ECOSYSTEM SERVICES?</t>
  </si>
  <si>
    <t>It is predicted that global change combined with urbanization will impact increasingly on the society and terrestrial ecosystem in the Guangdong-Hongkong-Macao Greater Bay Area of China (GBA). In this context, the cities in GBA began to plant a variety of urban trees since 2000 which are considered to play an important role in fixing carbon, improving air quality, reducing noise and providing other ecosystem services. However, data on the growth patterns and ecosystem services of the planted trees remains scarce, which hampers a comprehensive understanding of how well the planted trees adapt to the local urban environment. Therefore, we selected three widely planted tree species in Foshan, one of the core cities in GBA and investigated their tree growth and ecosystem services via a harvest campaign and soil analysis. With the same, fast tree growth as natural forests and the greatest above- and below-ground biomass among the three tree species, Ml (Mytilaria laosensis Lec.) showed a distinguished adaption to the local urban environment in terms of growth patterns, carbon fixation, stabilization against typhoon risk and water uptake capacity against potential drought risk in the future. Although Cf (Chinese fir) showed reduced diameter at breast height (DBH) and volume development, it significantly increased the total and available potassium in soils to improve the soil quality. The DBH growth of Sp (Slash pine) decreased between six and 12 years old while it recovered at the age of 12 years, probably suggesting its adaptation might take a longer time. Our results indicated that different trees had different growth patterns and ecosystem services after they were planted in cities. In a harsh urban environment under climate change, precise and comprehensive data on urban trees is necessary, helping to provide different perspectives for urban managers to select appropriate tree species and make policies.</t>
  </si>
  <si>
    <t>Zhang, Chi; Zhao, Qing; Tang, Honghui; Qian, Wanhui; Su, Murong; Pan, Lijun</t>
  </si>
  <si>
    <t>https://app.dimensions.ai/details/publication/pub.1126576679</t>
  </si>
  <si>
    <t>10.18687/LACCEI2018.1.1.230</t>
  </si>
  <si>
    <t>IDENTIFICATION OF THE VARIATION OF CARBON CAPTURE BY FOREST EXPLOITATION IN THE MEGA WORK OF THE THIRD RAIL IN THE CITY OF BUCARAMANGA; [IDENTIFICACIÓN DE LA VARIACIÓN DE CAPTURA DE CARBONO POR EL APROVECHAMIENTO FORESTAL EN LA MEGA OBRA EL TERCER CARRIL EN LA CIUDAD DE BUCARAMANGA]</t>
  </si>
  <si>
    <t>The necessities that arise with the demographic growth, the greater exmeasure of the automotive park and the precarious conditions of the road mesh in the city of Bucaramanga and its metropolitan area, are determining factors in the execution of mega works of road infrastructure that allow the social development And economic This development involves the intervention of urban green spaces of great ecological importance that provides environmental services such as CO2 capture, noise reduction, regulation of temperatures, among others. The present study has the purpose of establishing CO2 capture conditions in the area of influence of the mega work of the primary corridor of Bucaramanga and Floridablanca between the Provenza bridge and the sun gate. For the estimation of the CO2 capture, an analysis of the information of documents that requested to the committed entities like the CDMB, the Metropolitan Area of Bucaramanga and the direction of the transit of the municipality of Bucaramanga was carried out; After this respective analysis the data provided were interpreted. Among the analyzes made to the documentation it was obtained that the CO2 storage potential of the grass cover before the work was 140,467 kg of CO2; That a consequence of the forest exploitation of the 691 authorized trees will cause a deterioration of the environmental quality in the area of influence and its recovery will be reflected and the compensation is made satisfactorily in the conditions and the terms of time suggested. © 2018 Latin American and Caribbean Consortium of Engineering Institutions. All rights reserved.</t>
  </si>
  <si>
    <t>Amaya Corredor C.A.; Hernandez Contreras C.; Zambrano C.J.; Quintero O.G.Q.; Pinzón S.A.L.</t>
  </si>
  <si>
    <t>https://www.scopus.com/inward/record.uri?eid=2-s2.0-85057485104&amp;doi=10.18687%2fLACCEI2018.1.1.230&amp;partnerID=40&amp;md5=5cd296ec4c6fb4dd191221807b1a2ebe</t>
  </si>
  <si>
    <t>10.1175/2008JAMC2044.1</t>
  </si>
  <si>
    <t>IMPACT OF URBAN GROWTH ON SURFACE CLIMATE: A CASE STUDY IN ORAN, ALGERIA</t>
  </si>
  <si>
    <t>The authors develop a land use map discriminating urban surfaces from other cover types over a semiarid region in North Africa and use it in a land surface model to assess the impact of urbanized land on surface energy, water, and carbon balances. Unlike in temperate climates where urbanization creates a marked heat island effect, this effect is not strongly marked in semiarid regions. During summer, the urban class results in an additional warming of 1.45°C during daytime and 0.81°C at night relative to that simulated for needleleaf trees under similar climate conditions. Seasonal temperatures show that urban areas are warmer than their surrounding areas during summer and slightly cooler in winter. The hydrological cycle is practically "shut down" during summer and is characterized by relatively large amounts of runoff in winter. The authors estimate the annual amount of carbon uptake to be 1.94 million metric tons with only 11.9% assimilated during the rainy season. However, if urbanization expands to reach 50% of the total area excluding forests, the annual total carbon uptake will decline by 35% and the July mean temperature would increase only 0.10°C relative to the current situation. In contrast, if urbanization expands to 50% of the total land excluding forests and croplands but all short vegetation is replaced by native broadleaf deciduous trees, the annual carbon uptake would increase by 39% and the July mean temperature would decrease by 0.9°C relative to the current configuration. These results provide guidelines for urban planners and land use managers and indicate possibilities for mitigating the urban heat. © 2009 American Meteorological Society.</t>
  </si>
  <si>
    <t>Bounoua L.; Safia A.; Masek J.; Peters-Lidard C.; Imhoff M.L.</t>
  </si>
  <si>
    <t>https://www.scopus.com/inward/record.uri?eid=2-s2.0-66149151411&amp;doi=10.1175%2f2008JAMC2044.1&amp;partnerID=40&amp;md5=2ba01dcbbb7ccc7fdf19ad1c9e585b09</t>
  </si>
  <si>
    <t>10.1007/s11252-021-01104-8</t>
  </si>
  <si>
    <t>IMPACTS OF STRENGTHENED WARMING BY URBAN HEAT ISLAND ON CARBON SEQUESTRATION OF URBAN ECOSYSTEMS IN A SUBTROPICAL CITY OF CHINA</t>
  </si>
  <si>
    <t>Urban heat island could strengthen the warming trend of air temperature and cause the change of carbon cycle of urban ecosystems. The primary goal of this study was to explore the above phenomena in a subtropical city of Shenzhen. We selected four sites along a thermal gradient of the city and ran an ecological model to simulate hourly gross primary productivity and net ecosystem change of carbon for the purpose of analyzing the difference in the effects of urban heat island on vegetation growth and carbon sequestration. The work was also intended to help us understand future warming effects on carbon cycle of terrestrial ecosystem in subtropical and tropical areas. The results of the modeling experiments showed that strengthened warming temperature by urban heat island could constrain vegetation carbon sequestration in hot seasons and promote vegetation growth in cool seasons. The seasonal sequence of carbon sequestration for the subtropical city was: spring &gt; summer &gt; autumn &gt; winter. For the study period, the maximum amount of monthly carbon sequestration by urban ecosystems happened in May. In summer and autumn, vegetation gross primary productivity and carbon sequestration first increased with the increase in temperature, and then decreased after hourly temperature reached a threshold value. In addition, the number of days with high temperature constraints on vegetation carbon sequestration were significantly higher in the two urban sites than those in the two suburban sites. The above phenomena was driven by the fact that strengthened warming by urban heat island constrained vegetation photosynthesis and transpiration and caused the increase of ecosystem respirations. The above results indicated that the strengthened warming by urban heat island could create additional constraints on carbon sequestration of urban ecosystems in the subtropical regions. The results implied that future global warming may cause the weakening of vegetation carbon sequestration in the subtropical and tropical ecosystems.</t>
  </si>
  <si>
    <t>Wang, Jun; Xiang, Ziyuan; Wang, Weimin; Chang, Wenjing; Wang, Yang</t>
  </si>
  <si>
    <t>https://app.dimensions.ai/details/publication/pub.1135184586</t>
  </si>
  <si>
    <t>10.1007/s10661-023-11910-6</t>
  </si>
  <si>
    <t>INFLUENCE OF URBAN LAND USE TYPES ON ECOSYSTEM SERVICES IN TWO RAPIDLY URBANIZING CITIES OF SOUTHWESTERN NIGERIA</t>
  </si>
  <si>
    <t>Many ecological functions in cities are based on urban soils. In order to meet the needs of the expanding human population and the ensuing strain on natural resources, it is essential for soil-based ecosystems to function. Approximately 80% of the total urban land use in Akure and Okitipupa, Nigeria, are used for commercial, residential, and agricultural purposes. Thus, we investigated the potential of these three urban land use types (ULUTs) to offer a variety of ecosystem services in the two different cities. Soil properties that serve as proxy indicators for four ecosystem services were measured in the ULUTs: hydraulic conductivity (Kunsat) and available soil water for rainwater retention; soil organic carbon (SOC) stock for carbon storage; soil microbial respiration (SMR) for the capacity to support biological activity; and soil compaction (PR) and total nitrogen (TN) for promoting plant growth. The location and ULUT resulted in distinct ecosystem service provisioning. In comparison to Akure, Okitipupa soils had lower PR (1.0 vs 1.1 MPa) but higher Kunsat (36.9 vs 10.3 cm h−1), SOC stock (6.9 vs 5.7 Mg C ha−1), and SMR levels (35.2 vs 23.6 mg CO2-C g−1 soil). Commercial soils exhibited more compaction than residential and agricultural soils but less SOC stock and Kunsat, and TN in both locations. The properties of the urban soils showed that the soils could support a variety of ecosystem services. Different soil properties at the city level led to variations in the potential for ecosystem services in various locations, and these variations were observable in commercial, residential, and agricultural soils. Understanding urban soils would thus necessitate both cross-city comparative studies as well as within-city examinations of the potential for ecosystem services for various urban land use types. © 2023, The Author(s), under exclusive licence to Springer Nature Switzerland AG.</t>
  </si>
  <si>
    <t>Adelana A.O.; Aiyelari E.O.A.; Are K.S.; Oluwatosin G.A.</t>
  </si>
  <si>
    <t>https://www.scopus.com/inward/record.uri?eid=2-s2.0-85173504261&amp;doi=10.1007%2fs10661-023-11910-6&amp;partnerID=40&amp;md5=c17264a8008dbdad32585fc2d9623518</t>
  </si>
  <si>
    <t>10.1371/journal.pone.0225331</t>
  </si>
  <si>
    <t>LAND USE CHANGE, CARBON STOCKS AND TREE SPECIES DIVERSITY IN GREEN SPACES OF A SECONDARY CITY IN MYANMAR, PYIN OO LWIN</t>
  </si>
  <si>
    <t>Myanmar undergoes rapid urban expansion and experiences its negative impacts, often due to the loss of urban green spaces. National and local authorities lack sufficient knowledge, capacity and plans on how to preserve urban green spaces and benefit from their ecosystem services, with such gaps being particularly pronounced in the smaller secondary cities. This study focuses in such as secondary city, Pyin Oo Lwin, and analyzes land use and land cover (LULC) change, tree diversity and carbon stored in aboveground and belowground biomass, and soil. We focus on the main green spaces of the city, which contain different configurations of urban forest, grassland and agricultural land. Remote sensing analysis tracked LULC change between 1988 and 2018, and showed the extensive increase of built-up area, and the decline of urban forests and urban farms. Even though a substantial amount of green spaces has been converted to built-up land, the remaining urban green spaces are still serving as an important habitat for many different tree species, with a total of 82 species from 35 families observed in the different green spaces. Furthermore, these green spaces contain significant carbon stocks, which are, however, highly variable: botanical garden (383.67 t/ha), coffee farms (355.64 t/ha), monasteries (277.14 t/ha), golf course (208.45 t/ha), and seasonal farms (123.22 t/ha). Nevertheless, the extensive LULC change has reduced carbon stocks from 2.41 Mt (1988) to 1.65 Mt (2018). The findings of this study provide a better understanding of LULC change in secondary cities of Myanmar, and build an evidence base on how urban green spaces preservation and green infrastructure development can contribute to green economic transitions, and sustainable, resilient, and low-carbon cities in the country.</t>
  </si>
  <si>
    <t>Helen; Jarzebski, Marcin Pawel; Gasparatos, Alexandros</t>
  </si>
  <si>
    <t>https://app.dimensions.ai/details/publication/pub.1122919854</t>
  </si>
  <si>
    <t>LANDSCAPE AND SUSTAINABILITY: THREE RESIDENTIAL COLLEGE BUILDINGS IN THE TROPICS</t>
  </si>
  <si>
    <t>Three residential colleges located in a university campus at the capital city of Kuala Lumpur and built in different decades were selected for landscape studies with respect to species and position of the trees, as well as the effects of the current landscapes as a shelter in reducing solar radiation on buildings, as a pre-assessment for the Low Carbon Cities Framework (LCCF) and assessment system. These landscape designs were carefully studied through on-site observation. The name and location of the matured plants were redrawn and visualised with standard normal photographs. The studies revealed that the old residential college landscape is dominated by tropical forest trees which are able to provide a significant shade to the buildings and offered a potential to achieve sustainable development due to a higher rate of carbon sequestration. While, palm and hybrid fruit plants were most extensively cultivated in the landscape of new residential colleges due to low maintenance and being fast growing.</t>
  </si>
  <si>
    <t>Jamaludin, AA; Keumala, N; Ariffin, ARM; Hussein, H</t>
  </si>
  <si>
    <t>10.1016/j.scitotenv.2024.176690</t>
  </si>
  <si>
    <t>LIFE CYCLE ASSESSMENT OF COMMON URBAN TREES - THE ENVIRONMENTAL PERFORMANCE OF THREE MEDITERRANEAN CITIES</t>
  </si>
  <si>
    <t>Given the increasing pressure from extreme events due to climate change, the planting of new trees has become a priority in the political agendas of cities. However, the rush to plant trees often fails to account for the reduced performance and lifespan of trees in heavily urbanized areas and the environmental impact of their production, maintenance, and eventual disposal. By means of the Life Cycle Analysis, this study aims to investigate the potential environmental benefit and impact of trees planted in three European cities located in Mediterranean areas (Perugia, Thessaloniki, and Cascais), that have adhered to the management guidelines of the LIFE Clivut project. The environmental performance of each tree is mainly affected by the tree management operations performed, by the climatic conditions, and by the tree performance in carbon dioxide (CO2) uptake and Particulate matter (PM) capture. The impact assessment obtained by ReCiPe 2016 Endpoint (H) methodology evidenced that the trees' beneficial effects widely overcome the impact of the operations carried out during the tree management. Broadleaved species showed an average environmental performance higher than conifers. The best results have been obtained by Tilia cordata Mill., Quercus ilex L., Populus spp. and Celtis australis L. in the case of broadleaved trees, and by Calocedrus decurrens (Torr.) Florin and Cedrus spp. for Conifers. The results of the Environmental Footprint (EF 3.1) method highlighted the urban trees' potentiality to mitigate Human Health problems and to improve Ecosystem Quality. Future studies may explore other management scenarios to optimize energy and materials use, reduce emissions, hence obtaining an increase of the environmental benefit for the urban areas. Copyright © 2024 The Authors. Published by Elsevier B.V. All rights reserved.</t>
  </si>
  <si>
    <t>Muscas D.; Petrucci R.; Orlandi F.; Torre L.; Fornaciari M.</t>
  </si>
  <si>
    <t>https://www.scopus.com/inward/record.uri?eid=2-s2.0-85209828817&amp;doi=10.1016%2fj.scitotenv.2024.176690&amp;partnerID=40&amp;md5=71199cf9d8eae1e0807d64a04fec204e</t>
  </si>
  <si>
    <t>10.5194/egusphere-egu23-12461</t>
  </si>
  <si>
    <t>MACHINE LEARNING BASED TWO-STEP URBAN TREE CARBON STORAGE ESTIMATION FUSING AIRBORNE LIDAR, AND SENTINEL-2</t>
  </si>
  <si>
    <t>Urban trees are important carbon sink in human settlements by absorbing carbon dioxide and storing them as biomass. As urban areas continue to expand, quantification of carbon storage (CS) in human settlements is becoming important. Usually, urban tree CS is extrapolated using total tree area statistics and carbon stocks per unit area. However, since urban trees show large variability due to diverse growing conditions, additional information such as vegetation vitality or three-dimensional structures should be considered in CS estimation. This study suggests a new two-step approach to estimate urban tree CS using forest tree carbon stocks and then correcting it to human settlements via machine learning (ML) regression models and remote sensing data. First, urban tree CS was estimated using a high-resolution urban tree canopy cover map which classified by deep-learning approach and forest tree carbon stocks which were calculated using merchantable growing stocks and biomass expansion factor (Step 1 CS). Second, urban tree CS was estimated via ML models using Step 1 CS, Sentinel-2 images, and airborne light detection and ranging (LiDAR) measurement as independent variables. As dependent variable, the field-measured CS values calculated using allometric equations and field-measured diameter at breast height using terrestrial LiDAR were utilized. Step 2 CS using random forest showed the best performance with a correlation coefficient of 0.90 and a root-mean-squared-error of 0.48. Tree height and normalized difference vegetation index appeared as important variables in estimating urban tree CS. Suggested model can estimate urban tree CS more sophisticatedly and spatially explicitly. The output, high-resolution urban tree CS map, can be used in urban planning to achieve carbon neutrality and pleasant urban environment.</t>
  </si>
  <si>
    <t>Lee, Yeonsu; Son, Bokyung; Im, Jungho</t>
  </si>
  <si>
    <t>https://app.dimensions.ai/details/publication/pub.1155749799</t>
  </si>
  <si>
    <t>10.1016/j.cscee.2023.100344</t>
  </si>
  <si>
    <t>MAPPING AND ASSESSMENT OF CARBON SEQUESTRATION POTENTIAL AND ITS DRIVERS IN THE EASTERN HIMALAYAN REGION (INDIA)</t>
  </si>
  <si>
    <t>Eastern Himalayan Region (EHR) is a biodiversity hotspot and an ecologically sensitive area. In the last few years, climate change, land use, and land cover (LULC) have substantially affected forest ecosystems and their capacity to store carbon. Therefore, understanding the impacts of these drivers of change on carbon sequestration (CS) is essential. This study aims to assess the spatiotemporal pattern of carbon sequestration in EHR between 2000 and 2020 using net primary production (NPP) as a proxy. NPP was extracted from Moderate Resolution Imaging spectroradiometer (MODIS) data. The impact of natural and human factors on the NPP distribution were also assessed using regression analysis. The results showed that the areas with good NPP (relatively high ecosystem productivity) increased by 12% from 2000 to 2020. Conversely, the areas with poor NPP (relatively low ecosystem productivity) decreased from 39.92% (2000) to 34.42% (2020). The normalized difference vegetation index (NDVI) increased in the last 20 years (15% from 2000 to 2020). Land surface temperature (LST) increased pre-monsoon and decreased post-monsoon (winter). The correlation analysis showed that urban population growth (r = −0.464) and LST (r = −0.393) negatively impacted NPP. On the other hand, NDVI (r = 0.857), vegetation cover (VC) (r = 0.679), and human development index (HDI) (r = 0.741) had a positive correlation with NPP. Multiple linear regression (MLR) models showed that human (urbanisation and total population growth) and natural (such as VC) factors significantly impacted NPP. The total population growth had a weak positive relationship with NPP (r = 0.143). NPP increase can be attributed to effective management strategies (e.g., restoration).</t>
  </si>
  <si>
    <t>Das, Manob; Mandal, Ashis; Das, Arijit; Inácio, Miguel; Pereira, Paulo</t>
  </si>
  <si>
    <t>https://app.dimensions.ai/details/publication/pub.1156710989</t>
  </si>
  <si>
    <t>10.1007/s12517-021-06726-y</t>
  </si>
  <si>
    <t>MODELING URBAN DYNAMICS AND CARBON SEQUESTRATION IN ADDIS ABABA, ETHIOPIA, USING SATELLITE IMAGES</t>
  </si>
  <si>
    <t>Change in land cover is a global concern of the twenty-first century. The extreme involvement of humans for its existence plays a dynamic role in the process of this change. The spatio-temporal analysis of urban land cover change helps us to understand the dynamics of the changing environment and to predict how the changes could happen in the future. In Ethiopia, several studies have shown a steady increase in the number of unplanned urban settlements at the expense of agricultural and forest land. In the present study, the authors have analyzed the spatio-temporal trends of urban growth dynamics and its effect on carbon sequestration potential in Addis Ababa city, Ethiopia, for the last three decades (1988–2018) and modeled the same for 2028–2038. LANDSAT images for 1998–2018, at a gap of 10 years, were used to study the changes in the land cover for the period. After pre-processing, supervised classification techniques with maximum likelihood algorithm were used to process the images. The classified images were assessed for their overall classification accuracy which was found to be 85.5% with a kappa coefficient of 0.78. This was used to model the land cover map for 2028 and 2038 using a combined model of Markov chain analysis and cellular automata. The InVEST model was used to estimate the carbon sequestration potential in a terrestrial ecosystem by using carbon coefficient of carbon pools, whose values were taken from various published reports for the study area. The classification study shows that the built-up and transport area increased from 10,345.9 ha in 1988 to 27,684.2, at the end of 2018. In contrast, agricultural and grassland decreased from 32,894.3 to 15,823 ha for the same period. Other land cover classes did not show any significant change. Modeled land cover for 2028 and 2038 shows that, if the trend continued for the next two decades, most of other land cover classes shall be converted to built-up and transport area. This modeled reduction in the coverage area of forest, agricultural, and grassland would further lead to a decline in terrestrial carbon sequestration potential. According to this study, the authors conclude that there is already a significant change in the land cover of the study area, which is a cause for concern. If suitable measures are not taken soon, this would end in leaving no space for vegetation and forests. This would, due to a decline in carbon sequestration, further intensify different environmental, socio-economic, and public health problems and prevent the healthy growth of the city. Hence, the policymakers and other stakeholders should work together to decide how land should be used in future so that sustainable development is achieved keeping a balance between growth and environment.</t>
  </si>
  <si>
    <t>Abdo, Ziyad Ahmad; Satyaprakash</t>
  </si>
  <si>
    <t>https://app.dimensions.ai/details/publication/pub.1136163404</t>
  </si>
  <si>
    <t>10.1016/j.ecolind.2023.110902</t>
  </si>
  <si>
    <t>MULTI-SCENARIO SIMULATION OF SPATIAL STRUCTURE AND CARBON SEQUESTRATION EVALUATION IN RESIDENTIAL GREEN SPACE</t>
  </si>
  <si>
    <t>As an important component of urban green space, residential green space is crucial in improving the carbon sequestration performance of urban ecosystem. At present, there is a lack of spatial analysis on the carbon sequestration performance of residential green space. Taking the main urban area of Nanjing as an example, the study firstly adopted ENVI-met, normalized difference vegetation index (NDVI) and net primary productivity (NPP) remote sensing estimation model to calculate the carbon sequestration performance of residential green space, and then carried out the coupling analysis on the results with the spatial characteristics of green space. Results showed that the residential green space with scattered layout present higher carbon sequestration performance; the ratio of trees and shrubs was the most critical factor affecting the carbon sequestration performance of residential green space; a suitable microclimate environment was a prerequisite to ensure high carbon sequestration performance of green space. The study revealed the spatial characteristics of residential green space that affected carbon sequestration performance, and provided a new method to calculate carbon sequestration performance of green space at microclimate scales, which pointed out a new direction for future sustainable urban development.</t>
  </si>
  <si>
    <t>Dong, Hangna; Chen, Yu; Huang, Xiancheng; Cheng, Shuoqi</t>
  </si>
  <si>
    <t>https://app.dimensions.ai/details/publication/pub.1163819886</t>
  </si>
  <si>
    <t>MULTI-SENSOR SATELLITE DATA FOR CARBON STORAGE MAPPING OF GREEN SPACE IN A FAST GROWING DEVELOPMENT CORRIDOR IN MALAYSIA</t>
  </si>
  <si>
    <t>Disturbances such as deforestation and land use change on natural vegetation have caused carbon dioxide (CO2) emission to the atmosphere which contributes to global warming and climate change. Malaysia has started to take necessary steps to mitigate the potential impact of increased CO2 and integrating the green infrastructure into urban planning is a way to go. Green space in urban environment provides a variety of benefits to the community by sequestrating carbon, absorbing urban emissions and producing oxygen. In this study we quantified the carbon storage capacity of various green spaces, namely forests, mangroves and urban parks by biometric measurements and remote sensing techniques at a rapidly developing economy region in Iskandar Malaysia (IM) in the southern Peninsular Malaysia that covers an area of 2,217 km2. Satellite imageries such as RapidEye and Advanced Land Observing Satellite phased Array type L-band Synthetic Aperture Radar) were used for mapping the carbon content of different vegetation in IM. The spatial distribution of carbon storage shows that mangroves contribute the largest amount of carbon storage in IM with 0.437M t C and this is mainly due to their vast area (8382 ha). This is followed by tropical forest (0.185M t C). However, tropical forest has the highest carbon density with 161.7 tC ha-1 compared to mangroves (52.1 tC ha-1). In general, trees in urban parks have lower carbon storage (ranging between 32.63 tC ha-1 to 48.81 tC ha-1) compared to forests and mangrove. In total, these vegetation types in IM remove ∼2.29 M tCO2eq. Green space in IM was found to remove about 3% of carbon emitted to the air in IM. These results suggest that the government must make firm policies to increase more green cover in the urban areas and to preserve the existing green space for improving environmental quality for people and supporting biodiversity conservation.</t>
  </si>
  <si>
    <t>Kanniah K.D.</t>
  </si>
  <si>
    <t>https://www.scopus.com/inward/record.uri?eid=2-s2.0-85018454751&amp;partnerID=40&amp;md5=1fe0c60e617d1bd092e95bcda52d6c29</t>
  </si>
  <si>
    <t>10.1088/1755-1315/1220/1/012038</t>
  </si>
  <si>
    <t>NATURE AND CITY IN SYNC: A STUDY ON THE CARBON SEQUESTRATION POTENTIAL OF URBAN TREES IN A BROWNFIELD REDEVELOPMENT IN FTI COMPLEX, TAGUIG CITY, PHILIPPINES</t>
  </si>
  <si>
    <t>Redevelopment of brownfields, such as former industrial sites, has the potential to adopt sustainable development strategies while retaining its cultural significance and adjunct with the UN Sustainable Development Goals for sustainable cities and communities. Increasing the carbon sequestration effect is one of the many ecosystem services provided by integrating trees acclimatized to urban environments. The study aims to determine how much total carbon sequestration potential can be achieved by the existing and newly-introduced trees in a brownfield redevelopment in FTI Complex, Taguig City, Philippines. It is a 74-hectare property, formerly an industrial food processing facility, turned into a mixed-use development. A tree inventory was created by mapping the existing trees pre-development, the lost trees due to land preparation, and the newly-introduced trees. The biomass values were assumed for one tree species, and the data resulted in a net gain corresponding to a 1,002% increase in carbon sequestration potential in a 50-year period. While still an ongoing development, trees take time to mature and there is a need to address carbon emissions before the trees reach their optimum carbon sequestration potential. Upon maturity, they will contribute to further improving the site’s ecosystem services, thereby making the former brownfield a sustainable development.</t>
  </si>
  <si>
    <t>Guzman, J P M; Navarra, N L</t>
  </si>
  <si>
    <t>https://app.dimensions.ai/details/publication/pub.1162995829</t>
  </si>
  <si>
    <t>10.53550/eec.2023.v29i01.028</t>
  </si>
  <si>
    <t>OPTIMIZATION FOR CARBON FOOTPRINT IN AN INSTITUTIONAL CAMPUS</t>
  </si>
  <si>
    <t>Development of environmentally sustainable cities is the need of today’s fast urbanizing India.  By 2050 nearly half the Indian population will be living in urban areas. Urban activities have increased the atmospheric Carbon Dioxide (CO2), and will continue to increase. Indian cities are major producers of CO2, but are not planned for enough Carbon Storage to compensate their own Carbon Footprints. It is imperative to maintain the ‘‘balance’’ between the Carbon emission and Sequestration to achieve environmental sustainability. Any process that removes CO2 from the atmosphere and deposits it in a reservoir of any particular type (plant material, wood, soil, etc) is termed as ‘Carbon Sequestration’. The Trees make the withdrawal of CO2 from the atmosphere with the process of photosynthesis and store it in the form of growing plant material. Around 5%-21% of total photosynthetically fixed Carbon is transferred into the rhizosphere through root exudates. This study constitutes an estimation of standing biomass in the form of Plants and Trees, and the Carbon Sequestration by them at the institutional campus – ‘Udhaji Maratha Boarding Campus, Nasik’. Objective is to find their value in environmental optimization w.r.t. CO2 footprint of the campus. This study tries to estimate (i) CO2 Sequestration by existing plant material, (ii) required Sequestration as per the current Carbon footprint of the users. Further this research projects the Carbon Sequestration in the future by the current vegetation after its 100% growth.</t>
  </si>
  <si>
    <t>Baste, Prajakta; Thakare, Ar. Hemant</t>
  </si>
  <si>
    <t>https://app.dimensions.ai/details/publication/pub.1157062853</t>
  </si>
  <si>
    <t>10.9734/ijecc/2022/v12i1131012</t>
  </si>
  <si>
    <t>OXYGEN PRODUCTION AND CARBON CAPTURING CAPACITY OF VARIOUS TREE SPECIES IN COIMBATORE CITY, INDIA</t>
  </si>
  <si>
    <t>Climate change, environment pollution, rapid urbanization and industrialization have been recognized as major environmental threats of the present-day scenario. These environmental issues cause severe socio-economic implications across the globe. The living space and human settlements are increasing rapidly in urban areas of India. Simultaneously the existing green cover and tree population are declining in the name of developments. Trees are considered to be one of the important assets in cities, they provide myriad benefits. Considering the importance of trees the cities and their role in reducing the pollution besides adding fresh oxygen to the atmosphere, the present investigation focused with the aim of documenting various tree species in Coimbatore city and to assess their carbon capturing and oxygen release potential. There are about 58 tree species comprising of 27 families, that have been documented and classified into four age classes. Further these tree species were subjected to total biomass, carbon stock, CO2 (eq.), net carbon sequestration and net oxygen release assessment using standard non-destructive method. Among the 58 tree species studied, Albizia lebbeck (2.745 ton tree-1year-1), Tamarindus indica (2.156 ton tree-1year-1), Parkia biglandulosa (1.921 ton tree-1year-1), Delonix regia (1.027 ton tree-1year-1), Kigelia Africana (1.009 ton tree-1year-1), Peltophorum pterocarpum (1.006 ton tree-1year-1), Ficus religiosa (0.906 ton tree-1year-1), Leucaena leucocephala (0.804 ton tree-1year -1) of net oxygen were found to release, Pterospermum acerifolium (0.827 ton tree-1year-1) and Azadirachta indica (0.804 ton tree-1year-1) were found to release high oxygen with more carbon capturing capacity.</t>
  </si>
  <si>
    <t>Gowtham, S.; Prasanthrajan, M.; Maheswari, M.; Sritharan, N.; Rajkishore, S. K.; Keerthana, S.</t>
  </si>
  <si>
    <t>https://app.dimensions.ai/details/publication/pub.1149752836</t>
  </si>
  <si>
    <t>10.1080/24749508.2018.1508981</t>
  </si>
  <si>
    <t>PATTERNS OF LAND-USE CHANGE AND CURRENT VEGETATION STATUS IN PERI-URBAN FOREST RESERVES: THE CASE OF THE BAROMBI MBO FOREST RESERVE, CAMEROON</t>
  </si>
  <si>
    <t>Creation of protected areas is a cornerstone of nature conservation. However, with increasing population, the pressure on land for agriculture increases, especially in peri-urban areas. We investigated land-use changes in a peri-urban forest reserve subject to anthropogenic influence and assessed the extant plant community structure through various indices. The results show that there is active forest conversion into farmland, and this conversion affects surrounding waterbodies as well. A new guild of species dominates under anthropogenic activity and comprises cocoa farms and mosaic forest. Cocoa Farms were more diverse (H = 3.08) than Dense Forest (H = 2.75) yet both were strikingly dissimilar with high carbon stocks in Cocoa Farm (128 Mg/Ha) compared to Dense Forest (51.6 Mg/ha) indicating that the forest is highly degraded. Land cover change predictions indicate further increase in forest conversion to farmland and accommodation. Our results show that legislating protected areas needs to be accompanied by consistent monitoring, and poverty alleviation alternatives that relieve pressure from forests, if conservation is to be successful.</t>
  </si>
  <si>
    <t>Fonge, Beatrice Ambo; Tabot, Pascal Tabi; Bakia, Mor-Achankap; Awah, Che Clovis</t>
  </si>
  <si>
    <t>https://app.dimensions.ai/details/publication/pub.1106161205</t>
  </si>
  <si>
    <t>POTENTIAL DEVELOPMENT FOR ABSORPTION OF CARBON AND REDUCED AIR POLUTIONBY URBAN FOREST : IMPLEMENTATION USING REMOTE SENSING METHOD IN BANJARBARU, SOUTH KALIMANTAN, INDONESIA</t>
  </si>
  <si>
    <t>Banjarbarucity - located in South Kalimantan province, Indonesia - has high temperatures average and rain intensity. Those cause various disasters and adverse impacts on human life. Moreover, high urbanization and infrastructure development contribute landcover change and the increase of non-vegetation landcover. Air pollution from transportation needs to be reduced by developing urban forest in order to absorb carbon and pollution in the air. The purpose of this study is to explore how remote sensing method helps identification recent urban forest as the basis for further development in the city of Banjarbaru.</t>
  </si>
  <si>
    <t>Akuarin T.T.; Jauhari A.; Raharjo B.</t>
  </si>
  <si>
    <t>https://www.scopus.com/inward/record.uri?eid=2-s2.0-84879761732&amp;partnerID=40&amp;md5=8d22bbfbf9292ad6bd6f001b5074dfce</t>
  </si>
  <si>
    <t>10.1016/j.landurbplan.2019.05.008</t>
  </si>
  <si>
    <t>POTENTIAL FOR SUSTAINABLE USE OF TREES IN HOT ARID REGIONS: A CASE STUDY OF EMIRATI NEIGHBORHOODS IN ABU DHABI</t>
  </si>
  <si>
    <t>This paper explores the future of landscapes in arid, coastal regions based on 4 water-energy regimes, using a case study of villa neighborhoods in Abu Dhabi, United Arab Emirates. It examines the potential for the planting of 15 selected tree species for carbon storage under various water-energy regimes to create carbon neutral (or negative) villa neighborhoods. Recent improvements to solar photovoltaic and reverse-osmosis desalination technology have lowered the carbon emissions for water production by over 99% relative to current gas-powered multi-stage flash desalination (0.08 kg CO2/m3 vs.12.8 kg CO2/m3). This allows trees planted in hot, desert climates to utilize treated ocean water while net sequestering between 1.7 and 38.2 kg C/tree/yr depending on species. When planted in existing neighborhood open spaces, we find that net carbon storage rates from trees are significant (15–800%) relative to operational emissions rates for building energy (cooling, lighting, equipment) when households are supplied from 100% renewable energy sources. Thus, as technology advances, landscape design strategies in the region could evolve to maximize planting to sequester carbon while also creating more comfortable outdoor spaces that enhance the livability of neighborhoods. This study provides a first step in identifying the potential for landscape architectural design to employ a tree-based, neighborhood scale, carbon storage strategy in arid regions such as those in the Arabian Peninsula. As nations move towards a carbon-neutral future, it is imperative to develop innovative solutions that address urban sustainability, especially in resource-challenged and extreme climate regions where new urban development is planned.</t>
  </si>
  <si>
    <t>Birge, David; Mandhan, Sneha; Qiu, Waishan; Berger, Alan M.</t>
  </si>
  <si>
    <t>https://app.dimensions.ai/details/publication/pub.1117160107</t>
  </si>
  <si>
    <t>10.5194/egusphere-egu2020-3206</t>
  </si>
  <si>
    <t>PRUNING INTENSITY OF STREET TREES AND ASSOCIATED EFFECTS ON ECOSYSTEM SERVICES</t>
  </si>
  <si>
    <t>Urban street trees provide multiple ecosystem services to city residents. In the Taipei city of Taiwan, street tree pruning is periodically applied due to disastrous prevention of typhoons or storms. To understand how pruning intensity affects the value of ecosystem services, we evaluated the changes of ecosystem services provided by a total of 87,014 street trees in Taipei in terms of pollution removal, carbon storage, gross carbon sequestration, and runoff avoidance. The current status of each ecosystem service was calculated using i-Tree Eco developed by US Forest Service based on the street tree inventory conducted by Parks and Street Lights Office, Taipei City Government during 2015 to 2017. Inventory information included tree species, diameter at breast height (DBH), tree height, and their locations. To simulate pruning intensity from 10% to 100%, we adjusted the crown missing rate from the current canopy cover estimated by DBH and tree height and quantified their associated effects on the ecosystem services. Then, for comparison purposes, each ecosystem service was transformed into monetary values using US market value of water, carbon, air pollution removal, and electricity. Our analysis showed that the Taipei street trees currently hold a relatively stable age structure with lower risk of disease or pest outbreak. These trees were estimated to deliver ecosystem services of equivalent value of 5.6 million USD, to which 4.97 million USD was contributed by carbon storage. Based on the pruning intensity simulation, we suggest a 20% or lower pruning intensity considering street trees’ impairment and physiology, to maximize the ecosystem service values. We also recommend landscape managers to monitor and assess the growth and health of the street trees to promote sustainable development in the Taipei city.</t>
  </si>
  <si>
    <t>Cheng, Su-Ting; Wei, Shuo</t>
  </si>
  <si>
    <t>https://app.dimensions.ai/details/publication/pub.1125537615</t>
  </si>
  <si>
    <t>10.18811/ijpen.v9i01.03</t>
  </si>
  <si>
    <t>QUANTIFYING CARBON STOCK AND TREE SPECIES DIVERSITY OF GREEN INFRASTRUCTURE OF VARANASI, INDIA</t>
  </si>
  <si>
    <t>The world is undergoing rapid urbanization and experiencing its negative impacts, often due to the loss of urban green infrastructure. This study focuses on the green infrastructure of Varanasi city, India, and analyses current tree species diversity, and carbon storage in aboveground and belowground biomass and soil. The study calculated the biomass of urban green infrastructure because it serves as a carbon stock reservoir. As random sampling, data were collected from 24 sample plots across various urban green infrastructure sites via rigorous fieldwork. The biomass was then recorded using a non-destructive approach and a standard equation by King et al.2006. The diversity of tree species was recorded across urban green infrastructure sites, and was found to be higher in the BHU site, and lower in the MA site. The Pielou’s evenness index and Margellef’s richness index were found to be higher in the BHU site, while they were found to be lower in UPAC and MA sites, respectively. Aboveground biomass and total carbon stock were found to be high in the BLW site, with values of 1939.84 ton/ha and 7806 ton/ha, respectively, with trees having a larger girth circumference being the primary contributors. The findings of this study prove a better understanding of tree species diversity, biomass, and carbon stock of different green infrastructure sites of Varanasi city and generate evidence on how urban green space preservation and green infrastructure development may help to the countries' green economic transformation and sustainable, resilient, and low-carbon cities.</t>
  </si>
  <si>
    <t>Singh, Ashutosh K.; Singh, Jamuna S.; Singh, Hema; Mishra, Rohit K.</t>
  </si>
  <si>
    <t>https://app.dimensions.ai/details/publication/pub.1163626912</t>
  </si>
  <si>
    <t>Quantifying carbon storage potential of urban plantations and landscapes in Muscat, Oman</t>
  </si>
  <si>
    <t>10.1007/s00704-024-05000-x</t>
  </si>
  <si>
    <t>QUANTIFYING SPATIAL DYNAMICS OF URBAN SPRAWL FOR CLIMATE RESILIENCE SUSTAINABLE NATURAL RESOURCE MANAGEMENT BY UTILIZING GEOSTATISTICAL AND REMOTE SENSING TECHNIQUES</t>
  </si>
  <si>
    <t>Urbanization is a complex phenomenon that has a profound impact on natural resources, economies, climate dynamics, and community structures. This study sets out to analyze the effects of urban sprawl on key urban regions in Bangladesh, covering urban, suburban, and rural landscapes. We used Landsat images from 1992 to 2022, processed and classified using the Google Earth Engine and Random Forest algorithm. Spatial metrics, Tupu method, ANOVA, and spatial regression models helped us quantify and explain land cover changes, their drivers, and consequences. Our findings show that the total built-up area in the five districts expanded from 1,200 km2 in 1992 to 2,800 km2 in 2022, with an overall yearly expansion rate of 3.5%. Meanwhile, vegetation cover declined from 2,500 km2 in 1992 to 1,500 km2 in 2022, with an average yearly loss rate of 2.5%. We identified population growth, economic development, and infrastructure expansion as the main drivers of urbanization, while land degradation, air and water pollution, and loss of biodiversity were the main consequences. Urbanization also had a significant impact on environmental functions, including carbon sequestration, water flow control, and urban heat mitigation, with varying effects across different urban areas and land use types. For instance, we found that carbon storage capacity decreased by 20% in urban areas, while it increased by 10% in rural areas. Our research highlights the crucial role of preserving and enhancing green spaces, including vegetation cover and water bodies, to mitigate urban heat and promote urban resilience. The findings underscore the need for sustainable urbanization, balancing economic growth with environmental protection and climate resilience, using geospatial and remote sensing techniques.</t>
  </si>
  <si>
    <t>Fariha, Jannatun Nahar; Miah, Md Tanvir; Limon, Zamil Ahamed; Alsulamy, Saleh; Kafy, Abdulla Al; Rahman, SK Nafiz</t>
  </si>
  <si>
    <t>https://app.dimensions.ai/details/publication/pub.1171706548</t>
  </si>
  <si>
    <t>10.3389/ffgc.2021.676691</t>
  </si>
  <si>
    <t>RECENT CARBON STORAGE AND BURIAL EXCEED HISTORIC RATES IN THE SAN JUAN BAY ESTUARY PERI-URBAN MANGROVE FORESTS (PUERTO RICO, UNITED STATES)</t>
  </si>
  <si>
    <t>Mangroves sequester significant quantities of organic carbon (C) because of high rates of burial in the soil and storage in biomass. We estimated mangrove forest C storage and accumulation rates in aboveground and belowground components among five sites along an urbanization gradient in the San Juan Bay Estuary, Puerto Rico. Sites included the highly urbanized and clogged Caño Martin Peña in the western half of the estuary, a series of lagoons in the center of the estuary, and a tropical forest reserve (Piñones) in the easternmost part. Radiometrically dated cores were used to determine sediment accretion and soil C storage and burial rates. Measurements of tree dendrometers coupled with allometric equations were used to estimate aboveground biomass. Estuary-wide mangrove forest C storage and accumulation rates were estimated using interpolation methods and coastal vegetation cover data. In recent decades (1970-2016), the highly urbanized Martin Peña East (MPE) site with low flushing had the highest C storage and burial rates among sites. The MPE soil carbon burial rate was over twice as great as global estimates. Mangrove forest C burial rates in recent decades were significantly greater than historic decades (1930-1970) at Cañno Martin Peña and Piñones. Although MPE and Piñones had similarly low flushing, the landscape settings (clogged canal vs forest reserve) and urbanization (high vs low) were different. Apparently, not only urbanization, but site-specific flushing patterns, landscape setting, and soil fertility affected soil C storage and burial rates. There was no difference in C burial rates between historic and recent decades at the San José and La Torrecilla lagoons. Mangrove forests had soil C burial rates ranging from 88 g m-2 y-1 at the San José lagoon to 469 g m-2 y-1 at the MPE in recent decades. Watershed anthropogenic CO2 emissions (1.56 million Mg C y-1) far exceeded the annual mangrove forest C storage rates (aboveground biomass plus soils: 17,713 Mg C y-1). A combination of maintaining healthy mangrove forests and reducing anthropogenic emissions might be necessary to mitigate greenhouse gas emissions in urban, tropical areas.</t>
  </si>
  <si>
    <t>Wigand, Cathleen; Eagle, Meagan; Branoff, Benjamin L.; Balogh, Stephen; Miller, Kenneth M.; Martin, Rose M.; Hanson, Alana; Oczkowski, Autumn J.; Huertas, Evelyn; Loffredo, Joseph; Watson, Elizabeth B.</t>
  </si>
  <si>
    <t>https://app.dimensions.ai/details/publication/pub.1138655884</t>
  </si>
  <si>
    <t>10.1088/1755-1315/18/1/012151</t>
  </si>
  <si>
    <t>REMOTE SENSING ASSESSMENT OF CARBON STORAGE BY URBAN FOREST</t>
  </si>
  <si>
    <t>Urban forests play a crucial role in mitigating global warming by absorbing excessive CO2 emissions due to transportation, industry and house hold activities in the urban environment. In this study we have assessed the role of trees in an urban forest, (Mutiara Rini) located within the Iskandar Development region in south Johor, Malaysia. We first estimated the above ground biomass/carbon stock of the trees using allometric equations and biometric data (diameter at breast height of trees) collected in the field. We used remotely sensed vegetation indices (VI) to develop an empirical relationship between VI and carbon stock. We used five different VIs derived from a very high resolution World View-2 satellite data. Results show that model by [1] and Normalized Difference Vegetation Index are correlated well (R2 = 0.72) via a power model. We applied the model to the entire study area to obtain carbon stock of urban forest. The average carbon stock in the urban forest (mostly consisting of Dipterocarp species) is ~70 t C ha−1. Results of this study can be used by the Iskandar Regional Development Authority to better manage vegetation in the urban environment to establish a low carbon city in this region.</t>
  </si>
  <si>
    <t>Kanniah, K D; Muhamad, N; Kang, C S</t>
  </si>
  <si>
    <t>https://app.dimensions.ai/details/publication/pub.1018357663</t>
  </si>
  <si>
    <t>10.17660/ActaHortic.2022.1345.10</t>
  </si>
  <si>
    <t>RESILIENCE AND RESISTANCE OF VITICULTURAL BIODIVERSITY IN THE URBAN ECOSYSTEM: THE CASE OF THE GRAPEVINE COLLECTION OF THE BOTANICAL GARDEN OF ROME</t>
  </si>
  <si>
    <t>Urban viticulture, a globally growing phenomenon, is gaining interest as a strategic multifunctional land use for sustainable cities. In the urban ecosystem, vineyards may represent: i) an economic system that supports short supply chains, ii) a land use that provides essential ecosystem services for well-being and quality of life, like carbon storage, biodiversity maintenance, soil health, food education, social integration; iii) a place of cultural significance, iv) a landscape of appreciated aesthetic value. The knowledge of plant-environment relations becomes essential to ensure resilience, productivity, and ecosystem functions of the agricultural systems in an urban context. The city of Rome together with its peri-urban Roman ager is one of the largest European agricultural municipalities. Inside the Botanical Garden of Rome there is the ‘Italian vineyard’, a core collection of 149 Italian and international grapevine cultivars, managed according to the principles of organic agriculture. This urban vineyard has been subjected to eco-physiological assessments to understand the response of the grapevine biodiversity to the physical extreme features of the urban environment, especially in relation to the thermal and radiative regimes. The analyses conducted on the vine collection during the 2020-2021 season involved: i) the characterization of the vineyard microclimate through bioclimatic indices; ii) the vegetative-productive response to the urban environment of a set of genotypes; iii) the measure of gas exchange efficiency and response to radiative stress. The climatic study highlighted the increasing occurrence of extreme thermal events. The physiological determinations allowed to group the grapevine cultivars based on stomatal conductance and evolution of leaf senescence, and therefore on the basis of their tolerance to the urban environment. The preliminary results provide indications for a sustainable use of genetic resources in urban viticulture and strategies to increase the resilience and adaptability of Vitis vinifera to the urban ecosystem. © 2022 International Society for Horticultural Science. All rights reserved.</t>
  </si>
  <si>
    <t>Biasi R.; Brunori E.; Moresi F.V.; Maesano M.; Cipriani F.; Carpentieri S.; Rossetti L.; Attorre F.</t>
  </si>
  <si>
    <t>https://www.scopus.com/inward/record.uri?eid=2-s2.0-85141873073&amp;doi=10.17660%2fActaHortic.2022.1345.10&amp;partnerID=40&amp;md5=7695a3fad61ca18fe75503361182a3d6</t>
  </si>
  <si>
    <t>10.1080/00049180903127754</t>
  </si>
  <si>
    <t>RETROFITTING THE SUBURBAN GARDEN: MORPHOLOGIES AND SOME ELEMENTS OF SUSTAINABILITY POTENTIAL OF TWO AUSTRALIAN RESIDENTIAL SUBURBS COMPARED</t>
  </si>
  <si>
    <t>Residential gardens will continue to dominate as important elements of Australian suburbs in the timeframe available for adapting to climate change. In this paper, we analyse and compare the morphologies and sustainability potential of residential suburbs and their gardens in two case studies: Traditional-suburban and Modern-suburban in the Illawarra region of New South Wales. Spatial distributions of land-cover patterns were estimated using Geographic Information Systems (ArcGIS). The four sustainability parameters measured were: roof rain water collection; local food (vegetable) production; energy and CO2 emission savings from clothes lines; and carbon benefits of onsite tree canopy cover. Outcomes suggest that land cover such as tree canopy cover and other permeable and impermeable surfaces in garden spaces can significantly impact on sustainability. Impermeable surface cover is higher in the Modern-suburban compared to the Traditional-suburban development. Traditional-suburban is more capable of supporting environmental and ecological functions through better connectivity of green spaces and availability of onsite land areas for local food production. Modern-suburban has more capacity for roof rainwater collection due to larger building roof sizes, provided there is planning for sufficient tank spaces in the design phases. These results identify specific characteristics of two suburban forms which could make positive contributions to suburban sustainability. However, changes in behaviour would be essential to utilise these capabilities of suburban environments.</t>
  </si>
  <si>
    <t>Ghosh, S; Head, L</t>
  </si>
  <si>
    <t>10.1007/s12517-025-12210-8</t>
  </si>
  <si>
    <t>SCENARIO-BASED MODELLING OF CARBON STORAGE AND SEQUESTRATION USING INVEST MODEL IN KOLKATA, INDIA, AND ITS ENVIRONS</t>
  </si>
  <si>
    <t>Assessment of urban carbon balance is imperative to address anthropogenic climate change. Biotic sequestration by urban vegetation and soil boosts terrestrial carbon storage and helps in maintaining the balance. However, unplanned urbanization in developing nations has caused an alarming loss of stored carbon. This study aims to quantify the spatio-temporal change in carbon storage for past, present, and future scenarios in Kolkata and its surroundings using the InVEST (Integrated Valuation of Ecosystem Services and Trade-offs) model. Four plausible future scenarios were simulated using a two-axis scenario analysis, based on two major drivers of urban sustainability: economic growth and restoration of UGS (urban green space). Each simulated scenario corresponds to the presumptive narrative of a 10% change in the LULC (land-use land-cover). The findings indicate a substantial loss of stored carbon (2.03 Tg) with a valuation of $ 410 million from 1992 to 2022. Notable reduction of carbon storage can be detected in the eastern and southern periphery, in a 10–15 km radius from the center of the city. This loss is mostly attributed to the emergence of key urban growth centers, characterized by large-scale infrastructural development. Compared to 2022, total carbon storage decreased by 10–15% in scenarios directed by economic development (least focus on UGS restoration), whereas it increased by 21% when UGS were restored. The methodology combines scenario analysis with carbon storage modelling, providing researchers and urban planners with valuable insights for proactive policy planning that support healthy urban livelihoods and ecosystems. It also helps in assessing the importance of urban vegetation and soil as natural carbon sinks.</t>
  </si>
  <si>
    <t>Dey, Swarnava; Niyogi, Jayita Guha; Das, Debashish</t>
  </si>
  <si>
    <t>https://app.dimensions.ai/details/publication/pub.1185807189</t>
  </si>
  <si>
    <t>10.1007/s11252-016-0592-7</t>
  </si>
  <si>
    <t>SINGAPORE AS A LONG-TERM CASE STUDY FOR TROPICAL URBAN ECOSYSTEM SERVICES</t>
  </si>
  <si>
    <t>Ecosystem services have gained rapid interest for understanding urban-environment interactions. However, while the term ecosystem services is relatively novel, their principles have influenced urban planning for decades. This study assesses the wealth of urban ecosystem services research conducted in the tropical city state of Singapore, in particular their historical local use and implicit and explicit incorporation into land use planning, and shows how Singapore is exporting their experiences to other cities around the world. Singapore is an important model for urban ecosystem services research, as the nation has experienced rapid urban development and has a 100 % urban population. Singapore also historically utilized ecosystem services in urban decision making long before the concept was popularized. For example, forests were conserved since 1868 for climatic regulation and for the watershed protection services provided to Singapore's first reservoirs, and green spaces have been conserved for cultural ecosystem services since the 1920s. Urban ecosystem services were formally incorporated into national planning in the 1960s through the Garden City urban planning vision. Singapore is now a leading case study for tropical urban climatology and carbon sequestration, exporting its experiences globally through bilateral agreements and the construction of eco-cities in China, and the creation and promotion of a global City Biodiversity Index to assess urban ecosystem service provision in cities across the globe. Consolidating and understanding case study cities such as Singapore is important if we are to understand how to incorporate multiple ecosystem services into large scale planning frameworks, and provides an important tropical example in a research field dominated by western, temperate case studies.</t>
  </si>
  <si>
    <t>Friess, DA</t>
  </si>
  <si>
    <t>10.4028/www.scientific.net/amr.1010-1012.1907</t>
  </si>
  <si>
    <t>SPECIES COMPOSITION AND CARBON ACCOUNTING FOR LANDSCAPE TREES IN URBAN PARKS OF DONGGUAN, CHINA</t>
  </si>
  <si>
    <t>Carbon accounting was carried out using Volume-Biomass Method based on field survey data from four urban parks of Dongguan. The results are as follows: 1) Shuilianshan Park (SLS) and Tongsha Park (TS) are sparsely covered with large trees, while Dapingzhang Forest Park (DPZ) and Huangqishan Park (HQS) are abundant with dense but small arbors. 2) Elaeocarpus apiculatus and Khaya senegalensis are the two major trees grown in Tongsha Park, which is located in urban core of Dongguan. A lot of individuals of Litsea glutinosa and Microcos paniculata occur in Huangqishan Park and Shuilianshan Park in the suburb, while many Acacia magium and Lithocarpus glaber trees have been planted in Dapingzhang Forest Park. 3) Carbon density and biomass density for the parks are in the following order: SLS &gt; HQS &gt; TS &gt; DPZ, which reflects the gradient of rapid urbanization. Carbon sink of urban forest was affected by land-use and land-cover change, vegetation types and stand ages, reforestation, and forest management.</t>
  </si>
  <si>
    <t>Zhou, Yong Wen; Li, Pei Yuan; Shen, De Cai; Mo, Luo Jian; Liu, Song Song; Zhang, Lu</t>
  </si>
  <si>
    <t>https://app.dimensions.ai/details/publication/pub.1005938329</t>
  </si>
  <si>
    <t>10.1016/j.ufug.2022.127527</t>
  </si>
  <si>
    <t>SPECIES RICHNESS AND ECOSYSTEM SERVICES OF TREE ASSEMBLAGES ALONG AN URBANISATION GRADIENT IN A TROPICAL MEGA-CITY: CONSEQUENCES FOR URBAN DESIGN</t>
  </si>
  <si>
    <t>We assess how tree species richness and ecosystem services vary along a tropical urbanisation gradient in a rapidly expanding mega-city (Bangkok, Thailand). We conduct tree surveys in 150 1 km cells selected by random stratification across an impervious surface cover gradient. In each cell, surveys were conducted at the centre (representing typical conditions) and in the largest patch of trees (assessing woodland retention impacts). We estimated trees’ contributions to i) carbon storage, ii) food production for people, iii) biodiversity support (production of food for frugivorous birds), and iv) economic value (assessed using regulations for using trees as collateral for financial loans). Surveys detected 162 species (99 natives) indicating substantial species loss relative to nearby natural forests. Despite this, and contrasting with typical patterns in temperate cities, tree species richness (including of natives) and ecosystem service provision is relatively stable across the urbanisation gradient. This finding has two important consequences. First, growing cities through high intensity developments that require less space may benefit regional biodiversity without compromising ecosystem services. Second, even the typically very small woodlands present in highly urbanised locations contribute to supporting biodiversity and providing ecosystem services; thus such woodlands require protection. Species richness is not strongly positively associated with most of our focal ecosystem services. Urban planners must therefore pay attention to both biodiversity and ecosystem services as these do not automatically accrue from each other, partly because non-native species contributed substantially to most ecosystem services except biodiversity support. Finally, trees provide substantial value as collateral for financial loans (averages of £643 ha at random locations and £2282 ha in wooded locations). Policies promoting such valuations may reduce tree removal and encourage tree planting, but the list of eligible species warrants revision to include additional species that enhance biodiversity support, ecosystem services, and resilience against future environmental instability.</t>
  </si>
  <si>
    <t>Thaweepworadej, Phakhawat; Evans, Karl L.</t>
  </si>
  <si>
    <t>https://app.dimensions.ai/details/publication/pub.1145871825</t>
  </si>
  <si>
    <t>10.3390/f9090519</t>
  </si>
  <si>
    <t>STRUCTURE, DIVERSITY, AND CARBON STOCKS OF THE TREE COMMUNITY OF KUMASI, GHANA</t>
  </si>
  <si>
    <t>Urban forestry has the potential to address many urban environmental and sustainability challenges. Yet in Africa, urban forest characterization and its potential to contribute to human wellbeing are often neglected or restrained. This paper describes the structure, diversity, and composition of an urban forest and its potential to store carbon as a means of climate change mitigation and adaptation in Kumasi. The vegetation inventory included a survey of 470,100-m2 plots based on a stratified random sampling technique and six streets ranging from 50 m to 1 km. A total of 3757 trees, comprising 176 species and 46 families, were enumerated. Tree abundance and species richness were left skewed and unimodally distributed based on diameter at breast height (DBH). Trees in the diameter classes &gt;60 cm together had the lowest species richness (17%) and abundance (9%), yet contributed more than 50% of the total carbon stored in trees within the city. Overall, about 1.2 million tonnes of carbon is captured in aboveground components of trees in Kumasi, with a mean of 228 t C ha−1. Tree density, DBH, height, basal area, aboveground carbon storage, and species richness were significantly different among green spaces (p &lt; 0.05). The diversity was also significantly different among urban zones (p &lt; 0.0005). The DBH distribution of trees followed a modified reverse J-shaped model. The urban forest structure and composition is quite unique. The practice of urban forestry has the potential to conserve biological diversity and combat climate change. The introduction of policies and actions to support the expansion of urban forest cover and diversity is widely encouraged.</t>
  </si>
  <si>
    <t>Nero, Bertrand Festus; Callo-Concha, Daniel; Denich, Manfred</t>
  </si>
  <si>
    <t>https://app.dimensions.ai/details/publication/pub.1106386284</t>
  </si>
  <si>
    <t>10.1007/978-981-99-7965-3_27</t>
  </si>
  <si>
    <t>STUDY ON THE DESIGN METHOD OF URBAN RENEWAL BASED ON CARBON EMISSIONS AND CARBON SINKS CALCULATION: A CASE STUDY OF ENVIRONMENTAL IMPROVEMENT PROJECT OF SUZHOU INDUSTRIAL INVESTMENT SCIENCE AND TECHNOLOGY INNOVATION PARK</t>
  </si>
  <si>
    <t>Under the guidance of the dual-carbon policy, low-carbon design has gradually become one of the important indicators for evaluating urban design solutions. Taking the environmental enhancement project of Suzhou Industrial Investment Science and Technology Innovation Park as an example, this paper constructs a design-oriented carbon estimation system in terms of carbon emissions and carbon sinks of buildings and landscape by calculating the quantity of architectural components and plants with the carbon factors, aiming to quantitatively assess the carbon reduction benefits of design solutions and provide timely design feedback for solution comparison and optimization. Finally, four low-carbon design strategies are summarized for urban renewal projects: rational demolition and construction, three-dimensional parking, low-carbon materials, and carbon sequestration by plants. This study incorporates low-carbon indicators into the evaluation of design schemes of urban renewal project, providing a scientific basis and practical guidance for practicing the concept of sustainable development and contributing to achieve the dual-carbon goal. © The Author(s), under exclusive license to Springer Nature Singapore Pte Ltd. 2024.</t>
  </si>
  <si>
    <t>Zhang L.; Cai Y.Q.; Song S.D.; Sun L.L.</t>
  </si>
  <si>
    <t>https://www.scopus.com/inward/record.uri?eid=2-s2.0-85189524026&amp;doi=10.1007%2f978-981-99-7965-3_27&amp;partnerID=40&amp;md5=edec22aad465718c4ba1a7f55e875cc7</t>
  </si>
  <si>
    <t>10.56261/built.v19.246492</t>
  </si>
  <si>
    <t>STUDY ON THE POTENTIAL OF HISTORICAL MAHOGANY TREES IN IMPROVING URBAN AIR QUALITY</t>
  </si>
  <si>
    <t>Metro City is one of the cities in Lampung Province, Indonesia, which has experienced various infrastructure development which contributed to the decrease of the air quality. Urbanization also causes constant decrease in term of the number of green open spaces.Yet green open space plays an important role in maintaining urban air quality. Vegetation (i.e., tree) as the main component of green open space has the ability to absorb and store carbon emission. In Metro city, there is a major green open space that includes numerous large-sized Mahogany trees lining along A.H. Nasution Road. The purpose of this study was to estimate the level of air pollution from emissions of the passing-by motorized vehicles, calculate the capacity of carbon sequestration by the Mahogany trees, and determine the potential of the Mahogany trees in improving air quality. Authors collected primary data on the diameter of the tree trunks and the number of passing-by vehicles to estimate the carbon-storing capacity and carbon emission by utilizing allometric equation and emission load analysis. This study concluded that the Mahogany trees could play an important role on storing 74% of expected annual CO2 emission in Metro City. This could be linked to the achievement of the SDGs especially Target 11.6.</t>
  </si>
  <si>
    <t>Nuzir, Fritz Akhmad; Kurniawan, Andrew; Chandra, Sonia Dwi; Munawaroh, Ai Siti</t>
  </si>
  <si>
    <t>https://app.dimensions.ai/details/publication/pub.1150815127</t>
  </si>
  <si>
    <t>10.3390/w16243711</t>
  </si>
  <si>
    <t>THE ANALYSIS OF THE SPATIAL–TEMPORAL EVOLUTION AND DRIVING EFFECT OF LAND USE CHANGE ON CARBON STORAGE IN THE URBAN AGGLOMERATION IN THE MIDDLE REACHES OF THE YANGTZE RIVER</t>
  </si>
  <si>
    <t>Studying the temporal and spatial variation characteristics and driving factors of carbon reserves in the middle reaches of the Yangtze River urban agglomeration is crucial for achieving sustainable development and regional ecological conservation against the backdrop of the “double carbon” plan. Based on three periods of land use data from 2000 to 2020, combined with the InVEST model(Version 3.14.2), the spatiotemporal changes in carbon storage in the urban agglomeration in the middle reaches of the Yangtze River were analyzed. The PLUS model (Version 1.3.5) was used to predict three scenarios of natural development, urban development, and eco-development in the urban agglomeration in the middle reaches of the Yangtze River in 2035 and estimate the carbon storage of the ecosystems under different scenarios, and it used optimal parameter GeoDetectors (Version 4.4.2) to reveal the driving factors affecting the spatiotemporal differentiation of carbon storage. The results show that farmland and construction land area increased and forestland area continued to decrease from 2000 to 2020. Carbon storage decreased by 1 × 106 t, with forestland conversion to farmland and construction land being the main decreasing drivers. The carbon storage of natural and urban developments decreased by 0.26 × 106 t and 0.32 × 106 t, while it increased by 0.16 × 106 under ecological development. The results of the factor detector showed that the NDVI (Normalized Difference Vegetation Index) had the highest explanatory power on the spatiotemporal variation in carbon storage (q = 0.588), followed by the slope (q = 0.454) and elevation (q = 0.391), and the explanatory power of natural environmental factors on the spatiotemporal variation in of carbon storage was dominant. The interaction detector results showed that the spatiotemporal variation in carbon storage was affected by multiple factors, the interaction intensity between each driving factor was stronger than that of a single factor, and the synergy between the NDVI and slope was the strongest, at q = 0.646.</t>
  </si>
  <si>
    <t>Li, Shenglin; Shi, Peng; Liu, Xiaohuang; Liu, Jiufen; Liu, Run; Zhu, Ping; Wang, Chao; Zheng, Yan</t>
  </si>
  <si>
    <t>https://app.dimensions.ai/details/publication/pub.1183804285</t>
  </si>
  <si>
    <t>THE CAPABILITY OF ECO-PHYSILOGAL APPROACH TO DETERMINE NET PRIMAR PRODUCTIVITY (NPP) OF TROPICAL RAINFOREST USING REMOTE SENSING DATA</t>
  </si>
  <si>
    <t>Rapid development in industrialiasation, urbanisation and agricultural sectors have contributed to an increased in green house gases in the atmosphere, particularly carbon diokside (CO 2). An increased in CO 2 concentration in the atmosphere is considered as one of the main factors that caused the phenomena of global warming and climate change. Thus, knowledge pertaining the existance, concentration and losses of CO 2in the atmosphere are very important. This is very useful for ensuring the concentration of CO 2 in the atmosphere remain in the state of balance. One of the way to monitor the content of CO 2 in the atmosphere is through the measurement of the rate of absorbtions of CO 2 by vegetation. This can be carried out either by determining the biomass or the Net Primary Productivity (NPP) of the vegetation. The main objective of this study is to evaluate the Eco-Physilogal Approach, that is one of the approach used to determine NPP using remote sensing data. ASTER satellite data with the spatial resolution of 15 meter and the spectral range of 0.52 μm of 0.86 μm were used for the evaluation of four models from the Eco-Physiological approach, which include the CASA, GLO-PEM, VPM and C-Fix models. The evaluation of these models were based on the accuracy of the measured NPP values for three types of vegetation such as forest, oil palm and rubber in the vicinity of Pasoh Forest Reserve in Negeri Sermbilan. An assesment was made by determining the Coefficient of Variation (CV) and also through comparison with results from previous studies. This study showed that GLO-PEM model gives the highest accruracy of NPP for forest and rubber with CV of 4.7% and 3.0% respectively. While CASA model is appropriate for oil palm with CV of 7.85%. Values of NPP for all the three vegetation types obtained using VPM and C-Fix models showed a very low accuracy. As a whole, the range of NPP obtained for forest, oil palm and rubber are within the range of 451.58 gCm -2 yr -1 to 3042.20 gCm -2yr -1. Average values of NPP for forest is 2741.13 gCm -2 yr -1, while for oil palm is 2859.42 gCm -2 yr -1 and the value fo rubber is 2172.17 gCm -2 yr -1.</t>
  </si>
  <si>
    <t>Faidi M.A.; Ibrahim A.L.; Dan A.W.R.; Huey T.T.</t>
  </si>
  <si>
    <t>https://www.scopus.com/inward/record.uri?eid=2-s2.0-84865653872&amp;partnerID=40&amp;md5=8b83c042ffb2e330b88102103d5b7caf</t>
  </si>
  <si>
    <t>10.1007/s44274-024-00138-x</t>
  </si>
  <si>
    <t>THE CLASSIFIED PERI-URBAN FOREST OF KUA FROM BURKINA FASO MUST NOT BE DECLASSIFIED FOR ECOLOGICAL REASONS</t>
  </si>
  <si>
    <t>Densification of urban areas and rapid urbanization result in land scarcity in the Sahelian cities of West Africa. Therefore, urban greenspaces are increasingly coveted for socio-economic development. This is the case of the peri-urban forest of Kua in Burkina Faso which has been subject of controversies between ecologists and decision makers who intended to declassify this forest for hospital project. The lack of ecological evidence on this forest fueled the dichotomous conflicts between environment protection and urban planning. Hence, this study aimed to assess the ecological characteristics of the peri-urban forest of Kua. Dendrometric measurements of 2993 individuals were performed in 106 plots across the peri-urban forests of Kua and Dindéresso. We computed and compared tree diversity metrics, structural parameters and carbon stocks between the two forests. The findings revealed a γ–diversity of 40 woody species from 38 genera and 16 families in Kua forest. Through the diversity metrics, we found that the peri-urban forest of Kua exhibited lower tree diversity than the peri-urban forest of Dindéresso (p-value &lt; 0.05). Similarly, tree density was significantly lower (p-value &lt; 0.05) in Kua (212.446 ± 291.65 ind. ha−1) than in Dindéresso (378.461 ± 298.89 ind. ha−1). However, carbon stock was two times significantly higher (p-value &lt; 0.05) in Kua (26.21 ± 31.27 Mg.ha−1) than in Dindéresso (13.389 ± 15.95 Mg.ha−1), highlighting the high potential of this forest in carbon sequestration. This study demonstrated that the peri-urban forest of Kua – despite its lower tree diversity and density – constitutes important carbon pools and sinks. Therefore, this forest must not be declassified, but should rather be reinforced through management plans and conservation actions. To sustain urban development, land management policies promoting the conservation of greenspaces are required to reduce biodiversity loss and carbon emissions in urban centers.</t>
  </si>
  <si>
    <t>Balima, Larba Hubert; Kiemtoré, Henry; Bayen, Philippe; Zerbo, Issouf; Ganamé, Moussa; Cissé, Mohamed; Thiombiano, Adjima</t>
  </si>
  <si>
    <t>https://app.dimensions.ai/details/publication/pub.1175221670</t>
  </si>
  <si>
    <t>10.5194/egusphere-egu2020-9210</t>
  </si>
  <si>
    <t>THE EFFECT OF CLOUD COVER ON THE RADIATION-, ENERGY- AND CARBON BALANCE OF A SEASONALLY DRY TROPICAL FOREST IN BRAZIL (CAATINGA)</t>
  </si>
  <si>
    <t>The Caatinga is a seasonally dry tropical forest, which is the dominant vegetation type in the northeastern region of Brazil. Its many plant species have adapted to the semiarid climate through different biophysical and physiological traits and drought survival strategies. In recent years, this region has endured a number of prolonged droughts that have adversely affected this already severely water-limited region. Despite the relatively small amounts of rainfall (with annual rainfall ranging approximately between 100–800 mm/year), there is an almost perpetual occurrence of clouds due to the regional atmospheric circulation; broadly speaking cumulus or cumulonimbus in the rainy season, and mostly stratocumulus during the transition from wet to dry, and dry seasons.  We studied the effect of cloud cover on the radiation balance, as well on the surface energy- and carbon balance of a pristine Caatinga area from 2011 to 2018.This study used radiation and weather data obtained from a SONDA BSRN radiation station, as well from a flux tower installed in the study area; both were near the urban areaofPetrolina, Brazil. Furthermore, radio-sounding data collected nearby were employed to obtain column integrated atmospheric water vapour, to estimate atmospheric emissivity.We derived cloudiness from a number of indirect methods (using shortwave- and longwave incoming radiation) at diurnal, seasonal and multi-year timescales. We also employed observed cloud cover data, including those from sky-cameras, for verification.Estimates of clear-sky atmospheric emissivity were required to determine cloud cover.  These were obtained from well-known equations (e.g., Brunt, Brutsaert and Prata) using tower air temperature and/or vapour pressure; calibration of the constants in these equations was required and their performance varied considerably. Occasionally, there were large differences between column integrated atmospheric water vapour and near-surface humidity; this had implications for estimates of atmospheric emissivity and hence of cloud cover.Seasonal variations in turbidity varied by a factor of 2. Clear-sky conditions occurred for between 8-18% of the time, with the lowest percentage occurring for the wettest year (2011).Despite its considerable effect on the radiation balance, the variation in cloud cover had a relatively modest effect only on the energy- and carbon balance fluxes. This has implications for our understanding of the Caatinga vegetation functioning, as well as for the development and testing of land surface models for this ecosystem.This work has been supported by The Natural Environment Research Council (NE/N012488/1) and Fundação de Amparo à Ciência e Tecnologia do Estado de Pernambuco (Caatinga-FLUX Phase 2 APQ 0062-1.07/15).</t>
  </si>
  <si>
    <t>Verhoef, Anne; Moura, Magna S. B.; Nóbrega, Rodolfo</t>
  </si>
  <si>
    <t>https://app.dimensions.ai/details/publication/pub.1125543614</t>
  </si>
  <si>
    <t>10.1007/s00267-014-0400-1</t>
  </si>
  <si>
    <t>THE ROLE OF COMPOSITION, INVASIVES, AND MAINTENANCE EMISSIONS ON URBAN FOREST CARBON STOCKS</t>
  </si>
  <si>
    <t>There are few field-based, empirical studies quantifying the effect of invasive trees and palms and maintenance-related carbon emissions on changes in urban forest carbon stocks. We estimated carbon (C) stock changes and tree maintenance-related C emissions in a subtropical urban forest by re-measuring a subsample of residential permanent plots during 2009 and 2011, using regional allometric biomass equations, and surveying residential homeowners near Orlando, FL, USA. The effect of native, non-native, invasive tree species and palms on C stocks and sequestration was also quantified. Findings show 17.8 tC/ha in stocks and 1.2 tC/ha/year of net sequestration. The most important species both by frequency of C stocks and sequestration were Quercus laurifolia Michx. and Quercus virginiana Mill., accounting for 20 % of all the trees measured; 60 % of carbon stocks and over 75 % of net C sequestration. Palms contributed to less than 1 % of the total C stocks. Natives comprised two-thirds of the tree population and sequestered 90 % of all C, while invasive trees and palms accounted for 5 % of net C sequestration. Overall, invasive and exotic trees had a limited contribution to total C stocks and sequestration. Annual tree-related maintenance C emissions were 0.1 % of total gross C sequestration. Plot-level tree, palm, and litter cover were correlated to C stocks and net sequestration. Findings can be used to complement existing urban forest C offset accounting and monitoring protocols and to better understand the role of invasive woody plants on urban ecosystem service provision. © 2014, Springer Science+Business Media New York.</t>
  </si>
  <si>
    <t>Horn J.; Escobedo F.J.; Hinkle R.; Hostetler M.; Timilsina N.</t>
  </si>
  <si>
    <t>https://www.scopus.com/inward/record.uri?eid=2-s2.0-84925493488&amp;doi=10.1007%2fs00267-014-0400-1&amp;partnerID=40&amp;md5=4aca6e58b8dc97bf9baae1de3229b77b</t>
  </si>
  <si>
    <t>10.1088/1755-1315/1447/1/012026</t>
  </si>
  <si>
    <t>THE ROLE OF MONITORING CARBON STORAGE AND SEQUESTRATION IN ADVANCING THE VISION OF FOREST CITY: LESSON LEARNED FROM URBAN FOREST ASSESSMENT IN BANDUNG, WEST JAVA</t>
  </si>
  <si>
    <t>The conceptualization of Nusantara Capital City or Ibu Kota Nusantara (IKN) as a forest city represents a visionary approach towards sustainable urban development, wherein the city is designed to protect and preserve the ecological functions of the tropical ecosystem as an inspiration of living in harmony with nature. Mandated by Law of Republic of Indonesia Number 3 of 2022 on National Capital, the development of IKN must adhere to several guiding principles that are meant to support the reduction of greenhouse gas emissions and leveraging green spaces or forests in carbon absorption of the city. Within this context, urban forests serve as highly efficient carbon sinks that need to be managed properly based on scientific approaches. The experience of assessing urban forests using i-Tree Eco in Bandung City, West Java, can serve as a pilot-model and provide valuable insights into assessing carbon storage and sequestration, also greenspace monitoring for the IKN. This process demonstrates the ecological values of the vegetation in urban forests, with case study in Babakan Siliwangi Urban Forest. This case study plays a crucial role in mitigating carbon emissions, serving as an integral facet of urban landscapes that helps offset the carbon footprint associated with urban activities. Understanding the values of urban forests through tree monitoring is essential to provide valid data for urban forest management to make an informed decision towards achieving the IKN’s sustainability vision. In conclusion, the i-Tree Eco assessment could support city managers and policy makers in developing science-based strategies to achieve net zero emissions and envision a forest city.</t>
  </si>
  <si>
    <t>Akbar, Indria Zhafirah; Afrianti, Chairunnisa; Kaswanto, Regan; Wiyoga, Harityas; Mosyaftiani, Amarizni</t>
  </si>
  <si>
    <t>https://app.dimensions.ai/details/publication/pub.1185667150</t>
  </si>
  <si>
    <t>10.3843/susdev.15.4:3a</t>
  </si>
  <si>
    <t>THE ROLE OF URBANISATION IN INCREASING ATMOSPHERIC CO2 CONCENTRATIONS: THINK GLOBALLY, ACT LOCALLY</t>
  </si>
  <si>
    <t>Deforestation for economic development and urbanisation or urban sprawl as a result of human population growth is a common feature of land-use change and is an important source of increased atmospheric CO2. At the global level, carbon emissions from burning fossil fuels are two to three times higher than carbon sequestration by land systems, mainly forests and woody vegetation. Balancing the global carbon budget would require many approaches at local scales. We used remote sensing data to analyse land-use changes in north-central Indiana in the Midwestern USA between 1940 and 1998. The area is characterised by increases in forest and urban land and decreases in agricultural land and grassland. The rate of urban sprawl was much greater than that of forest expansion, and the increase in CO2 emissions over time was much greater than CO2 sequestration in the region. The overall effects of the land-use change have led to the region becoming an increasing source of CO2 in the past half-century. It is necessary to promote afforestation of marginal agricultural land, adopt improved soil/crop management practices, and use renewable energy in the region. If all these potential actions are taken, the gap between CO2 emissions and carbon sequestration could be narrowed from 214 to 71 t C/km2/y.</t>
  </si>
  <si>
    <t>Shao, Guofan; Qian, Tiejun; Liu, Yang; Martin, Brett</t>
  </si>
  <si>
    <t>https://app.dimensions.ai/details/publication/pub.1151934775</t>
  </si>
  <si>
    <t>10.3389/fevo.2015.00144</t>
  </si>
  <si>
    <t>THE ROLE OF URBANIZATION IN THE GLOBAL CARBON CYCLE</t>
  </si>
  <si>
    <t>Urban areas account for more than 70% of CO2 emissions from burning fossil fuels. Urban expansion in tropics is responsible for 5% of the annual emissions from land use change. Here, I show that the effect of urbanization on the global carbon cycle extends beyond these emissions. I quantify the contribution of urbanization to the major carbon fluxes and pools globally and identify gaps crucial for predicting the evolution of the carbon cycle in the future. Urban residents currently control ~22 (12–40)% of the land carbon uptake (112 PgC/yr) and ~24 (15–39)% of the carbon emissions (117 PgC/year) from land globally. Urbanization resulted in the creation of new carbon pools on land such as buildings (~6.7 PgC) and landfills (~30 PgC). Together these pools store 1.6 (±0.3)% of the total vegetation and soil carbon pools globally. The creation and maintenance of these new pools has been associated with high emissions of CO2, which are currently better understood than the processes associated with the dynamics of these pools and accompanying uptake of carbon. Predictions of the future trajectories of the global carbon cycle will require a much better understanding of how urban development affects the carbon cycle over the long term.</t>
  </si>
  <si>
    <t>Churkina, Galina</t>
  </si>
  <si>
    <t>https://app.dimensions.ai/details/publication/pub.1014154910</t>
  </si>
  <si>
    <t>The role of vegetation in the CO2 flux from a tropical urban neighbourhood</t>
  </si>
  <si>
    <t>10.1016/j.ecoinf.2024.102472</t>
  </si>
  <si>
    <t>THE UTILITY OF PLANETSCOPE SPECTRAL DATA IN QUANTIFYING ABOVE-GROUND CARBON STOCK IN AN URBAN REFORESTED LANDSCAPE</t>
  </si>
  <si>
    <t>Urbanization, deforestation, and forest degradation significantly contribute to atmospheric carbon emissions and heightened climate change risks. Reforestation, a sustainable long-term land use strategy, offers mitigation by sequestering carbon dioxide. To assess reforestation efficacy within urban contexts, continuous carbon stock evaluation in reforested areas is essential for informed management and monitoring. Remote sensing techniques have gained traction in landscape analysis, driven by improved spatial-spectral data characteristics and novel indices. Notably, the Planetscope multispectral imagery, characterized by enhanced spatial and spectral attributes, has potential in enhancing carbon stock estimation. This study examines Planetscope's spectral, derived spectral features and terrain variables' effectiveness in estimating reforested urban landscape carbon stock. Employing extreme gradient boosting algorithm in Buffelsdraai, South Africa, the study's results are compared with an artificial neural network model to test the robustness of the model. Encouragingly, Planetscope spectral data accurately estimated reforested carbon stock with high R2 (0.78 and 0.81) and low RMSE (27.33 and 29.75 t. ha-1) from calibration and validation datasets. Notably, the green normalized vegetation index (GNDVI), red-edge normalized difference vegetation index (NDVIRED), and red-edge simple ratio index (SRRED) are optimal predictors. These findings underscore the value of Planetscope spectral data and extreme gradient boosting for precise carbon stock predictions in reforested urban environments. This study's insights are pivotal for designing effective reforestation ecosystem management and monitoring strategies, with implications for larger-scale carbon sequestration projects and resilient urban landscapes.</t>
  </si>
  <si>
    <t>Matiza, Collins; Mutanga, Onisimo; Odindi, John; Mngadi, Mthembeni</t>
  </si>
  <si>
    <t>https://app.dimensions.ai/details/publication/pub.1167977953</t>
  </si>
  <si>
    <t>10.21660/2017.33.2553</t>
  </si>
  <si>
    <t>THE VALUE OF GREEN BELTS IN URBAN SPRAWL: A CASE STUDY OD TAICHUNG CITY, TAIWAN</t>
  </si>
  <si>
    <t>The role of green belts is not only to provide the recreation for human activities but also to improve environmental quality and to provide refuges for wildlife under intensified urban development. After the new demarcation of administrative areas, the influx and construction of industrial zones and commercial buildings has caused a major change of the original landscape in the Dadu hill area in Taichung City, Taiwan. The aims of this study are to provide recommendations pertaining the design of ecological corridors to improve the connectivity of the remaining green places, and the assessment of the health of habitat for the developed urban area. We compared the biodiversity (birds, mammals, plantation) and carbon flux in three different suburban areas including a campus, a metropolitan park and an undeveloped woodland in regular disturbance by human and fire. According to the results of habitat similarity, the metropolitan park and campus were grouped with the higher diversity of birds, but the woodland had the higher diversity of plantation and mammals. Seasonal change is the main factor which affects the carbon flux and vegetation growth situation, and the disturbance by human activities and canopy and coverage by plantation are the causes of fluctuations. The habitat assessment which integrated the biodiversity and carbon flux provided another angle to evaluate the greenbelt design comprehensively. However, the quantification of the whole ecosystem service value is a further direction of environment management, especially in green place conserving under the urban sprawl. © Int. J. of GEOMATE.</t>
  </si>
  <si>
    <t>Chen C.-H.; Den W.</t>
  </si>
  <si>
    <t>https://www.scopus.com/inward/record.uri?eid=2-s2.0-85018324347&amp;doi=10.21660%2f2017.33.2553&amp;partnerID=40&amp;md5=bb7e0d968d6f0ac76d36221911febc73</t>
  </si>
  <si>
    <t>10.1016/j.landusepol.2023.106708</t>
  </si>
  <si>
    <t>TO WHAT EXTENT ARE ECOSYSTEM SERVICES PROVIDED BY GEODIVERSITY AFFECTED BY ANTHROPOGENIC IMPACTS? A QUANTITATIVE STUDY IN CARAGUATATUBA, SOUTHEAST COAST OF BRAZIL</t>
  </si>
  <si>
    <t>Ecosystem services (ES) provided by geodiversity are goods that directly and indirectly benefit society and can be classified into regulating, supporting, provisioning, cultural, and knowledge functions. The integrated assessment of geodiversity with an emphasis on ES is relevant for conservation and territorial management strategies. The current work aims the identification and assessment of impacts on ES provided by geodiversity in the Caraguatatuba county, with an emphasis in the Serra do Mar State Park (SMSP), on the Southeast coast of Brazil. The methodological procedures followed two steps: (i) identification of the ES based on the recognition of the Essential Geodiversity Variables (EGVs) and bibliographic research and (ii) quantitative assessment of the impacts on the ES provided by geodiversity based on land use categories. Seventy-five ES provided by geodiversity were identified in Caraguatatuba, being the ecosystem functions affected by urban area and native vegetation land use categories, respectively: supporting (50.9%), regulating (47.7%), cultural (41.9%), knowledge (34.9%), and provisioning (31.2%). The results indicate that the supporting and regulating functions, such as aquifers, fauna and flora habitats, and carbon sequestration and storage, are the ones that require the most effective environmental impact mitigation measures. This approach can contribute not only to academic works, but to different economic sectors to achieve sustainable development.</t>
  </si>
  <si>
    <t>Balaguer, Laura Pereira; da Glória Motta Garcia, Maria; Reverte, Fernanda Coyado; de Almeida Leite Ribeiro, Lígia Maria</t>
  </si>
  <si>
    <t>https://app.dimensions.ai/details/publication/pub.1157645232</t>
  </si>
  <si>
    <t>10.3390/su12114768</t>
  </si>
  <si>
    <t>TOWARDS SUSTAINABLE URBAN PLANNING FOR PUYO (ECUADOR): AMAZON FOREST LANDSCAPE AS POTENTIAL GREEN INFRASTRUCTURE</t>
  </si>
  <si>
    <t>The peri-urban area of Puyo, where agricultural, urban and conservation logics are mixed, is a contested area in the Ecuadorian Amazon. Rapid urban growth and agricultural activities are the main threats to the conservation of its biodiversity. To promote the conservation of natural spaces in urban planning instruments, it is necessary to first demonstrate their environmental and ecological value. In this paper, such value was analyzed by quantifying biodiversity value and carbon storage capacity in situ. The results show that Puyo's periphery (a 4 km radius) is an opportunity space, where the conservation of its biodiversity is a key factor in strategies to promote sustainable urban development. Firstly, there are natural areas of high environmental value (secondary forest, gramalote pastures with trees and gramalote pastures) that all together fix 1,664,683 Mg CO2 and control hydrological risks (with 80% of the green areas linked to flood areas)-valuable ecosystem services. Secondly, the conservation of biodiversity brings associated economic activities that can promote local sustainable development. Despite this, the results reveal that the conservation of peri-urban natural ecosystems is not a goal in Puyo's urban planning strategy. Therefore, future research should be focused on urban planning tools that promote environmentally, economically and socially sustainable urban development. © 2020 by the authors.</t>
  </si>
  <si>
    <t>Huera-Lucero T.; Salas-Ruiz A.; Changoluisa D.; Bravo-Medina C.</t>
  </si>
  <si>
    <t>https://www.scopus.com/inward/record.uri?eid=2-s2.0-85086407246&amp;doi=10.3390%2fsu12114768&amp;partnerID=40&amp;md5=716b11fe6cfc200b356556bd8d9541f5</t>
  </si>
  <si>
    <t>10.13287/j.1001-9332.202311.025</t>
  </si>
  <si>
    <t>TRADE-OFFS AND SYNERGIES RELATIONSHIPS OF ECOSYSTEM SERVICES AND THEIR SOCIO-ECOLOGICAL DRIVING FACTORS UNDER DIFFERENT SPATIAL SCALES IN SHAOGUAN CITY, GUANGDONG, CHINA.</t>
  </si>
  <si>
    <t>Ecosystem services refer to the benefits that human obtain from natural ecosystems. Different ecosystem services are generated by the combination of social-ecological driving factors, and exhibit different spatial patterns across scales. The complex relationships and driving mechanisms among ecosystem services under different spatial scales remain unclear. With Shaoguan City from Guangdong Province as the study area, we analyzed the spatial patterns and relationships of four ecosystem services and their trade-offs/synergies (TOSs), quantified their responses to seven social-ecological drivers at the kilometer grid scale and sub-watershed scale, and proposed regional ecologi-cal management and planning strategies for cross-scale sustainable development. The results showed that the spatial distribution of ecosystem services in Shaoguan City exhibited spatial clustering and cross-scale variations. Habitat quality, water yield, and carbon storage exhibited similar spatial distribution pattern. High supply was mainly distributed in mountainous areas in the east, north, west, and south, while weak supply was distributed in plain areas in the central, northwest, south and northeast. In addition, the spatial clustering of these services intensified with increasing spatial scale. Ecosystem services displayed synergistic relationships at both spatial scales, and the intensity of the synergy changed with scale. At both the kilometer grid and sub-watershed scale, the primary drivers for ecosystem services were the normalized vegetation index and digital elevation model. The main driver for TOSs was the mean annual temperature at the kilometer grid scale, while it was the mean annual evapotranspiration at the sub-watershed scale. Based on the supply levels of ecosystem services, the study area could be divided into five distinct ecosystem service bundles, i.e., mountain ecological balance zone, forest ecological conservation zone, urban forest maintenance zone, ecologically sensitive zone, and ecological risk zone. All bundles exhibited both spatial heterogeneity and cross-scale variations. We integrated the cross-scale variations of four representative ecosystem services and their complex interactions and driving mechanisms in Shaoguan City into spatial planning to facilitate the sustainable ecosystem management across multiple scales, which could offer valuable references for the construction of ecological civilization in other regions.</t>
  </si>
  <si>
    <t>Deng, Yu-Yue; Wang, Dan; Xu, Han</t>
  </si>
  <si>
    <t>https://app.dimensions.ai/details/publication/pub.1166301556</t>
  </si>
  <si>
    <t>10.1016/j.proeng.2017.07.164</t>
  </si>
  <si>
    <t>TREE AND TRAIT DIVERSITY, SPECIES COEXISTENCE, AND DIVERSITY-FUNCTIONAL RELATIONS OF GREEN SPACES IN KUMASI, GHANA</t>
  </si>
  <si>
    <t>Conserving biodiversity in cities is essential to halting global biodiversity loss. Nevertheless, there is paucity of data on the underlying mechanisms shaping species assemblages and species/trait diversity-productivity relationships in urban landscapes. The objectives of this study were to; 1) compile tree species diversity of different green space (GS) types, (2) describe the theoretical basis of species co-existence and 3) examine the links between species and life history trait diversity to GS and species productivity (carbon storage) in Kumasi, Ghana. Stratified sampling and species abundance models were combined in this study.About 176 tree species in 46 families were recorded within Kumasi. About 96 species were in a natural forest located towards the outskirts of the city. Home gardens, institutional compounds, and public parks had the highest species richness of 76, 75 and 71, respectively while urban rangelands and farmlands were the least species rich with 6 and 23, respectively. Species richness (S) in the peri-urban (mean ndvi &gt;0.2, S=142) and core urban (mean ndvi&lt;0.2, S=108) areas were significantly different (X2 =15.7, p&lt; 0.0001, n=1). Native species richness was lowest in the core urban area and highest in the neighbouring natural forest. The geometric series model best fitted the tree assemblage of the city, depicting a species impoverished and environmentally hash landscape. Pioneers and anthropochory dispersed species were the most abundant suggesting that this urban landscape is shaped by both environment and social filters.Plant species diversity and distribution depend on the type of green space and portrays a perturbed landscape in early seres of succession with the overall ecosystem function sustained by both species and life history trait diversities.</t>
  </si>
  <si>
    <t>Nero, Bertrand F.; Campion, Benjamin B.; Agbo, Nelson; Callo-Concha, Daniel; Denich, Manfred</t>
  </si>
  <si>
    <t>https://app.dimensions.ai/details/publication/pub.1091580730</t>
  </si>
  <si>
    <t>Tree Species Diversity and Carbon Storage in Air Quality Enhancement Zones in Taiwan.</t>
  </si>
  <si>
    <t>Tree species diversity, volume yield, biomass and carbon sequestration in urban forests in two Nigerian cities</t>
  </si>
  <si>
    <t>Tree species suitable for roadside afforestation and carbon sequestration in Bilaspur, India</t>
  </si>
  <si>
    <t>10.1016/j.ufug.2025.128669</t>
  </si>
  <si>
    <t>TREE-COVER DYNAMICS IN A RAPIDLY URBANISING TROPICAL MEGA-CITY – ARE TREES OF GREATER BIODIVERSITY AND ECOSYSTEM SERVICE VALUE LESS LIKELY TO BE LOST?</t>
  </si>
  <si>
    <t>Urban trees are crucial for biodiversity and providing ecosystem services. It is unclear if sites where trees support more biodiversity and have greater contributions to ecosystem service provision have greater rates of tree loss, or are better protected. We assess this in an expanding tropical mega-city (Bangkok, Thailand), using data from 150 1-km2 cells, selected across the urbanisation gradient. We quantify rates of tree-cover loss/gain between 2018 and 2022, and associations with sites’ biodiversity value (native tree and avian species richness), ecosystem services (carbon storage, human food production capacity) and economic value (following regulations enabling trees to be used as collateral in financial loans – which may incentivise landowners to retain trees). Surveys were conducted at randomised points and in the largest woodland within each cell. Randomised points lost ∼10 % tree-cover with greater loss at more urbanised sites. Woodland points lost ∼20 % tree-cover, with the greater loss at sites with intermediate urbanisation intensity. Loss was lower at sites with higher native tree, but not bird, species richness. Sites where trees stored more carbon tended to lose less tree-cover (randomised points, marginally significant) or have a lower probability of losing tree-cover (woodland points). Tree-cover loss was not related to site’s capacity to provide food for people. Sites where trees had greater value as collateral for financial loans lost slightly less tree-cover at randomised, but not woodland, points. Without this policy tree-cover loss rates may thus be even higher. Bangkok is rapidly losing tree-cover, including at sites with high biodiversity and ecosystem service values. These losses reverse gains in urban tree-cover earlier in the 21st century, and coincide with 2019 changes in the Forest Act enabling private landowners to remove trees on their land. Without effective policy change, the rapid loss of urban tree-cover will continue to negatively impact Bangkok’s biodiversity and people.</t>
  </si>
  <si>
    <t>https://app.dimensions.ai/details/publication/pub.1184110783</t>
  </si>
  <si>
    <t>10.1007/s42965-021-00149-2</t>
  </si>
  <si>
    <t>UNVEILING TREE DIVERSITY AND CARBON DENSITY OF HOMEGARDEN IN THE THODUPUZHA URBAN REGION OF KERALA, INDIA: A CONTRIBUTION TOWARDS URBAN SUSTAINABILITY</t>
  </si>
  <si>
    <t>The present study aimed to assess the role of homegarden (HG) in safeguarding the tree diversity and carbon (C) density or storage in the Thodupuza urban region of Idukki district in Kerala, India. A stratified random approach was used for selecting the four homegardens (HGs) with a size of 1hectare (ha). The study mainly focused on species richness, diversity, above ground biomass, carbon, correlation and distribution of carbon with various variables, species and group wise carbon storage of the system. A total of 992 trees from 66 species belonging to 31 families were enumerated with representation of 4 endemic, 1 vulnerable, 1 endangered and 23 exotics. The diversity indices obtained were closer to those of the forest ecosystem. Above ground biomass and carbon density were estimated to be 67.06 t/ha (tonne/hectare) and 31.85 6 t/ha respectively. Species Tectona grandis showed dominancy in carbon and Important Value Index. Correlation analysis among species revealed that carbon exhibited a strong positive trend with basal area and tree density, but in the case of plot (HG)-wise examination only basal area had a strong positive relationship. The diametric class analysis showed skewed type of distribution for carbon and tree density while diversity had reverse j-shaped curve. Among the two plant groups, cultivated species had an edge over native in storing carbon. Overall, this assessment shows the potential of using homegardens as a socio-ecological systems for sustainable development particularly in terms of land availability and climate mitigation options in the face of rapid urbanization.</t>
  </si>
  <si>
    <t>Padmakumar, Babu; Sreekanth, N. P.; Shanthiprabha, V.; Paul, Joby; Sreedharan, K.; Augustine, Toms; Jayasooryan, K. K.; Rameshan, M.; Arunbabu, V.; Mohan, Mahesh; Sylas, V. P.; Ramasamy, E. V.; Thomas, A. P.</t>
  </si>
  <si>
    <t>https://app.dimensions.ai/details/publication/pub.1137770232</t>
  </si>
  <si>
    <t>10.1007/s11252-020-01076-1</t>
  </si>
  <si>
    <t>URBAN ECOSYSTEMS AND ECOSYSTEM SERVICES IN MEGACITY DHAKA: MAPPING AND INVENTORY ANALYSIS</t>
  </si>
  <si>
    <t>Urban ecosystems and ecosystem services have received little research attention in South Asian countries where rapid urban development is currently problematic. We developed a typology of urban ecosystems and an inventory of current ecosystem services for Dhaka – the capital of Bangladesh. Our observations, surveys, analyses, and evaluation revealed a diversity of urban ecosystems including khal (canal), pond, wetland, cultivated land, park/rooftop garden, playground/field, open space/vacant plot, roadside trees, and graveyards. Important provisioning services included fruits, vegetables, fish, fodder, timber, fuelwood, and medicinal/ornamental plants. Regulating services included carbon sequestration and particulate matter removal by park and roadside trees, drainage service by khals and wetlands, and noise abatement by parks. Opportunities for recreation, fishing and sports, walk/exercise, inspirations for art and culture and religious values presented cultural services. Habitat services such as refugia for resident and migratory birds featured in parks, lakes, wetlands and trees on roadsides, playgrounds/fields, and graveyards. Evaluation of the states and values of urban ecosystems and ecosystem services are prerequisites to improving the wellbeing of urban communities particularly in Dhaka but more generally for other major cities in South Asia. Our findings will assist policy makers in sustainable urban ecosystem governance with possible implications for region-wide cooperation.</t>
  </si>
  <si>
    <t>Zinia, Naeema Jihan; McShane, Paul</t>
  </si>
  <si>
    <t>https://app.dimensions.ai/details/publication/pub.1134399213</t>
  </si>
  <si>
    <t>URBAN EXPANSION AND FORESTRY IN CO2 SEQUESTRATION</t>
  </si>
  <si>
    <t>—The objective of this research was to determine the implications of urban expansion and forestry on carbon sequestration in the northern districts of Lima. On the other hand, a five-year, non-experimental, longitudinal design was used. The information from the Geographic Information System (GIS) was used in the development of the project; first, for the mapping; then, the delimitation of urban areas, vegetation in the urbanized and non-urbanized territory. Using Arc View Gis 8.3 software, the five-yearly register was compiled starting in 1980. Finally, the results have proven that urban expansion and the destruction of vegetation have implications on CO2 sequestration due to the sustained growth of the urban area, which led to the determination of the model: Y = 8050.92-0.11 X1+ 48.64 X2. © Roman Science Publications International Jou.</t>
  </si>
  <si>
    <t>Julio B.-P.; Abner C.L.; Lisseth F.-G.</t>
  </si>
  <si>
    <t>https://www.scopus.com/inward/record.uri?eid=2-s2.0-85178236316&amp;partnerID=40&amp;md5=a02cc331fec5fccf67828ee3e588b72d</t>
  </si>
  <si>
    <t>Urban forest of Mendoza (Argentina): the role of Morus alba (Moraceae) in carbon storage</t>
  </si>
  <si>
    <t>Urban green spaces enhance climate change mitigation in cities of the Global South: The case of Kumasi, Ghana</t>
  </si>
  <si>
    <t>10.1016/j.scitotenv.2024.172286</t>
  </si>
  <si>
    <t>URBAN ROADSIDE GREENERY AS A CARBON SINK: SYSTEMATIC ASSESSMENT CONSIDERING UNDERSTORY SHRUBS AND SOIL RESPIRATION</t>
  </si>
  <si>
    <t>Roadside greenery is an efficient strategy for maximizing ecosystem services, including carbon sequestration in urban settings. However, the quantification of carbon sequestration is not comprehensive because understory shrubs and soil respiration have not been thoroughly considered. We developed an integrated methodology that combined field measurements and greenhouse incubation to comprehensively assess carbon sequestration in roadside greenery systems. The system was defined as an 8 m long section comprising a single tree (Zelkova serrata), 79 shrubs (Euonymus japonicus), and soil. Annual carbon uptake by a tree was estimated using an allometric equation derived from an official government report. For shrubs, carbon uptake was measured in the field by monitoring CO2 concentration change in the chamber enclosing the leaves and stems. Annual carbon uptake by shrubs was estimated by using the regression equation among carbon uptake, air temperature, and photosynthetically active radiation. We also estimated shrub root respiration by combining net primary production (NPP) from the greenhouse incubation and measured pruning effect in the field. This enabled us to differentiate heterotrophic respiration from the total soil respiration. The overall methodology accurately assessed net ecosystem production (NEP) from the roadside greenery system, which is 0.528 kg C m−2 yr−1. If this figure is extended to all roads in the target city, it can offset daily carbon emitted from the total registered passenger vehicles in the target city. Considering that shrubs sequester an amount equivalent to 29.3 % of the carbon sequestered by tree species, the current greenhouse gas inventory should include shrubs as an important carbon sink. As we also revealed that roadside soil has high carbon vulnerability, proper soil management is needed to enhance NEP. Our systematic approach evaluating the carbon balance within the roadside greenery system can be applied to other cities, contributing to enhance global understanding of urban carbon cycle. © 2024 Elsevier B.V.</t>
  </si>
  <si>
    <t>Jeong M.; Bae J.; Yoo G.</t>
  </si>
  <si>
    <t>https://www.scopus.com/inward/record.uri?eid=2-s2.0-85190272703&amp;doi=10.1016%2fj.scitotenv.2024.172286&amp;partnerID=40&amp;md5=4031f12edaf4b137ca6a885dd665b5e6</t>
  </si>
  <si>
    <t>10.1016/j.envc.2021.100072</t>
  </si>
  <si>
    <t>URBAN SACRED GROVE FORESTS ARE POTENTIAL CARBON STORES: A CASE STUDY FROM SIKKIM HIMALAYA</t>
  </si>
  <si>
    <t>Urban forests function as lungs in the cities and help in providing a healthy environment to people by reducing warming and improving air &amp; water quality. Information on the carbon storage and capture capacity of the urban forests especially sacred forests in India is limited. We estimated and examined the different carbon pools and sequestration potentials of two urban sacred forests i.e. Deorali Chorten monastery sacred forest (DMS) and Enchey monastery sacred forest (EMS) and tested its performance against a rural natural forest (STF). Carbon in trees was estimated allometrically from five plots of 31.6 × 31.6 m2 in each of the study sites using the Forest Survey of India's volume equations, wood density, and tree height. Thirty soil samples collected from three soil depths (0–15, 15–30, and 30–45 cm) from each of the study sites were colorimetrically estimated for soil carbon. Litter biomass collected from ten quadrats of 1 × 1m2 from each of the study sites was used for the estimation of litter carbon. Ecosystem carbon sequestration was calculated from the carbon stock values of each of the study sites by dividing by the corresponding age of sites. Tree carbon density varies significantly (p&lt;0.001) across sites, and aboveground biomass exhibited a positive significant relationship with tree density (p&lt;0.05), and basal area (p&lt;0.01). Pattern of carbon stock and sequestration is EMS (156.04 Mg C ha−1; 2.5 Mg C ha−1y−1) ; DMS (155.39 Mg C ha−1; 3.42 Mg C ha−1y−1) ; STF (76.58 Mg C ha−1; 5.27 Mg C ha−1y−1).Topsoil has the highest carbon stock with a peak value in EMS (118.70 Mg C ha−1) followed by STF (107.84 Mg C ha−1), and DMS (97.64 Mg C ha−1). The Present study revealed that old forests have higher carbon storage but reduced sequestration potential. Urban forests allocate more carbon in vegetation than in soil, and warming and a shift in precipitation pattern due to climate change may decrease soil carbon and fertility. Hence, proper management of urban forests by replacing old trees with new ones can effectively mitigate the ill effects of global warming in the cities by regulating the climate through CO2 sequestration.</t>
  </si>
  <si>
    <t>Devi, N. Bijayalaxmi; Lepcha, Nima T.; Mahalik, Siddarth S.; Dutta, Denish; Tsanglao, Benrithung L.</t>
  </si>
  <si>
    <t>https://app.dimensions.ai/details/publication/pub.1136292599</t>
  </si>
  <si>
    <t>10.2495/DNE-V12-N4-407-417</t>
  </si>
  <si>
    <t>URBAN SUSTAINABILITY: CO2 UPTAKE BY GREEN AREAS IN THE HISTORIC CENTRE OF SIENA</t>
  </si>
  <si>
    <t>Nature provides free assets and ecological services essential for human health and economic activity. For this reason, our ecosystems need to be protected and managed without affecting their integrity in the long run. The absorption of carbon dioxide (CO2) by vegetation is one of the most important services provided by the ecosystem, which needs to be preserved over time, because it regulates the planetary energy and entropic balance. In the cities, population growth, together with progressive urbanization, often leads towards a reduction of green areas and related ecological systems. Therefore, urbanization processes should be planned, also keeping in mind maintenance of a right equilibrium between built and green areas. In this study, the green areas in the historic centre of the city of Siena (Tuscany, central Italy) were identified and investigated. It was found that the total surface area of the historic centre was 169.64 ha, of which 71.54 ha was occupied by valleys and other green areas. The real contribution of this natural heritage to the CO2 absorption capacity of the ecosystem, was 330.50 t CO2 yr-1, depending on the vegetation types present in the green areas (e.g. trees, olive groves, vineyards, bamboo, grass and vegetables). Data showed remarkable carbon-storage efficiency untypical of a highly populated urban area (1.95 t CO2 haoverall-1 yr-1). In an urban system, the presence of large green areas and their proper management are necessary to ensure its sustainability. © 2017 WIT Press.</t>
  </si>
  <si>
    <t>Marchi M.; Niccolucci V.; Pulselli R.M.; Marchettini N.</t>
  </si>
  <si>
    <t>https://www.scopus.com/inward/record.uri?eid=2-s2.0-85041731359&amp;doi=10.2495%2fDNE-V12-N4-407-417&amp;partnerID=40&amp;md5=6c13c4a42476d15c543a9b4ad8b164a7</t>
  </si>
  <si>
    <t>10.1007/s10661-021-09619-5</t>
  </si>
  <si>
    <t>URBAN TREE CARBON DENSITY AND CO2 EQUIVALENT OF NATIONAL ZOOLOGICAL PARK, DELHI</t>
  </si>
  <si>
    <t>In a highly urbanized city like Delhi, the urban forest plays a vital role in climate change mitigation by capturing and storing carbon dioxide (CO2) from the atmosphere. Urban vegetation helps in increasing carbon sink and CO2 equivalent (CO2eq) and also provides other aesthetic and psychological environmental benefits. To understand how urban trees are vital for carbon sink, the present study aimed to quantify the carbon density and CO2eq in trees at National Zoological Park (NZP), New Delhi, a tropical semi-arid region of India. For this, we estimated tree biomass or dry matter content of 25 species with the help of allometric equations which are available in published literature and applicable for the tropical region. It was observed that the highest diameter at breast height (DBH) was contributed by Ficus sp. while the maximum density among adult tree species found in Albizia procera. The total mean dry matter content, C density, and CO2eq of NZP were 92.10 Mg ha−1, 43.61 Mg-C ha−1, and 168.83 Mg ha−1, respectively. The highest biomass, C density, and CO2eq obtained in the species of Ficus benghalensis followed by Ficus racemosa and Azadirachta indica. The data indicates that the trees having the capacity to store carbon are essential for the maintenance of a sustainable environment. Thus, the study suggests that there is a substantial scope to increase the carbon density and CO2eq in urban city through adopting various management strategies viz. afforestation and reforestation program on degraded and abandoned land to maintain a clean and sustainable environment. © 2021, The Author(s), under exclusive licence to Springer Nature Switzerland AG.</t>
  </si>
  <si>
    <t>Snehlata; Rajlaxmi A.; Kumar M.</t>
  </si>
  <si>
    <t>https://www.scopus.com/inward/record.uri?eid=2-s2.0-85120674839&amp;doi=10.1007%2fs10661-021-09619-5&amp;partnerID=40&amp;md5=49d02024c70825ab87a2fd460472f2a4</t>
  </si>
  <si>
    <t>10.1007/s11252-015-0444-x</t>
  </si>
  <si>
    <t>URBANIZATION EFFECTS ON LEAF LITTER DECOMPOSITION, FOLIAR NUTRIENT DYNAMICS AND ABOVEGROUND NET PRIMARY PRODUCTIVITY IN THE SUBTROPICS</t>
  </si>
  <si>
    <t>Urbanization can alter nutrient cycling. This research evaluated how urbanization affected nutrient dynamics in the subtropics. We established 17–0.04 ha plots in five different land cover types—slash pine (Pinus elliottii) plantations (n = 3), rural natural pine forests (n = 3), rural natural oak forests (n = 4), urban pine forests (n = 3) and urban oak forests (n = 4) in the Florida panhandle, a subtropical region that has experienced rapid urbanization. On each plot, we measured the decomposition of mixed species foliar litter, the nutrient release patterns in decomposing litter, foliar litter quality, and forest floor temperatures. Aboveground net primary productivity and soil carbon and nitrogen contents were also measured to characterize the carbon and nitrogen stocks and fluxes in the urban and rural sites. Litter decay rates, liter quality indices and nutrient release patterns in decomposing litter did not differ among urban and rural forests despite differences in forest floor temperatures between urban and rural sites. Urban forest floor temperatures are on average warmer by 0.63 °C in the winter (p = 0.005) and tend to have a more narrow temperature range than those of the rural forested sites. Foliar mass was measured over an 82 week period that was characterized by drought, which may have masked an urbanization effect. Urban forest land covers had higher aboveground net primary productivity and foliar productivity compared to rural land covers. This increased input of foliar carbon is not reflected in statistically different forest floor or surface soil (0–7.5 cm) carbon contents between urban and rural sites. Understanding how drought interacts with other drivers of change in urban systems may be a necessary component of city specific ecological knowledge. © 2015, Springer Science+Business Media New York.</t>
  </si>
  <si>
    <t>Enloe H.A.; Lockaby B.G.; Zipperer W.C.; Somers G.L.</t>
  </si>
  <si>
    <t>https://www.scopus.com/inward/record.uri?eid=2-s2.0-84949322850&amp;doi=10.1007%2fs11252-015-0444-x&amp;partnerID=40&amp;md5=2e9d94e9c50e208373610c8191f214e5</t>
  </si>
  <si>
    <t>10.3303/CET2078079</t>
  </si>
  <si>
    <t>USING GREEN INFRASTRUCTURE TO CREATE CARBON NEUTRAL CITIES: AN ACCOUNTING METHODOLOGY</t>
  </si>
  <si>
    <t>Many cities across the world have the aspiration to be carbon neutral. However, this requires energy efficient buildings and the implementation of green infrastructure. A major challenge in this regard is that carbon dioxide emissions may be regarded as being embodied within our construction materials. Embodied energy is the quantity of energy required to process and supply these materials to an urban development and embodied carbon can be measured as the total weight of carbon dioxide used in the extraction, manufacture and delivery of the materials. Determining the amount of carbon dioxide capture required to offset the embodied carbon in urban developments is a complex task. This paper describes the findings of an Australian Research Council funded project that has examined the use of street trees to create carbon neutral developments in Australia. An accounting methodology is presented that calculates the embodied carbon over the material supply chain using a cradle to gate approach. This methodology is applied to a typical residential development where a permeable paving system is used for stormwater control. It was found that the embodied carbon in a 370 mm deep permeable pavement system is approximately 5.9 t/100 m2 of pavement. Trees typically take 6 to 10 y to transform from their juvenile planting state to full maturity and they uptake different quantities of carbon dioxide throughout this transformation. This leads to an initial carbon deficit, but this is readily restored over the typical 50-year life of a tree, during which time there is a quantifiable net-positive contribution to carbon capture. It was found that four street trees planted per 100 m2 of permeable paving is sufficient to create carbon neutral permeable pavement systems. This paper demonstrates that street trees can be used in combination with permeable pavements to create carbon neutral developments. This is relatively new concept and the contribution of this paper is to demonstrate how to control the potentially problematic issue of tree roots damaging pavements. © 2020 AIDIC Servizi S.r.l.</t>
  </si>
  <si>
    <t>Beecham S.</t>
  </si>
  <si>
    <t>https://www.scopus.com/inward/record.uri?eid=2-s2.0-85082775033&amp;doi=10.3303%2fCET2078079&amp;partnerID=40&amp;md5=8f8b1654c57821e8249885415883ea3f</t>
  </si>
  <si>
    <t>10.1016/j.landusepol.2017.11.003</t>
  </si>
  <si>
    <t>VALUATION AND VALIDATION OF CARBON SOURCES AND SINKS THROUGH LAND COVER/USE CHANGE ANALYSIS: THE CASE OF BANGKOK METROPOLITAN AREA</t>
  </si>
  <si>
    <t>This study investigates carbon sources and carbon sink estimation, nexus and validation through Land cover/land use (LCLU) change analysis of Bangkok Metropolitan Area (BMA), Thailand. Considering spiking population and carbon emission trends, especially in metropolitan cities of developing countries, such estimations are direly needed. Moreover, quantification and empirical evidence involving such a multidisciplinary analysis are rarely available. Therefore, this study would help in understanding the relationship among economic development, carbon emissions, carbon sinks and land use change in BMA. CO2 emission and sequestration data from 1987 to 2015 were collected, and the changes and rate of change in LCLU were assessed by analyzing landsat satellite images of 1987, 1995, 2005, and 2015. Best efforts were put to attain net gains and losses in carbon sources and sinks analyses. Results showed that carbon sources have increased by almost 4-folds from 1987 to 2015 while sinks have declined rapidly to half of its original amount since 1987. The gap between carbon sources and sinks is widening year by year and will, if it continues in this manner, cover up the whole green space of BMA in the next decade. The LCLU change results also verified and showed the same results, which helped in validating such outcomes. Urban/built up area sprawl over 60% of BMA's area while the remaining 40% constitutes agricultural land, green spaces, and water bodies. Furthermore, the rate of change of urban area was 157.4 sq km during 2005–2015 and 218 sq km during 1995–2005. Therefore, policy makers of BMA should seriously draft expansion plans of green spaces and public parks and implement it immediately to tackle with carbon emissions and land use change disquiets. Meanwhile, awareness regarding conservation of green areas, trees, and use of public transport could be another set of bottom-up policies. © 2017 Elsevier Ltd</t>
  </si>
  <si>
    <t>Ali G.; Pumijumnong N.; Cui S.</t>
  </si>
  <si>
    <t>https://www.scopus.com/inward/record.uri?eid=2-s2.0-85034667519&amp;doi=10.1016%2fj.landusepol.2017.11.003&amp;partnerID=40&amp;md5=8491e7529e6747ef4002488b8088568f</t>
  </si>
  <si>
    <t>10.3390/land9040107</t>
  </si>
  <si>
    <t>VEGETATION STRUCTURE, SPECIES COMPOSITION, AND CARBON SINK POTENTIAL OF URBAN GREEN SPACES IN NAGPUR CITY, INDIA</t>
  </si>
  <si>
    <t>Nagpur is rapidly urbanizing, and in the process witnessing decline in its green status which is one of the identities of the city. The study aims to understand the current species diversity, composition and structure in different classes of greens prevalent in the city. As urban green spaces (UGS) are also reservoirs of carbon stock, the study estimates their biomass. Through rigorous field work, data were collected from 246 sample plots across various UGS classes as pre-stratification. Then the biomass was estimated using non-destructive method with species-specific equation. The diversity of tree species recorded in UGS varies, with high diversity recorded in avenue plantation and institutional compounds. The overall variation in species composition among UGS classes was 36.8%. While in managed greens the species composition was similar, in institutional greens and forest it was different. Particularly, in forest the evenness was high with low diversity and low species richness. The structural distribution indicate lack of old trees in the city, with high number of tree species between diameter classes of 10–40 cm. Biomass was recorded high in road-side plantations (335 t ha−1) and playgrounds (324 t ha−1), and trees with bigger girth size where the main contributors. The dominant species indicates that high growth rate, tolerance to drought and pollution are the key attributes considered for species selection by local authorities. Though the city holds green image, vegetation along the avenues and institutions are stressed, exposed, and threatened by felling activities for grey infrastructure expansions. In such scenario, protection and preservation of older trees is crucial to maintain the carbon stock of the city. In addition, local authorities need to focus on effective afforestation programs through public participation to achieve high survival rate and reduce the maintenance cost. For species selection in addition to phenology and growth rate, tree biomass and life span needs to be considered to significantly enhance the urban environment and increase the benefits derived from UGS.</t>
  </si>
  <si>
    <t>Lahoti, Shruti; Lahoti, Ashish; Joshi, Rajendra Kumar; Saito, Osamu</t>
  </si>
  <si>
    <t>https://app.dimensions.ai/details/publication/pub.1126095645</t>
  </si>
  <si>
    <t>10.1016/j.pce.2022.103106</t>
  </si>
  <si>
    <t>VULNERABILITY ASSESSMENT AND ITS DRIVING FORCES IN TERMS OF NDVI AND GPP OVER THE LOESS PLATEAU, CHINA</t>
  </si>
  <si>
    <t>With the impact of climate change and the implementation of the “Grain-for-Green” ecological restoration project, the dynamics of water and heat transport and storage in the Loess Plateau (LP) have changed substantially. However, studies on the vulnerability of the LP ecosystem in response to ecological restoration are less concerned. Based on the normalized difference vegetation index (NDVI) and the gross primary production (GPP), this study assessed the spatial change of ecological vulnerability (EV) in the LP during 2001–2019. Results showed that (1) the annual mean NDVI and GPP was high in the southeast of LP and low in the northwest. The trend of NDVI and GPP presented a significant upward trend over approximately 85% of the regions; (2) the ecological vulnerability of LP displayed a low-to-high gradient from southeast to the northwest. Medium (0.3–0.45) and heavy (≥0.45) vulnerability levels occurred in the northwest of LP, which was attributed to less vegetation and serious land degradation; (3) forestland has the lowest vulnerability whereas grassland, sparse vegetation and urban land exhibited higher vulnerability, with the respective percentages of vulnerable areas of 63.8%, 90.4%, 70% in terms of NDVI and 87.1%, 49.8%, 38.4% in terms of GPP; and (4) the EV of LP was impacted by climate and terrain. The magnitude of vulnerability was negatively correlated with precipitation, temperature and slope, and positively correlated with drought. It is suggested that precipitation, slope and drought stress were the dominant factors of EV. The findings provide guidance for appropriate planning of ecological restoration in the LP.</t>
  </si>
  <si>
    <t>Zhang, Xiaoyuan; Liu, Kai; Li, Xueke; Wang, Shudong; Wang, Jinnian</t>
  </si>
  <si>
    <t>https://app.dimensions.ai/details/publication/pub.1144788867</t>
  </si>
  <si>
    <t>10.1016/j.scs.2019.101653</t>
  </si>
  <si>
    <t>WEST AFRICAN SAHELIAN CITIES AS SOURCE OF CARBON STOCKS: EVIDENCE FROM NIGER</t>
  </si>
  <si>
    <t>The need for sustainable cities under a changing climate calls for intensive research on the role of urban forests in climate change mitigation. This study estimated the carbon stocks and carbon emission factors in Niamey and Maradi. Stratified random sampling approach was used for the urban forests inventory. Biomass was estimated using the generalized model. Stock-difference method was used for the carbon emission factor. Focusing on woody plants with a diameter at breast height &gt; 5 cm, 2,027 stems (78 species) were measured in Niamey and 2,456 stems (90 species) were measured in Maradi. The mean carbon stock was 31.63 (15.63, 47.64) in Niamey and 58.30 (13.10, 103.50) t/ha in Maradi. The mean carbon stock was significantly different in each city (p &lt; 0.05) across land use types. The results show that the conversion of peri-urban forests into the urban forest in any of the land use types is associated with carbon gain. This study illustrated the potential benefits of accounting for urban forest carbon stocks within Sahel cities under rapid urbanization. This study recommends that the urban forest carbon stocks should be included in climate change mitigation in Niger.</t>
  </si>
  <si>
    <t>Moussa, Soulé; Kyereh, Boateng; Tougiani, Abasse; Kuyah, Shem; Saadou, Mahamane</t>
  </si>
  <si>
    <t>https://app.dimensions.ai/details/publication/pub.1117047028</t>
  </si>
  <si>
    <t>10.3390/plants14030392</t>
  </si>
  <si>
    <t>WITH GREAT ECOSYSTEM SERVICES COMES GREAT RESPONSIBILITY: BENEFITS PROVIDED BY URBAN VEGETATION IN BRAZILIAN CITIES</t>
  </si>
  <si>
    <t>Ecosystem services (ESs) are extremely important, specifically in urban areas. Urban forests, even representing a pivotal role in global sustainability, have been converted into different human-modified landscapes. This paper aims to analyze the ES provided by the urban areas of 25 cities of the Atlantic Forest in Brazil. We used i-Tree Canopy v.7.1 to classify the land use. We quantified the monetary benefits of the urban vegetation and used socioeconomic variables (i.e., total population, population density, Human Development Index (HDI), and Gross Domestic Product (GDP) per capita) to analyze if the ecosystem services or the land uses are associated with this. Our data reveal that together, the cities studied sequester a significant total of 235.3 kilotonnes of carbon and a substantial 864.82 kilotonnes of CO2 Equivalent (CO2 Equiv.) annually. Furthermore, together, they also store a total of 4861.19 kilotonnes of carbon and 17,824.32 kilotonnes of CO2 Equiv. We found out that the average monetary estimate of annual carbon sequestration was USD 3.57 million, while the average stored estimate was USD 73.76 million. Spearman's correlogram showed a strong positive correlation between density and the percentage of impervious cover non-plantable no trees (IN) in urban areas (p &lt; 0.001). IN was also positively correlated with HDI (p = 0.01), indicating that urban areas with higher HDI tend to have larger impervious areas. Our data suggest essential insights about the ecosystem services provided by urban areas and can serve as significant findings to drive policymakers' attention to whether they want to provide more ecosystem services in cities.</t>
  </si>
  <si>
    <t>Candido, Helder Marcos Nunes; Endreny, Theodore A.; Carvalho, Fabrício Alvim</t>
  </si>
  <si>
    <t>https://app.dimensions.ai/details/publication/pub.1185011368</t>
  </si>
  <si>
    <t>10.1007/s11252-019-00835-z</t>
  </si>
  <si>
    <t>WOODY SPECIES AND TRAIT DIVERSITY-FUNCTIONAL RELATIONS OF GREEN SPACES IN KUMASI, GHANA</t>
  </si>
  <si>
    <t>Urban biodiversity is essential to creating resilient and sustainable cities. Nevertheless, there is paucity of data on the characterization of microhabitat effects on species/trait diversity and diversity-functional relationships in urban landscapes especially in developing countries. The objectives of this study were to; 1) analyze tree species diversity and composition of urban green space (UGS) types and urban zones, (2) describe the life history diversity of UGS types and urban zones and 3) examine the links between species and life history trait diversity and species productivity (carbon storage) in Kumasi, Ghana. Stratified random sampling was adopted in surveying 470 sampling plots and six streets of lengths ranging from 50 m to 1 km. About 176 tree species in 46 families were recorded within Kumasi. About 96 species were in an adjacent natural forest located at the outskirts of the city. Home gardens, institutional compounds, and public parks had the highest species richness of 76, 75 and 71, respectively while urban rangelands and farmlands were the least species rich with 6 and 23, respectively. Species richness (S) in the peri-urban (LDUZ, S = 142) and core urban (HDUZ, S = 108) were significantly different (Χ2 = 15.7, p &lt; 0.0001, n = 1). Native species richness was lowest in the core urban area and highest in the natural forest. Pioneers and anthropochory dispersed species were the most abundant, suggesting that this urban landscape is shaped by both environment and social filters. Tree species diversity and distribution depend on the type of UGS and portrays a perturbed landscape in the early seres of succession with the overall ecosystem function sustained by both species and life history trait diversities. The implications of these findings for improving urban biodiversity conservation and overall urban sustainability are discussed.</t>
  </si>
  <si>
    <t>Nero, Bertrand Festus</t>
  </si>
  <si>
    <t>https://app.dimensions.ai/details/publication/pub.1112225166</t>
  </si>
  <si>
    <t>ID</t>
  </si>
  <si>
    <t>Authors</t>
  </si>
  <si>
    <t>Language</t>
  </si>
  <si>
    <t>Publication_date</t>
  </si>
  <si>
    <t>Data_year</t>
  </si>
  <si>
    <t>Short_long_term</t>
  </si>
  <si>
    <t>Hemisphere</t>
  </si>
  <si>
    <t>Latitude</t>
  </si>
  <si>
    <t>Longitude</t>
  </si>
  <si>
    <t>City</t>
  </si>
  <si>
    <t>Region_Country</t>
  </si>
  <si>
    <t>Climatic_region</t>
  </si>
  <si>
    <t>Pluviosity</t>
  </si>
  <si>
    <t>Temperature</t>
  </si>
  <si>
    <t>Seasons</t>
  </si>
  <si>
    <t>Biome</t>
  </si>
  <si>
    <t>Habitat</t>
  </si>
  <si>
    <t>Urban_scale</t>
  </si>
  <si>
    <t>Urbanization_intensity_class</t>
  </si>
  <si>
    <t>Estimate_method</t>
  </si>
  <si>
    <t>Plant_metrics</t>
  </si>
  <si>
    <t>Vegetetion_type</t>
  </si>
  <si>
    <t>Scale _of_measurement (individual tree, patch, multi-patch)</t>
  </si>
  <si>
    <t>Primary_production_carbon_sink</t>
  </si>
  <si>
    <t>Carbon_metric</t>
  </si>
  <si>
    <t>Cabon_stock</t>
  </si>
  <si>
    <t>Biomass</t>
  </si>
  <si>
    <t>Area</t>
  </si>
  <si>
    <t>Environment_age</t>
  </si>
  <si>
    <t>Species</t>
  </si>
  <si>
    <t>English</t>
  </si>
  <si>
    <t>August 2022</t>
  </si>
  <si>
    <t>short</t>
  </si>
  <si>
    <t>northern</t>
  </si>
  <si>
    <t>Chennai</t>
  </si>
  <si>
    <t>India</t>
  </si>
  <si>
    <t>tropical wet and dry climate </t>
  </si>
  <si>
    <t>mean annual rainfall of 1400 mm</t>
  </si>
  <si>
    <t>summer</t>
  </si>
  <si>
    <t>mangrove</t>
  </si>
  <si>
    <t>urban estuary</t>
  </si>
  <si>
    <t>patch</t>
  </si>
  <si>
    <t>NA</t>
  </si>
  <si>
    <t>allometric equation; field sampling</t>
  </si>
  <si>
    <t>Girth at breast height(GBH) and tree height were measured</t>
  </si>
  <si>
    <t>trees</t>
  </si>
  <si>
    <t>annual sequestration at 325.71 Mg C year−1 (1195.42 Mg CO2e year−1)</t>
  </si>
  <si>
    <t>aboveground and belowground</t>
  </si>
  <si>
    <t>99.89 Mg C ha−1 Total carbon storage was 2288.00 Mg C (8397.05 Mg CO2e)</t>
  </si>
  <si>
    <t>median total vegetation biomass of 222.26 Mg ha−1</t>
  </si>
  <si>
    <t>56.6 acres</t>
  </si>
  <si>
    <t>Extensive mangrove afforestation was carried out between 2008 and 2016</t>
  </si>
  <si>
    <t xml:space="preserve">The planted native mangrove species included Aegiceras corniculatum, Avicennia spp., Bruguiera cylindrica, Excoecaria agallocha and Rhizophora spp. The invasive alien plant Prosopis juliflora  </t>
  </si>
  <si>
    <t>The afforested mangroves showed a median density of 3900 trees ha−1</t>
  </si>
  <si>
    <t>between October 2017 and December 2018</t>
  </si>
  <si>
    <t>southern</t>
  </si>
  <si>
    <t>12°49′S</t>
  </si>
  <si>
    <t>28°12′E</t>
  </si>
  <si>
    <t>Kitwe</t>
  </si>
  <si>
    <t>Zambia</t>
  </si>
  <si>
    <t>tropical and subtropical</t>
  </si>
  <si>
    <t>mean yearly precipitation of 1226 mm</t>
  </si>
  <si>
    <t>annual mean temperature of 22.3 °C</t>
  </si>
  <si>
    <t>rainy season </t>
  </si>
  <si>
    <t>tropical and subtropical grasslands, savannas, and shrublands</t>
  </si>
  <si>
    <t>street</t>
  </si>
  <si>
    <t>multi-patch</t>
  </si>
  <si>
    <t xml:space="preserve">Height of the tree; Diameter at breast heigh; Wood density(g/cm3); measurement of tree uptake of CO2 combined with core samples was done by using incremental borers taken at dendrometer measurement positions </t>
  </si>
  <si>
    <t>aboveground</t>
  </si>
  <si>
    <t>Total CO2 Uptake (kg): mean (1490.61±179.32), total (140117.30); Total C Uptake: mean (406.16±48.86), total (38179.10)</t>
  </si>
  <si>
    <t>AGB (kg per tree): mean (812.32±97.72), total (76358.20)</t>
  </si>
  <si>
    <t>Gmelina arborea, Plumeria rubra, Spathodea campanulata (S. nilotica), Eucalyptus grandis, Senna siamea (Cassia siamea), Bauhinia variegata, Jacaranda mimosifolia, Toona ciliata, Delonix regia, Pinus oocarpa, Schefflera actinophylla</t>
  </si>
  <si>
    <t>94 trees</t>
  </si>
  <si>
    <t>1995, 2005, and 2015; The field data collection was carried out in 2018</t>
  </si>
  <si>
    <t>long</t>
  </si>
  <si>
    <t>4°40'6.61"N</t>
  </si>
  <si>
    <t>101° 4'45.84"E</t>
  </si>
  <si>
    <t>Ipoh</t>
  </si>
  <si>
    <t>Malaysia</t>
  </si>
  <si>
    <t>oil palm plantation and urban forest</t>
  </si>
  <si>
    <t>allometric equation; field sampling (for oil palm plantation) and remote sensing (landsat and NDVI)</t>
  </si>
  <si>
    <t>height</t>
  </si>
  <si>
    <t>Total Carbon storage (tonne/ha): Urban forest: 1995:20,532.462; 2005:18,669.592; 2015:11,868.363. Oil palm plantation: 1995:48.953; 2005: 662.568; 2015:860.029</t>
  </si>
  <si>
    <t>Biomass (tonne/ha): Urban forest: 1995:41,064.923 tonne; 2005:37,119.184; 2015:23,736.726. Oil palm plantation: 1995:97.906; 2005:1,325.136; 2015:1,720.058</t>
  </si>
  <si>
    <t>Total Area (ha): Urban forest: 1995: 341.789; 2005:363.141; 2015:374.479. Oil palm plantation: 1995:52.951 ; 2005: 31.599 ; 2015:20.261</t>
  </si>
  <si>
    <t>March in 2008</t>
  </si>
  <si>
    <t>27°47′–28°26′N</t>
  </si>
  <si>
    <t>75°56′–76°51′E</t>
  </si>
  <si>
    <t>Mahendergarh</t>
  </si>
  <si>
    <t>hot-tropical to sub-tropical </t>
  </si>
  <si>
    <t>average annual rainfall is about 310 mm</t>
  </si>
  <si>
    <t>7 TOF classwise (3 linear, block and 3 scattered)</t>
  </si>
  <si>
    <t>rural and urban classes</t>
  </si>
  <si>
    <t>allometric equation; field sampling; remote sensing by IRS-P6 LISS-IV satellite data</t>
  </si>
  <si>
    <t>Height of the tree; Diameter at breast heigh;</t>
  </si>
  <si>
    <t>Table 4. Calculated carbon content (as per the TOF classwise). Carbon Sl. no. TOF type (tons/hectare) 1 Linear 19.34 a) Road 19.75 b) Canal 21.47 c) Rail 5.30 2 Block 8.66 3 Scattered 3.40 a) Urban 4.53 b) Rural 3.22 c) Agro-forestry 3.10</t>
  </si>
  <si>
    <t>The present study considered the universal coefficient of 0.475 to estimate the carbon content in the TOF by multiplying the total phytomass by a conversion factor 0.475.</t>
  </si>
  <si>
    <t>The total area covered by TOFs is 5142.32 hectares which is 4.19% of the total area considered for the TOF mapping</t>
  </si>
  <si>
    <t>The area is dominated with the species like Acacia nilotica, Acacia senegal, Capparis deciduas, Acacia nilotica, Azadirachta indica and Prosopis cineraria.</t>
  </si>
  <si>
    <t>TOF type trees/hectare
1 Linear: a) Road 171–1556; b) Rail 478–557; c) Canal 852–1440
2 Block: 447–1200
3 Scattered: a) Urban 170–416; b) Rural 132–336; c) Agro-forestry 64–164</t>
  </si>
  <si>
    <t>from April to July 2015</t>
  </si>
  <si>
    <t>Akure</t>
  </si>
  <si>
    <t>Nigeria</t>
  </si>
  <si>
    <t>spring and summer</t>
  </si>
  <si>
    <t xml:space="preserve">allometric equation; field sampling; </t>
  </si>
  <si>
    <t>individual trees</t>
  </si>
  <si>
    <t>Total Carbon kg: 9,937.44; Total CO2 kg: 35,736.36</t>
  </si>
  <si>
    <t>Tabebuia rosea, Polyalthia longifolia, Delonix regia, Raphia farinifera and Ficus spp</t>
  </si>
  <si>
    <t>1176 trees</t>
  </si>
  <si>
    <t>February to March 2023</t>
  </si>
  <si>
    <t>Bandung</t>
  </si>
  <si>
    <t>Indonesia</t>
  </si>
  <si>
    <t>urban forest</t>
  </si>
  <si>
    <t>urban center</t>
  </si>
  <si>
    <t>i-Tree Eco; field sampling</t>
  </si>
  <si>
    <t>tree species, DBH, tree height (measured on total height, top height, and base height), crown width and health, percentage of impervious/shrub under the tree and light exposure estimated by one person by visual examination.</t>
  </si>
  <si>
    <t>gross sequestration of 25.17 tons of carbon annually; net carbon sequestration in the urban forest is about 24.4 metric tons;  Filicium decipiens (3.79 ton/yr) followed by Gmelina arborea (2.57 ton/yr) and Terminalia catappa (2.24 ton/yr)</t>
  </si>
  <si>
    <t xml:space="preserve"> store 381 metric tons of carbon. From the sampled species, it is known that the tree species that store the most carbon is Filicium decipiens (75.64 ton) followed by Swietenia mahagoni (50.86 ton) and Gmelina arborea (28.32 ton)</t>
  </si>
  <si>
    <t>5 hectares</t>
  </si>
  <si>
    <t>11 important species: Filicium decipiens(Exotic); Gmelina arborea (Exotic); Terminalia catappa (Exotic); Khaya anthotheca (Exotic); Spathodea campanulata (Exotic); Ficus benjamina (Native); Pinus merkusii (Native); Swietenia mahagoni (Exotic); Theobroma cacao (Exotic) Diospyros sp. (Native); Parkia speciosa (Native)</t>
  </si>
  <si>
    <t xml:space="preserve"> 1,607 individual trees and density of 321 trees/Ha</t>
  </si>
  <si>
    <t>recorded in 2020</t>
  </si>
  <si>
    <t>21º41’20” S </t>
  </si>
  <si>
    <t>43º20’40” W</t>
  </si>
  <si>
    <t>Juiz de Fora</t>
  </si>
  <si>
    <t>Brazil</t>
  </si>
  <si>
    <t>subtropical in altitude (Cwa, sensu Köeppen)</t>
  </si>
  <si>
    <t>average annual precipitation is approximately 1500 mm</t>
  </si>
  <si>
    <t>average annual temperature of around 19 ºC</t>
  </si>
  <si>
    <t>Atlantic forest</t>
  </si>
  <si>
    <t>urban and periurban forest</t>
  </si>
  <si>
    <t>remote sensing, software i-Tree Canopy v. 7.0</t>
  </si>
  <si>
    <t>Total quantity sequestered annually in trees (kt) 158.43 ± 6.70</t>
  </si>
  <si>
    <t>The total quantity stored in the city trees 3.978.87 ± 168.18 (kt)</t>
  </si>
  <si>
    <t>~ 500km²</t>
  </si>
  <si>
    <t xml:space="preserve">trees/shrubs (35.86%) </t>
  </si>
  <si>
    <t>BALANÇO DE EMISSÕES E REMOÇÕES DE GASES DE EFEITO ESTUFA NO CAMPUS DA UNIVERSIDADE FEDERAL DE VIÇOSA</t>
  </si>
  <si>
    <t>Brianezi, Daniel, Jacovine, Laércio Antônio Gonçalves, Soares, Carlos Pedro Boechat, Gonçalves, Wantuelfer, Rocha, Samuel José Silva Soares da</t>
  </si>
  <si>
    <t>Portuguese</t>
  </si>
  <si>
    <t>outubro de 2010 a outubro de 2011</t>
  </si>
  <si>
    <t>20° 44’ - 20° 47’ S</t>
  </si>
  <si>
    <t>42° 52’ - 42° 50’ W</t>
  </si>
  <si>
    <t>Viçosa</t>
  </si>
  <si>
    <t>urban forest and street trees</t>
  </si>
  <si>
    <t>periurban</t>
  </si>
  <si>
    <t>field sampling; estimation by local literature</t>
  </si>
  <si>
    <t>Arborização do campus: 125.70 tCO₂eq ano⁻¹ (2.37%); Capoeira: 1,285.89 tCO₂eq ano⁻¹ (24.23%); Floresta: 1,596.89 tCO₂eq ano⁻¹ (30.09%); Reflorestamento: 2,298.68 tCO₂eq ano⁻¹ (43.31%).</t>
  </si>
  <si>
    <t>aboveground (for campus trees is above and belowground)</t>
  </si>
  <si>
    <t>540.2 ha total; Arborização do campus: 15.47 ha (2.86%); Capoeira: 175.19 ha (32.40%); Floresta: 290.08 ha (53.66%); Reflorestamento: 59.88 ha (11.08%)</t>
  </si>
  <si>
    <t>Floresta Estacional Semidecidual Montana and Eucaliptus sp.</t>
  </si>
  <si>
    <t>COMPORTAMIENTO DEL CARBONO RETENIDO EN EL ARBOLADO URBANO EN EL SUR DE LA CIUDAD DE GUANTÁNAMO</t>
  </si>
  <si>
    <t>Rodríguez Matos, Yuris, Ajete Hernández, Arlety, Orta Pozo, Surima, Rondón González, Daniel Nidier, Rivera Díaz, José Reynaldo</t>
  </si>
  <si>
    <t>Spanish</t>
  </si>
  <si>
    <t>entre los meses de noviembre de 2016 a diciembre de 2017</t>
  </si>
  <si>
    <t>20° 08′ 18″ N</t>
  </si>
  <si>
    <t>75° 12′ 22″ W</t>
  </si>
  <si>
    <t>Guantánamo</t>
  </si>
  <si>
    <t>Cuba</t>
  </si>
  <si>
    <t>mientras las precipitaciones son de 851,1 mm</t>
  </si>
  <si>
    <t>promedio anual de 26,27 °C</t>
  </si>
  <si>
    <t>spring</t>
  </si>
  <si>
    <t>The diameter (m), height of the plant (m), basal area (m2), volume (m3)</t>
  </si>
  <si>
    <t>retienen un total de 76 968,87 t. de carbono, a razón de 0,0264 t. por individuo</t>
  </si>
  <si>
    <t>total aboveground: 107.65 t; total belowground: 32.32 t; total  biomass 140 t</t>
  </si>
  <si>
    <t>195.117 ha</t>
  </si>
  <si>
    <t>Terminalia catappa; Persea americana; Azadirachta indica; Annona squamosa; Annona cherimola; Cordia alliodora; Thevetia peruviana; Casuarina equisetifolia; Protium cubense; Cassia grandis; Swietenia mahagoni; Ceiba pentandra; Aleuritis moluccana; Delonix regia; Peltophorum ferrugineum; Plumeria rubra; Annona muricata; Crescentia cujete; Psidium guajava; Citrus limon; Leucaena leucocephala; Mangifera indica; Talipariti elatum; Moringa oleifera; Melicocca bijuga; Citrus aurantium; Morinda citrifolia; Spondias mombin; Coccothrinax argentea; Roystonea regia; Tabebuia angustata; Tamarindus indica; Cordia alba; Cecropia peltata.</t>
  </si>
  <si>
    <t>1,259 individuos</t>
  </si>
  <si>
    <t>ESTRUCTURA Y SECUESTRO DE CARBONO EN MANGLARES URBANOS, FUNDAMENTOS PARA SU CONSERVACIÓN EN ISLA DEL CARMEN, CAMPECHE, MÉXICO</t>
  </si>
  <si>
    <t>Hernández-Nava, José, Pascual-Barrera, Alina Eugenia, Zaldívar-Jiménez, Arturo, Pérez-Ceballos, Rosela</t>
  </si>
  <si>
    <t>en los meses de julio y agosto del año 2017</t>
  </si>
  <si>
    <t>18º 39’ 29.10” - 18º 39’ 39.45” N</t>
  </si>
  <si>
    <t>91º 49’ 2.00” - 91º 48’ 36.92” W</t>
  </si>
  <si>
    <t>Isla del Carmen</t>
  </si>
  <si>
    <t>Mexico</t>
  </si>
  <si>
    <t>El clima es húmedo y tropical</t>
  </si>
  <si>
    <t>con precipitación media anual de 1,100-2,000 mm</t>
  </si>
  <si>
    <t>temperatura media entre 17 y 35 ºC</t>
  </si>
  <si>
    <t>The diameter (m), height of the plant (m)</t>
  </si>
  <si>
    <t>above-ground and below-ground</t>
  </si>
  <si>
    <t>the site without land use changes (383 Mg C ha-1) was higher than in the site filled with rubble (321 Mg C ha-1)</t>
  </si>
  <si>
    <t>carbon stock / 0.46</t>
  </si>
  <si>
    <t>6.7 ha</t>
  </si>
  <si>
    <t>Avicennia germinans (Ag), Conocarpus erectus (Ce), Laguncularia racemosa (Lr) y Rhizophora mangle (Rm)</t>
  </si>
  <si>
    <t>densidade (individuo/ha): zona 1: 1400 ± 162; zona 2: 1162 ± 147</t>
  </si>
  <si>
    <t>VALORACIÓN ECONÓMICA DE LOS SERVICIOS ECOSISTÉMICOS DE CUATRO SISTEMAS FORESTALES PERIURBANOS A TRAVÉS DE I-TREE ECO</t>
  </si>
  <si>
    <t>González-Hernández, Liborio, Romo-Lozano, José Luis, Cristóbal-Acevedo, David, Martínez Damian, Miguel Ángel, Mohedano Caballero, Leopoldo</t>
  </si>
  <si>
    <t xml:space="preserve"> junio-diciembre de 2022</t>
  </si>
  <si>
    <t>19°27'50.55" - 19°27'6.54"N</t>
  </si>
  <si>
    <t>98°49'34.65" - 98°48'3.54"W</t>
  </si>
  <si>
    <t>The climate is predominantly C(w1) (National Institute of Statistics and Geography [INEGI], 2020) temperate subhumid</t>
  </si>
  <si>
    <t>precipitación anual
promedio de 613.2 mm</t>
  </si>
  <si>
    <t>temperatura media anual entre 12 °C y 18 °C</t>
  </si>
  <si>
    <t>winter, spring</t>
  </si>
  <si>
    <t>multi-city</t>
  </si>
  <si>
    <t>field sampling; i-Tree Eco program; allometric equation</t>
  </si>
  <si>
    <t>carbon capture of 690.26 kg year-1</t>
  </si>
  <si>
    <t>276 individuals</t>
  </si>
  <si>
    <t xml:space="preserve"> 09°32’ N</t>
  </si>
  <si>
    <t>76°36’ E</t>
  </si>
  <si>
    <t>Kottayam</t>
  </si>
  <si>
    <t>humid equatorial climatic</t>
  </si>
  <si>
    <t>rainfall totals ranged from 1800 to 3400 mm annually</t>
  </si>
  <si>
    <t>25°C</t>
  </si>
  <si>
    <t>Hevea brasiliensis plantation</t>
  </si>
  <si>
    <t>field sampling</t>
  </si>
  <si>
    <t>destructive biomass estimation for one hectare plantation</t>
  </si>
  <si>
    <t xml:space="preserve">Results revealed a total ecosystem carbon loss of 2142, 5355, 10710 tons for 23 years and 3415, 8538, 17075 tons for 30 years under deforested area of 10, 25, and 50 hectares, respectively. </t>
  </si>
  <si>
    <t>The carbon loss (tons) from tree biomass (tons) removal was 570, 1425, 2850, for 23 year plantation. In 30 years plantation, carbon loss from tree biomass was 1480, 3700, 740 tons, under deforested area of 10, 25, and 50 hectares, respectively.</t>
  </si>
  <si>
    <t>10, 25 and 50 ha</t>
  </si>
  <si>
    <t>23 and 30 years</t>
  </si>
  <si>
    <t>Hevea brasiliensis</t>
  </si>
  <si>
    <t>ASSESSMENT OF BIODIVERSITY RICHNESS AND CARBON SEQUESTRATION POTENTIAL IN INSTITUTIONAL CAMPUS – A CASE STUDY</t>
  </si>
  <si>
    <t>Shrimathi, P; Chandramathy, I; Rathinam, R S Gnana</t>
  </si>
  <si>
    <t xml:space="preserve">Madurai </t>
  </si>
  <si>
    <t>urban forest (campus area)</t>
  </si>
  <si>
    <t xml:space="preserve">allometric equation; field sampling; Below ground biomass (Kg/tree) = AGB x 0.26 </t>
  </si>
  <si>
    <t>Diameter at Breast Height (DBH) and Height of the tree (H)</t>
  </si>
  <si>
    <t>a total of 32,028.2 tonnes of CO2. The results also reveal that the native trees accounted for 378459.44 kg of CO2 sequestration (71.8%). In contrast, the exotic trees accounted for 148558.4 kg (28.2%) of CO2 sequestration.</t>
  </si>
  <si>
    <t>50 acres</t>
  </si>
  <si>
    <t xml:space="preserve"> established in 1957</t>
  </si>
  <si>
    <t>Azadirachta indica; Ficus Benghalensis; Albizia Lebbeck; Arecaceae; Cocos nucifera; Ficus Religiosa; Couroupita Diaguayanesis; Tectona Grandis; Tamarindus Indica; Mimusops elengi (Bakula); Bassia Longifolia; Syzygium cumini; Saraca asoca; Lagerstroemia indica; Phyllanthus emblica; Albizia lebbeck (L.).Benth.; Millettia pinnata; Peltophorum pterocarpum; Dypsis lutescens; Acacia muricata(L). Wild.; Fraxinus excelsior L.; Melia azedarach; Kigelia africana (Lam.) benth.; Eriobotrya japonica; Tabebuia aurea(silva manso); Magnolia grandiflora; Ailanthus altissima(Mil.); Pongamia pinnata(L).pierre; Gleditsia triacanthos; Delonix regia; Plumeria rubra; Callistemon citrinus; Phoenix reclinata; Roystonea regia; Eugenia uniflora; Persea borbonia; Bauhinia monandra; Psidium guajava; Pinus roxburghii; Eucalyptus globulus.</t>
  </si>
  <si>
    <t>714 trees  = 17% exotic and 83% native</t>
  </si>
  <si>
    <t>during 2015, 2016 and 2017. Trees were measured annually during November month of each year</t>
  </si>
  <si>
    <t>26°55′ N</t>
  </si>
  <si>
    <t>80°59′E</t>
  </si>
  <si>
    <t>Lucknow</t>
  </si>
  <si>
    <t>annual average precipitation is about 999 mm</t>
  </si>
  <si>
    <t>autumn</t>
  </si>
  <si>
    <t>urban forest (botanic garden)</t>
  </si>
  <si>
    <t>allometric equation; field sampling.</t>
  </si>
  <si>
    <t>Tree height, diameter at breast height (DBH) and leaf area index (LAI)</t>
  </si>
  <si>
    <t>AGB or BGB/8(years)</t>
  </si>
  <si>
    <t xml:space="preserve">total C: Tectona grandis (25.54 ± 12.85); Mallotus nudiflorus (19.97 ± 9.20); Syzygium cumini (3.65 ± 2.48) </t>
  </si>
  <si>
    <t>Tectona grandis: AGB (59.30 ± 29.84) BGB (12.63 ± 5.62) total biomass(71.94 ± 35.46); Mallotus nudiflorus: AGB (41.03 ± 18.90); BGB (9.13 ±3.68) total biomass (50.09 ± 22.55); S. cumini: AGB (9.20 ±5.56) BGB (2.56 ±1.56) total biomass (4.96 ±6.73)</t>
  </si>
  <si>
    <t>0.5 ha</t>
  </si>
  <si>
    <t>8 years after the plantation</t>
  </si>
  <si>
    <t>Tectona grandis, Mallotus nudiflorus and Syzygium cumini</t>
  </si>
  <si>
    <t>BIOMASS ESTIMATES FROM URBAN GREEN SPACE IN BEKASI CITY USING SENTINEL IMAGERIES</t>
  </si>
  <si>
    <t>Putra, R D; Shidiq, I P A; Rokhmatuloh</t>
  </si>
  <si>
    <t>6°10'6'' – 6°30'6'' S</t>
  </si>
  <si>
    <t>106°48'28'' – 107°27'29'' E</t>
  </si>
  <si>
    <t>Bekasi</t>
  </si>
  <si>
    <t>Urban Green Space (UGS) (urban green spaces)</t>
  </si>
  <si>
    <t>remote sensing (Sentinel-2B satellite imageries and four vegetation index, NDVI, GNDVI, SAVI, and OSAVI); field measurements and allometric equations</t>
  </si>
  <si>
    <t>the diameter of the tree, the height of the tree and the typed of tree</t>
  </si>
  <si>
    <t>GRID = plot size of 100x100 meters</t>
  </si>
  <si>
    <t xml:space="preserve">The biomass value produced from the model ranges from 0.10149 tons/grid or 101,49 kg/grid to 1.913 tons/grid or 1913.99 kg/grid. </t>
  </si>
  <si>
    <t xml:space="preserve">14.55 km2 or 6.91% of the total area of Bekasi City </t>
  </si>
  <si>
    <t>Swietenia mahagoni, Terminalia catappa, Musa x paradisiaca, Nauclea orientalis, Mangifera, Arecaceae, and Cinnamomum camphora.</t>
  </si>
  <si>
    <t>during April–June month of 2022</t>
  </si>
  <si>
    <t>31.7’30” N</t>
  </si>
  <si>
    <t xml:space="preserve">77.12’ 30” E </t>
  </si>
  <si>
    <t>Shimla</t>
  </si>
  <si>
    <t>The average temperature during summer is 19 ̊ and 28 ̊C, and in winter 1 ̊ and 10 ̊C.</t>
  </si>
  <si>
    <t xml:space="preserve">allometric equation; field sampling. </t>
  </si>
  <si>
    <t>Diameter by using calliper at breast height (DBH) and heigh. To calculate the grass biomass, grass present within the given quadrate (1X1m) has been cut at the ground level and weighed</t>
  </si>
  <si>
    <t xml:space="preserve">Tree/Shrub; Grass/Herbaceous </t>
  </si>
  <si>
    <t>mean of biomass (t ha-1): AGB: B1(1800–2200 m a.s.l)= 297.530; B2 (2200–2600 m a.s.l )=380.010. BGB: B1(1800–2200 m a.s.l)= 102.830; B2(2200–2600 m a.s.l )= 131.540. Shrub: B1= 1.065, B2=1.325, herbs/grass: B1=  3.041, B2= 2.572.</t>
  </si>
  <si>
    <t>2.4 hac</t>
  </si>
  <si>
    <t>Pinus roxburghii, Pinus wallichiana, Cedrus deodara, Quercus semicarpifolia, Rhododendron arboreum, Quercus leucotrichophora.</t>
  </si>
  <si>
    <t>from January 2020 to June 2022</t>
  </si>
  <si>
    <t>24.7240°N</t>
  </si>
  <si>
    <t>90.4374°E</t>
  </si>
  <si>
    <t>Mymensingh</t>
  </si>
  <si>
    <t>Bangladesh</t>
  </si>
  <si>
    <t>mult-patch</t>
  </si>
  <si>
    <t>rural area</t>
  </si>
  <si>
    <t>eight in m (by optical reading clinometer), diameter in cm (by measuring tape), and approximate age in year (by tree record and interview of caretaker/gardener).</t>
  </si>
  <si>
    <t>Monoon longifolium, Swietenia mahagoni, Albizia lebbeck, Mangifera indica, Tectona grandis, Cocos nucifera, Dypsis lutescens, T. arjuna, Khaya anthotheca, and Artocarpus heterophyllus are contributing most in terms of total C stock inside their biomass (Figure 6) in BAU. The calculated values are 264,768, 257,290, 118,310, 78,906, 51,744, 42,562, 38,096, 20,848, 20,571, and 19,496 kg year−1, respectively.</t>
  </si>
  <si>
    <t>average of C weight 300.2 kg per tree</t>
  </si>
  <si>
    <t>average of dry wight: 600.4 kg; average of green weight: 828 kg per tree.</t>
  </si>
  <si>
    <t>488 ha</t>
  </si>
  <si>
    <t>Monoon longifolium, Swietenia mahagoni, Albizia lebbeck, Mangifera indica, Tectona grandis, Cocos nucifera, Dypsis lutescens, T. arjuna, Khaya anthotheca, and Artocarpus heterophyllus</t>
  </si>
  <si>
    <t>27,543 trees comprising 424 species</t>
  </si>
  <si>
    <t>32.06 ha</t>
  </si>
  <si>
    <t>Taiwan</t>
  </si>
  <si>
    <t>Air quality enhancement zones in Taiwan: A carbon reduction benefit assessment</t>
  </si>
  <si>
    <t>Yi-Chung Wang, Jiunn-Cheng Lin</t>
  </si>
  <si>
    <t>9761 trees</t>
  </si>
  <si>
    <t>number of trees by species, diameter at breast height (DBH, at 1.3 m above the ground surface), tree height (H), and canopy width (CW, or crown diameter).</t>
  </si>
  <si>
    <t>average Ctree of 0.03 ton. Thus, the converted total forest carbon storage (Ctotal) in the 48 sampled AQEZs was 296.73 tons, with an average per hectare forest carbon storage (Caverage) of 9.25 tons/ha.</t>
  </si>
  <si>
    <t>he most frequently planted tree species were Cinnamomum burmannii (Indonesian cinnamon) (891), Swietenia macrophylla (big leaf mahogany) (857), Koelreuteria henryi (Chinese rain tree) (804), Terminalia boivinii (625), and Cinnamomum camphora (camphor tree) (534).</t>
  </si>
  <si>
    <t>average annual carbon sequestration of 1.34 ton-C/ha/yr. average annual plant carbon sequestration for all the AQEZs studied was 4.40 kg-C, which converts to 16.15 kg-CO2 per year</t>
  </si>
  <si>
    <t>green planted urban areas (landfill restoration sites, 107 bare-land sites, 87 waste-disposal (dump) and other contaminated sites, 80 green open spaces, 55 metropolitan bike paths, 77 metropolitan road areas, and 78 environmental parks)</t>
  </si>
  <si>
    <t>10 cities</t>
  </si>
  <si>
    <t>25°04′N</t>
  </si>
  <si>
    <t>121°31′E</t>
  </si>
  <si>
    <t>Subhajit KARMAKAR, Bhabani Sankar PRADHAN, Ankit BHARDWAJ, B. K. PAVAN, Rishabh CHATURVEDI, and Pradeep CHAUDHRY</t>
  </si>
  <si>
    <t>January in 2020</t>
  </si>
  <si>
    <t>77°23′30″E</t>
  </si>
  <si>
    <t>23°14′30″N</t>
  </si>
  <si>
    <t>Bhopal</t>
  </si>
  <si>
    <t>80.64 ha</t>
  </si>
  <si>
    <t>average rainfall in the campus is around1,000 mm,</t>
  </si>
  <si>
    <t>winter falls to 7°C and maximum in summer rises up to 45°C</t>
  </si>
  <si>
    <t>winter</t>
  </si>
  <si>
    <t>tree height, Diameter at Breast High, volume and AGB</t>
  </si>
  <si>
    <t>Acacia catechu, Anogeissus latifolia, Azadirachta indica, Bauhinia variegata, Bombax ceiba, Butea monosperma, Careya arborea, Cassia fistula, Schleichera oleosa, Dalbergia paniculata, Dalbergia sissoo, Diospyros melanoxylon, Ficus religiosa, Gardenia gummifera, Gardenia latifolia, Hardwickia binata Roxb., Holoptelea integrifolia, Lagerstroemia parviflora, Lannea coromandelica, Leucaena leucocephala, Manilkara hexandra, Miliusa tomentosa, Mitragyna parvifolia, Sterculia urens, Syzygium cumini, Terminalia alata, Terminalia arjuna, Wrightia tinctoria, Zizyphus xylopyrus</t>
  </si>
  <si>
    <t>tropical</t>
  </si>
  <si>
    <t>1950 individuals per ha</t>
  </si>
  <si>
    <t>total 18,352.51 kg C/ há, 18.35 Mg C/ha in standing biomass of natural forest and 15 Mg C/ha in Hardwickia binata Roxb. Plantation</t>
  </si>
  <si>
    <t>Hardwickia binata Roxb. planted during the year 1988</t>
  </si>
  <si>
    <t>26 February 2013 and 16 February 2015</t>
  </si>
  <si>
    <t>wet humid monsoon</t>
  </si>
  <si>
    <t>The annual rainfall ranges from 3233 to 3456 mm</t>
  </si>
  <si>
    <t>temperatures range from 28.9 °C to 32.7 °C and minimum temperatures range from 22.1 °C to 25.4 °C</t>
  </si>
  <si>
    <t>The total tree crown area at MC metro station was 1.53 ha in 2013 which got reduced to 0.64 ha in 2015 indicating a loss of nearly 58%.</t>
  </si>
  <si>
    <t>9°47′26″–10°10′38″ N</t>
  </si>
  <si>
    <t>76°9′25″–76°24′28″ E</t>
  </si>
  <si>
    <t>Chinchu Ann James, John C.M., Ratish Menon</t>
  </si>
  <si>
    <t>urban</t>
  </si>
  <si>
    <t>tree cover</t>
  </si>
  <si>
    <t xml:space="preserve">Above ground tree carbon stock for the entire study area was estimated at 42.78 t/ha (tonnes per hectare) and 39.49 t/ha for 2013 and 2015 respectively. </t>
  </si>
  <si>
    <t>vegetation area: 2013: 16.02ha, 2015: 18.52ha.</t>
  </si>
  <si>
    <t>metro rail-road/ street</t>
  </si>
  <si>
    <t>remote sensing(Normalized Difference Vegetation Index (NDVI) estimated from IRS-P6 LISS IV satellite sensor data)</t>
  </si>
  <si>
    <t xml:space="preserve">South Tangerang </t>
  </si>
  <si>
    <t>Vegetation area consists of urban forest, parks, cultivated land, street trees, and recreation area.</t>
  </si>
  <si>
    <t>allometric equation; field sampling; remote sensing (SPOT-7 image and NDVI)</t>
  </si>
  <si>
    <t>total biomass value of approximately 243.85 million kg</t>
  </si>
  <si>
    <t>carbon dioxide (CO2) stored in South Tangerang total 447 million kg.</t>
  </si>
  <si>
    <t xml:space="preserve"> approximately 147.19 km2 </t>
  </si>
  <si>
    <t xml:space="preserve"> tree height (m), diameter at the breast height (dbh) and tree species</t>
  </si>
  <si>
    <t>50,149 m² of vegetation cover</t>
  </si>
  <si>
    <t>06°13’30”S - 06°22’30”S</t>
  </si>
  <si>
    <t>106°38’00”E -  106°47’00”E</t>
  </si>
  <si>
    <t xml:space="preserve">Albizia saman, Pterocarpus indicus, Swietenia macrophylla and also Roystonea regia. </t>
  </si>
  <si>
    <t>1640.40 ha </t>
  </si>
  <si>
    <t>−20.48 °S</t>
  </si>
  <si>
    <t>−42.51 °W</t>
  </si>
  <si>
    <t xml:space="preserve">The densest vegetation (491.75 ha) was classified as secondary forest in an advanced stage of succession and the areas with less vegetation (535.42 ha) </t>
  </si>
  <si>
    <t>remote sensing (CBERS 04A satellite, NDVI) The factors used to calculate the carbon removal was 3.48 (adapted from De Melo and Durigan, 2006; Ferez et al., 2015; Villanova et al., 2019) and 1.16 (Rocha et al., 2020), in MgC.ha−1. year−1, for the initial/intermediate and advanced stages, successively.</t>
  </si>
  <si>
    <t xml:space="preserve">forest fragments in the initial and intermediate succession stages was 6270.46 MgCO2e.year−1 and in the advanced it was 2277.30 MgCO2e.year−1, therefore, 8547.76 MgCO2e.year−1 were removed by means of arboreal vegetation </t>
  </si>
  <si>
    <t>Selangor</t>
  </si>
  <si>
    <t>urban parks</t>
  </si>
  <si>
    <t>Taman Bandaran Kelana Jaya (TBKJ): 361,169 m2 and Taman Aman Petaling Jaya (TAPJ): 80,339 m2</t>
  </si>
  <si>
    <t>Taman Bandaran Kelana Jaya (TBKJ): built in 1995 and Taman Aman Petaling Jaya (TAPJ) built in 2001</t>
  </si>
  <si>
    <t>trees and turf</t>
  </si>
  <si>
    <t>allometric equation; remote sensing (unmanned aerial vehicle (UAV) drone)</t>
  </si>
  <si>
    <t>Tree heights and diameter at breast heights (DBH) were collected from the UAV flights</t>
  </si>
  <si>
    <t>3°06'12.1"N and 3°05'56.6"N</t>
  </si>
  <si>
    <t>101°37'30.4"E and 101°35'43.9"E</t>
  </si>
  <si>
    <t>between 26.0 and 29.5°C</t>
  </si>
  <si>
    <t>1348 trees at TBKJ and 551 trees at TAPJ/ turf cover: 242,368m²(TBKJ) and 50,225m²(TAPJ)</t>
  </si>
  <si>
    <t xml:space="preserve"> TAPJ vegetation consisted of species such as Syzygium grande (0.65gcm-3), Lagerstroemia speciose (0.83gcm-3), and Ficus roxburghii (0.52gcm-3). TBKJ consisted of species such as Albizia saman (0.46gcm-3), Cocos nucifera (0.58gcm-3), and Acacia auriculiformis (0.75gcm-3).</t>
  </si>
  <si>
    <t>TBKJ: trees (total in 24 years 3,272,628kg CO2eq) and turf (212,481kg CO2eq per year); TAPJ: (total in 18 years 4,121,649kg CO2eq) and turf (44,032kg CO2eq per year). The amount of tree sequestration was irregular at 2427 kgCO2eq/tree (TBKJ), and 7480 kgCO2eq/tree (TAPJ)</t>
  </si>
  <si>
    <t>urban forest (uni campus)</t>
  </si>
  <si>
    <t>Thailand</t>
  </si>
  <si>
    <t>DBH information and height of trees are used for calculating biomass</t>
  </si>
  <si>
    <t>allometric equations, remote sensing (geoinformatics technology, Sentinal-2 satellite data, and aerial drone photo). In this study, BGB was approximately calculated as 0.24 of the AGB since the BMR is in the tropical latitudinal zone (Cairns et al., 1997)</t>
  </si>
  <si>
    <t>average carbon stock density is 46.77 tons per hectare</t>
  </si>
  <si>
    <t xml:space="preserve">total carbon sequestration of 1402.78 tons per year. The average carbon sequestration is estimated at 2.52 tons (or 9.22 tons of CO2) per hectare per year. </t>
  </si>
  <si>
    <t>Weighted Average AGB is 67.22 ton/ha and BGB is 17.48 ton/ha</t>
  </si>
  <si>
    <t>biomass based in 4526 + 714 trees</t>
  </si>
  <si>
    <t>University Area: 1.257,64 ha Tree Cover Area: 482,03 ha</t>
  </si>
  <si>
    <t>Bangkok metropolian area: Bangkok, Nonthaburi, Samut Prakan, Pathum Thani, Samut Sakhon, Nakhon Pathom</t>
  </si>
  <si>
    <t>14.293° N - 13.423° N</t>
  </si>
  <si>
    <t>99.826° E - 100.967° E</t>
  </si>
  <si>
    <t>January to August 2020</t>
  </si>
  <si>
    <t>around 1200 mm of total annual precipitation</t>
  </si>
  <si>
    <t>diameter at breast height (DBH), tree height, wood densities</t>
  </si>
  <si>
    <t>23°10′55″ N</t>
  </si>
  <si>
    <t>77°25′19″E</t>
  </si>
  <si>
    <t>2.5 km² or 250 hectares (sampling 3 plots of 25ha)</t>
  </si>
  <si>
    <t>allometric equation; field sampling and remote sensing (landsat)</t>
  </si>
  <si>
    <t>average temperature being around 30 °C</t>
  </si>
  <si>
    <t>324 trees</t>
  </si>
  <si>
    <t xml:space="preserve">total of standing biomass 77,278 kg </t>
  </si>
  <si>
    <t>total of 36.3 tons of carbon in 25 ha = 1.5 ton ha−1; CO2: 5.3 tons of CO2eq ha−1</t>
  </si>
  <si>
    <t>Acacia arabica, Artocarpus heterophyllus, Azadirachta indica, Cassia fistula, Cassia grandis, Casuarina equisetifolia, Clophylum inophyllum, Dalbergia sissoo, Delonix regia, Ficus religiosa, Mangifera indica, Millingtonia hortensis, Peltophorum pterocarpum, Phoenix sylvestris, Plumeria rubra, Polyalthia longifolia, Punica granatum, Roystonea regia, Samanea saman, Saraca indica, Syzygium cumini, Tamarindus indica, Terminalia bellirica, Ziziphus mauritiana.</t>
  </si>
  <si>
    <t>diameter at breast height (DBH), tree height</t>
  </si>
  <si>
    <t>250 trees</t>
  </si>
  <si>
    <t xml:space="preserve">Open space and recreation: 160.29 ha, Total city: 3220 ha; open space: 7ha; </t>
  </si>
  <si>
    <t>open space and green reserve</t>
  </si>
  <si>
    <t>Pasir Gudang</t>
  </si>
  <si>
    <t>total: open space and green reserve: 2,238.183 tons of carbon per year. Green reserve: 161,329kg C per year; Open space: 1,750 tons C per year</t>
  </si>
  <si>
    <t>between 10 and 20 years</t>
  </si>
  <si>
    <t>1°30′10″N</t>
  </si>
  <si>
    <t>103°56′8″E</t>
  </si>
  <si>
    <t>Hevea brasiliensis, Dyera costulata, Khaya senegalensis, Syzygium grande, Alstonia angustiloba, Peltophorum pterocarpum, Pongamia pinnata, Mimusops elengi, Garcinia mangostana, Garrcinia griffithii, Dalbergia oliveri, Fagraea fragrans, Hopea odorata, Sandoricum koetjape, Samanea saman, Syzygium polyanthum, Delonix regia, Cinnamomum iners, Pterocarpus indicus</t>
  </si>
  <si>
    <t>urban forest (church)</t>
  </si>
  <si>
    <t>Ethiopia</t>
  </si>
  <si>
    <t>carbon stock contained in each church forest was 156 ± 92 t ha-1.</t>
  </si>
  <si>
    <t>Addis Ababa</t>
  </si>
  <si>
    <t>8049′55” N to 905′53”N</t>
  </si>
  <si>
    <t>38,038′16″ E to 38,054′19″ E</t>
  </si>
  <si>
    <t>the church forests had on average 0.6 ± 0.57 ha of size</t>
  </si>
  <si>
    <t>332.3 ± 196.3 t ha-1 of woody biomass: above-ground biomass of 276.9 t ha-1 and below-ground biomass of 55.4 t ha-1.</t>
  </si>
  <si>
    <t>7486 trees</t>
  </si>
  <si>
    <t>between 48 and 88 years</t>
  </si>
  <si>
    <t>90 species, 50 natives and 40 exotics, the highest total carbon stock were: Juniperus procera, Eucalyptus globulus and E. camaldulensis</t>
  </si>
  <si>
    <t>Philippines</t>
  </si>
  <si>
    <t>Mangrove</t>
  </si>
  <si>
    <t>Laguindingan, Alubijid, El Salvador City</t>
  </si>
  <si>
    <t>8°35′25.08″N</t>
  </si>
  <si>
    <t>124°39′12.96″E</t>
  </si>
  <si>
    <t xml:space="preserve">trunk circumference (in centimeters) and total height (in meters) </t>
  </si>
  <si>
    <t xml:space="preserve">Rhizophora apiculata, Rhizophora mucronata, Avicennia marina, Sonneratia alba </t>
  </si>
  <si>
    <t>417 trees</t>
  </si>
  <si>
    <t>The average AGB was 114.28 ton/hectare (t/ha), BGB it was 22.28 t/ha</t>
  </si>
  <si>
    <t>The average C content in the AGB was 53.73 t/ha, while in the BGB it was 10.81 t/ha.</t>
  </si>
  <si>
    <t>all trees with a breast height (DBH) of ≥ 5 cm and a height of 1.3 m above the soil surface.</t>
  </si>
  <si>
    <t>The average yearly temperature in the area is 17°C</t>
  </si>
  <si>
    <t>400.279 hectares</t>
  </si>
  <si>
    <t>Eucalyptus globulus Labill, Juniperus procera Hochst. ex Endl, Acacia decurrens willd, Hagenia abyssinica J.F.Gmel, Acacia melaynoxylonR.Br, Olea europaea L. subsp. cuspidate, Schefflera abyssinica (Hochst. ex A. Rich.) Harms</t>
  </si>
  <si>
    <t>1165 millimeters of rain each year.</t>
  </si>
  <si>
    <t>"9°04'42.21"N</t>
  </si>
  <si>
    <t>"38°45'33.15"E</t>
  </si>
  <si>
    <t>tropical climatic zone with typical Indian monsoonal</t>
  </si>
  <si>
    <t>Varanasi</t>
  </si>
  <si>
    <t>The monthly minimum and maximum temperatures vary between 7.3°C–25.4°C and 25.6°C–35.6°C.</t>
  </si>
  <si>
    <t>average annual rainfall in the region is 1,100 mm</t>
  </si>
  <si>
    <t>urban gardens</t>
  </si>
  <si>
    <t>The height, diameter at breast height (DBH), typically measured 1.3m above the ground</t>
  </si>
  <si>
    <t>the area of each tree stands actually sampled was 625 m2 and the total area actually sampled over the three sites was 2,025 m2.</t>
  </si>
  <si>
    <t>65 trees</t>
  </si>
  <si>
    <t>Ayurvedic Garden of Banaras Hindu University (AG, BHU) (25° 27' 42'' N), the Botanical Garden of Udai Pratap Autonomous College (BG, UPAC) (25° 35' 55'' N), and Matridham Ashram, Lamhi (MAL) (25° 37' 71'' N)</t>
  </si>
  <si>
    <t>Ayurvedic Garden of Banaras Hindu University (AG, BHU) (82° 99' 84'' E), the Botanical Garden of Udai Pratap Autonomous College (BG, UPAC) (82° 97' 31'' E), and Matridham Ashram, Lamhi (MAL) (82° 97' 05'' E)</t>
  </si>
  <si>
    <t>Aegle marmelos (Bael), Artocarpus heterophyllus (Katahal), Artocarpus lacucha (Barhar), Azadirachta indica (Neem), Cordia dichotoma (Nisoda), Fernandoa adenophylla (Katsagon), Ficus religiosa (Peepal), Holoptelea integrifolia (Chilbil), Mangifera indica (Aam), Melaleuca citrina (Cheel), Neolamarckia cadamba (Kadam), Phyllanthus emblica (Amla), Saraca indica (Ashok), Tectona grandis (Sagon), Terminalia arjuna (Arjun), Terminalia bellirica (Bahera), Albizia procera (Safed siris), Alstonia scholaris (Satpam), Diospyros melanoxylon (Tendu), Ficus bengalhensis (Bargad), Gmelina arborea (Gambhari), Holarrhena pubescens (Kutaja), Mallotus philippensis (Kampilaka), Mitragyna parvifolia (Bankadam), Petrospermum acerifolium (Muckhuna), Pongamia pinnata (Dithodi), Premna serratifolia (Agnimantha), Tecomella undulata (Roheda), Terminalia anoegissiana (Dhaun), Wrightia tinctoria (Dudhi), Pisidium guajava (Amrud), Spondias pinnata (Amabara), Syzygium cumini (Jamun) e Terminalia indica (Imli).</t>
  </si>
  <si>
    <t>Total biomass: (UPR Autonomous College): 258.948,55 kg/tree; (Ayurvédico, Banaras Hindu University): 429.064,82 kg/tree; (Matridham Ashram, Lamhi): 131.093,63 kg/tree</t>
  </si>
  <si>
    <t>averaged 1901 metric tonnes of carbon per hectare, with carbon dioxide sequestration of 6977 tonnes per hectare. Specifically (UPR Autonomous College): Carbon: 121.705,82 kg, CO2: 446.660,35 kg; (Ayurvédico, Banaras Hindu University): Carbon: 201.660,46 kg, CO2: 740.093,26 kg; (Matridham Ashram, Lamhi): Carbon: 61.614,01 kg, CO2: 226.612,23 kg</t>
  </si>
  <si>
    <t>Gross carbon sequestration was at 9.45 Mg C/ha/yr</t>
  </si>
  <si>
    <t>Cebu</t>
  </si>
  <si>
    <t>Carbon Storage and Sequestration Potential of Urban Trees in Cebu City, Philippines</t>
  </si>
  <si>
    <t>Nimfa R. Pansit</t>
  </si>
  <si>
    <t>stored carbon were 87.81 Mg C/ha</t>
  </si>
  <si>
    <t>Tree biomass density were 195.13 Mg/ha</t>
  </si>
  <si>
    <t>allometric equation; field sampling; root biomass as 0.26 ratio inferred from the AGB.</t>
  </si>
  <si>
    <t>wood density, diameter at breast height (DBH), tree height</t>
  </si>
  <si>
    <t>409 trees</t>
  </si>
  <si>
    <t>100 17’N</t>
  </si>
  <si>
    <t>1230 54’E</t>
  </si>
  <si>
    <t>climate as “Am”, characterized by short dry season with significant rainfall in most  months of the year.</t>
  </si>
  <si>
    <t>annual precipitation is about 1,607 mm</t>
  </si>
  <si>
    <t>average temperature is 27.5°C</t>
  </si>
  <si>
    <t xml:space="preserve">16,500 m2 plots </t>
  </si>
  <si>
    <t>Artocarpus altilis, Artocarpus heterophylla, Azadirachta indica, Bombycidendron vidalianum, Cananga odorata, Ceiba pentandra, Chrysophyllum cainito, Cocos nucifera, Dracontomelon edule, Eucalyptus tereticornis, Ficus elastica, Ficus variegata, Gmelina arborea, Leucaena leucocephala, Mangifera indica, Melanolepis multiglandulosa, Polyalthia flava, Pterocarpus indicus, Samanea saman, Spathodea campanulata, Swietenia spp., Tamarindus indica, Terminalia catappa.</t>
  </si>
  <si>
    <t>Erik Velasco, Kian Wee Chen</t>
  </si>
  <si>
    <t>Singapore</t>
  </si>
  <si>
    <t>282 trees</t>
  </si>
  <si>
    <t>mean annual rainfall of 2166 mm</t>
  </si>
  <si>
    <t>emperatures range from ∼24 °C in the early morning to ∼32 °C in the afternoon</t>
  </si>
  <si>
    <t>Nov. and Dec. 2017.</t>
  </si>
  <si>
    <t>allometric equation; field sampling and remote sensing (LIDAR)</t>
  </si>
  <si>
    <t>The total height (H) and diameter at the breast height (D)</t>
  </si>
  <si>
    <t>1°18'44.1"N</t>
  </si>
  <si>
    <t>103°54'39.1"E</t>
  </si>
  <si>
    <t>Mangifera indica, Swietenia macrophylla, Khaya senegalensis, Manilkara zapota, Plumeria alba, Cassia fistula, Kopsia flavida, Annona muricata, Lagerstroemia floribunda, Xanthostemon chrysanthus, Terminalia mantaly, Leucaena leucocephala, Pterocarpus indicus, Syzygium cumini, Erythrophleum guineense, Arfeuillea arborescens, Peltophorum pterocarpum, Filicium decipiens, Mimusops elengi, Cinnamomum iners, Terminalia catappa, Lagerstroemia speciosa,  Crataxylum formosum.</t>
  </si>
  <si>
    <t>total AGB of the 65 trees: 37,280.32 kg; mean of AGB per tree: 573.54 kg (dp: 904.63)</t>
  </si>
  <si>
    <t>37 ton C km−2 yr−1</t>
  </si>
  <si>
    <t>Xalapa</t>
  </si>
  <si>
    <t>Colonia Olmeca (5 ha), Colonia San Bruno (2 ha), and Cerro Colorado (8 ha)</t>
  </si>
  <si>
    <t>density of the dry wood in g/cm3, standard stem diameter (in centimeters), and H is the total height of the tree (in meters).</t>
  </si>
  <si>
    <t>total biomass (Mg/ha): Cerro Colorado (431.76); Colonia Olmeca (490.90); Colonia San Bruno (627.98) all places: 527.98</t>
  </si>
  <si>
    <t>Total carbon stock (Mg/ha): Cerro Colorado (215.88); Colonia Olmeca (245.45); Colonia San Bruno (313.99); all places mean: 263.99 C and 967.37 CO2</t>
  </si>
  <si>
    <t>Carpinus caroliniana, Liquidambar styraciflua var. mexicana, Mollinedia viridiflora, Myrcia schiedeana, Ocotea psychotrioides, Quercus germana, Quercus lancifolia, Quercus xalapensis, Turpinia insignis, Zinowiewia integerrima</t>
  </si>
  <si>
    <t>19°32'48.5"N</t>
  </si>
  <si>
    <t>96°57'01.5"W</t>
  </si>
  <si>
    <t>08°35’31”–08°44’49”S</t>
  </si>
  <si>
    <t>115°10′23″–115°16′27″E</t>
  </si>
  <si>
    <t>2 February 1995, 21 March 2003, and 27 March 2014, </t>
  </si>
  <si>
    <t>remote sensing (landsat images and enhanced vegetation index)</t>
  </si>
  <si>
    <t>range of 20°C to 32°C throughout the year</t>
  </si>
  <si>
    <t>urban and periurban area</t>
  </si>
  <si>
    <t>enhanced vegetation index</t>
  </si>
  <si>
    <t>Settlement: (1995) 2396.34; (2003) 5421.87; (2014) 7302.78. Forest: (1995) 1382.94; (2003) 1226.43;  (2014) 1207.53. Agriculture and grass:  (1995) 7868.07;  (2003) 5239.9;  (2014) 3517.56</t>
  </si>
  <si>
    <t>Settlement, Forest, Agriculture and grass</t>
  </si>
  <si>
    <t>all urban vegetation</t>
  </si>
  <si>
    <t>Annual gross primary production (GPP) (tC year−1): Settlement (1995: 7102.04; 2003: 15,607.49; 2014: 22,274.93) Forest (1995: 8071.18; 2003: 9238.85; 2014: 10,268.58); Agriculture and grass (1995: 46,435.93; 2003: 30,775.48; 2014: 21,271.68). Total per year: 1995: 61,609.15; 2003: 55,621.81; 2014: 53,815.19</t>
  </si>
  <si>
    <t>urban, per-urban, and rural Church forest</t>
  </si>
  <si>
    <t>11°04′48″–11°24′36″N</t>
  </si>
  <si>
    <t>36°34′48″–37°00′37″E</t>
  </si>
  <si>
    <t>Dangila</t>
  </si>
  <si>
    <t>Urban: 3.11ha; Peri-urban: 2.89 ha; Rural: 3.86 ha</t>
  </si>
  <si>
    <t>The total height (H) and diameter at the breast height</t>
  </si>
  <si>
    <t>Biomass carbon (ton/ha): Urban: AGC:19.97, BGC:4.99, Total:24.96.
Peri-urban: AGC:61.9, BGC:15.48, total:77.38.
Rural: AGC:36.91, BGC:9.23, Total:46.13.</t>
  </si>
  <si>
    <t>important species: Eucalyptus camaldulensis, Justicia schimperiana, Croton macrostachyus, Vernonia auriculifera, Maytenus arbutifolia, Cupressus lusitanica, Carissa spinarum, Brucea antidysenterica, Pavonia urens, Albizia gummifera, Euphorbia abyssinica, Vepris nobilis, Clausena anisata, Grevillea robusta, Vernonia amygdalina, Podocarpus falcatus, Millettia ferruginea, Juniperus procera, Grewia ferruginea, Capparis tomentosa, Dracaena steudneri, Bersama abyssinica, Maesa lanceolata, Acacia abyssinica, Ritchiea albersii, Berchemia discolor.</t>
  </si>
  <si>
    <t>January to February 2021,</t>
  </si>
  <si>
    <t>mean annual rainfall 1578 mm</t>
  </si>
  <si>
    <t>mean annual temperature 17°C</t>
  </si>
  <si>
    <t>dry season</t>
  </si>
  <si>
    <t>Vietnam</t>
  </si>
  <si>
    <t>February, 2016</t>
  </si>
  <si>
    <t>Ho Chi Minh</t>
  </si>
  <si>
    <t>remote sensing (landsat images and NDVI)</t>
  </si>
  <si>
    <t>10°46′32″N</t>
  </si>
  <si>
    <t>106°42′07″E</t>
  </si>
  <si>
    <t>tropical savanna (Aw)</t>
  </si>
  <si>
    <t xml:space="preserve">HCMC's vegetation is thought to absorb around 84,732.77 tons/day. </t>
  </si>
  <si>
    <t>street and urban forest</t>
  </si>
  <si>
    <t>urban (downtown area such as District 1, District 3, District 4, District 5, District 10, Phu Nhuan and Binh Thanh, District 4 has the smallest vegetation coverage and the lowest CO2 absorption capacity (16,096 tons CO2 /day), per-urban (Regarding urban districts, including District 2, District 6, District 7, District 8, District 9, District 11, District 12, Tan Binh, Thu Duc, Go Vap, Binh Tan and Tan Phu, the vegetation in District 9 has the highest CO2 absorption capacity of approximately 3163,261 tons per day), and rural (Regarding the suburban area, with mangrove forests, Can Gio District has the highest amount of CO2 absorbed of 35,894.075 tons/day and followed by Cu Chi District with 21,548.48 tons/day)</t>
  </si>
  <si>
    <t>total area(km²):
Distrito 1: 7.73
Distrito 2: 49.74;
Distrito 3: 4.92;
Distrito 4: 4,18;
Distrito 5: 4.27
Distrito 6: 7.19
Distrito 7: 35.69
Distrito 8: 19.18
Distrito 9: 114
Distrito 10: 5.72
Distrito 11: 5.14
Distrito 12: 52.78
Go Vap: 19.74	
Tan Binh: 22.38
Tan Phu: 16.06	
Binh Thanh: 20.76
Phu Nhuan: 4.88
Thu Duc: 47.767
Binh Tan: 51.89
Total (urban districts): 494,01
Suburban: Cu Chi 434.5; Hoc Mon 109,18; Binh Chanh 252.69; Nha Be 100,41; Can Gio 704,22.
Total (suburban districts):1,601; Total (city): 2,095.01</t>
  </si>
  <si>
    <t>Colombia</t>
  </si>
  <si>
    <t>Medellin</t>
  </si>
  <si>
    <t>182,044 public trees</t>
  </si>
  <si>
    <t>21.53 km2 of public green spaces</t>
  </si>
  <si>
    <t>6° 13' 55" N</t>
  </si>
  <si>
    <t>75° 34' 05" O</t>
  </si>
  <si>
    <t>important species: Ficus benjamina, Mangifera indica, Schefflera actinophylla, Spathodea campanulata, Persea americana, Terminalia catappa, Pithecellobium dulce, Araucaria heterophylla, Psidium guajava, Erythrina species</t>
  </si>
  <si>
    <t>The total CO2 storage by public trees in the study area was estimated to be 103,820 Mg.</t>
  </si>
  <si>
    <t>Gross CO2 sequestration was 2077 Mg/year.</t>
  </si>
  <si>
    <t>allometric equation; field sampling, i-tree (Results are then adjusted to include below-ground biomass using a root-to-shoot ratio of 0.26 and are converted to CO2 equivalent by multiplying by 3.67)</t>
  </si>
  <si>
    <t>2007 inventory</t>
  </si>
  <si>
    <t>average annual value in the city of 1687 mm</t>
  </si>
  <si>
    <t>annual temperatures are 28 °C and 17 °C, respectively</t>
  </si>
  <si>
    <t>Crown diameter, DBH, heigth</t>
  </si>
  <si>
    <t>tropical weather along with a monsoon climate</t>
  </si>
  <si>
    <t>annual average precipitation is 3207 mm</t>
  </si>
  <si>
    <t>annual average temperature is 26.2 °C</t>
  </si>
  <si>
    <t>21°45N–23°30N</t>
  </si>
  <si>
    <t>90°30E–91°30E</t>
  </si>
  <si>
    <t>Remote sensing (Landsat land use/land cover (LULC) and INVEST)</t>
  </si>
  <si>
    <t>The total carbon storage values of the study area in 1988, 1998, 2008, and 2018 were 23.85, 25.23, 25.01, and 27.15 Tg C, respectively </t>
  </si>
  <si>
    <t>i) agriculture ii) rural plantation forest vegetation (RVS), iii) plantation mangrove, iv) mud-flat, v) built-up, and vi) waterbody</t>
  </si>
  <si>
    <t>urban-rural</t>
  </si>
  <si>
    <t xml:space="preserve">land use/land cover (LULC) </t>
  </si>
  <si>
    <t>from 1988 to 2018 were as follows: built-up land increased sharply, by 21.49 km2 (+956.11%); rural vegetation and settlement lands increased to 1049.96 km2 (+88.47%); mangrove forests decreased sharply, by 65.18 km2 (−25.58%); mudflat lands decreased by 146.69 km2 (−28.34%); agricultural land decreased by 839.02 km2 (−21.85%); and waterbodies decreased to 20.56 km2 (−0.99%).</t>
  </si>
  <si>
    <t>rural</t>
  </si>
  <si>
    <t>23° 09′ 20″ N to 23° 11′ 24″ N</t>
  </si>
  <si>
    <t xml:space="preserve"> 77° 22′ 01″ E to 77° 24′ 39″ E</t>
  </si>
  <si>
    <t>trees and herbs</t>
  </si>
  <si>
    <t>on November, 2003, </t>
  </si>
  <si>
    <t>humid subtropical climate (Cwa)</t>
  </si>
  <si>
    <t>The value of carbon stock was found to be about 6602 kg (standard error = 63.2 kg) for the trees present on the sample plots. average density of 1254.4 ton/km2.</t>
  </si>
  <si>
    <t>Area (ha): Rock 497.1, Mixed forest 328.7, Riparian 21.3, Scrub 351.8, Teak forests 357.5, Waste land 2.6, Total area: 1559 (The total area under the canopy cover was found to be 7.43 km2.)</t>
  </si>
  <si>
    <t>diameter at breast height and height were collected</t>
  </si>
  <si>
    <t xml:space="preserve">allometric equation and field sampling </t>
  </si>
  <si>
    <t>Madhuca indica
Buchanania lanzan
Azadirachta indica
Pithecellobium dulce
Anthalus exelica
Dalbergis sissoo
Zizyphus mauritiana
Eucalyptus camaldulensis
Ficus bengalensis
Bauhinia racemosa
Acacia nilotica
Leucaena leucocephala
Zizyphus zuzuba
Terminalia belerica
Carissa carandas
Phoenix sylvestris
Cassia fistula
Bombax ceiba
Ficus religiosa
Lawsonia inermis
Acacia catechu
Wrightia tinctoria
Terminalia tomentosa
Butea monosperma
Diospyros melanoxylon
Lagerstreomia parviflora
Tectona grandis</t>
  </si>
  <si>
    <t>The total forest carbon was estimated at 6,931.44 t with an average of 192.54 t/ha</t>
  </si>
  <si>
    <t>La Trindad</t>
  </si>
  <si>
    <t>September 1922</t>
  </si>
  <si>
    <t>a total of 36 ha</t>
  </si>
  <si>
    <t>dominant species: Alnus japonica, Breynia cernua, Calliandra calothyrsus, Clethra canescens, Deutzia pulchra, Eurya chinensis, Macaranga cumingii, Mallotus mollissimus, Pinus kesiya, Sphaeropteris glauca</t>
  </si>
  <si>
    <t>16°28'43.9"N</t>
  </si>
  <si>
    <t>120°35'10.2"E</t>
  </si>
  <si>
    <t>diameter at breast height (DBH)</t>
  </si>
  <si>
    <t>subtropical highland climate (Köppen Cwb)</t>
  </si>
  <si>
    <t>Sarguja </t>
  </si>
  <si>
    <t>23°12′N</t>
  </si>
  <si>
    <t>83°2′E</t>
  </si>
  <si>
    <t>1200 mm</t>
  </si>
  <si>
    <t>mean temperature is ranged from 16 to 32 °C</t>
  </si>
  <si>
    <t>2017-2028</t>
  </si>
  <si>
    <t>1988-2018</t>
  </si>
  <si>
    <t>Acacia mangium Willd
Acacia nilotica L
Aegle marmelos L
Azadirachta indica A. Juss
Bahunia racemose Lamm
Bombex ceiba L
Cassia siamea L
Dalbergia sissoo Roxb
Delonix regia Raf
Eucalyptus spp.
Ficus benghalensis L
Ficus racemosa L
Mangifera indica L
Melia azedarach L
Saraca indica L
Shorea robusta Roth
Syzygium cumini L
Tamarindus indica L
Tectona grandis L.f
Terminalia bellerica Roxb
Terminalia chebula Retz
Terminalia tomentosa Roxb
Zizyphus mauritiana Lam</t>
  </si>
  <si>
    <t xml:space="preserve">total biomass (t h−1): 720.12 E; 166.03W; 205.96N and 166.86S </t>
  </si>
  <si>
    <t>Total carbon storage per tree (t h−1): 319.35 E; 60.36 W; 90.33 N; 73.27 S</t>
  </si>
  <si>
    <t>allometric equation and field sampling (The belowground biomass was estimated as 20% of the aboveground biomass (Santantonio et al., 1997; Ravindranath and Ostwald, 2008))</t>
  </si>
  <si>
    <t>22,237 km2</t>
  </si>
  <si>
    <t>The tree density among various directions ranged from 170 to 240 trees ha−1. Maximum tree density was found in the north and least in the east direction</t>
  </si>
  <si>
    <t>The total biomass of the urban forest of Addis Ababa was estimated at 1,104,850 tons of dry matter. Total AGB: 905,615 tons; BGB: 199,235 tons.</t>
  </si>
  <si>
    <t xml:space="preserve">3,227 ha </t>
  </si>
  <si>
    <t>total carbon storage: AGC: 452,797 tons; BGC: 99,618 tons; total: 552,415 tons and 171 tons/ha. Mean of 569.65 tons/há</t>
  </si>
  <si>
    <t>Acacia abyssinica
Acacia decurens
Acacia saligna
Allophylus abyssinica
Bersema abyssinica
Buddleja polystachya
Carissa spinarum
Clausena anisate
Croton macrostachyus
Cupressus lusitanica
Discopodium penninervium
Dombya torrida
Dovyalis abyssinica
Ekebergia capensis
Eucalyptus camaldulensis
Eucalyptus globulus
Eucalyptus grandis
Hypericum revolutum
Juniperus procera
Maesa lanceolata
Maytenus andata
Maytenus arbutifolia
Maytenus senegalensis
Myrsine africana
Myrsine melanophloes
Nuxia congista
Olea europaea subsp. Cuspidata
Olinia rochetiana
Osyris quadripartite
Pentas schimperiana
Pittosporum viridiflorum
Rhus glutinosa
Rosa abyssinica
Rubus apetales
Rubus steudneri
Schefflera abyssinica
Vernonia amygdalina</t>
  </si>
  <si>
    <t>8°45’ and 9°49′ N</t>
  </si>
  <si>
    <t>38°39′ and 38°54′ E</t>
  </si>
  <si>
    <t>subtropical highland climate (Köppen: Cwb)</t>
  </si>
  <si>
    <t>2420 individuals</t>
  </si>
  <si>
    <t>308 individuals</t>
  </si>
  <si>
    <t>Benin</t>
  </si>
  <si>
    <t>remote sensing (LANDSAT images and INVEST)</t>
  </si>
  <si>
    <t>2000 and 2018 </t>
  </si>
  <si>
    <t>Total carbon stock (Gg C):
Forests (FO):
AGB:721 (2000); 138 (2018)
BGB:173 (2000)	33 (2018)
Tree plantations (PL):
658 (2000); 1414 (2018)
157 (2000); 338 (2018)
Adult palm groves (PA):
513 (2000); 1204 (2018)
122 (2000); 287 (2018)
Crop-plantation associations (CP):
1413 (2000); 425 (2018)
326 (2000); 98 (2018)</t>
  </si>
  <si>
    <t>periurban and rural</t>
  </si>
  <si>
    <t>urban forest and croplands</t>
  </si>
  <si>
    <t>Area (ha):
Built-up areas (BA): 4039 (2000); 12,395 (2018)
Forests (FO): 3206 (2000); 612 (2018)
Tree plantations (PL): 5819 (2000); 12,511 (2018)
Adult palm groves (PA): 8149 (2000); 19,106 (2018)
Crop-plantation associations (CP): 36,234 (2000); 10,894 (2018)
Croplands (CL): 48,774 (2000); 50,703 (2018)
Total: 106,221 ha</t>
  </si>
  <si>
    <t>19° 17’ N</t>
  </si>
  <si>
    <t>99° 11’ W</t>
  </si>
  <si>
    <t>total biomass AGB (Mg.ha-1):Guatavita 1 (Secundária inicial): 38.2 Mg.ha-1
Guatavita 2 (Secundária inicial): 23.8 Mg.ha-1
Guasca 3 (Secundária tardia): 180.7 Mg.ha-1
Guasca 4 (Secundária média): 77.2 Mg.ha-1
Guasca 6 (Secundária média): 54.0 Mg.ha-1
Tabio 7 (Secundária média): 82.8 Mg.ha-1
Tabio 8 (Secundária média): 65.9 Mg.ha-1
Torca 13 (Secundária tardia): 111.6 Mg.ha-1</t>
  </si>
  <si>
    <t>The annual temperature is 14 °C</t>
  </si>
  <si>
    <t>precipitation varies from 600 mm·year−1 in the center of the region and 1200 mm·year−1 in the western part</t>
  </si>
  <si>
    <t>Bogotá</t>
  </si>
  <si>
    <t>1354 individuals</t>
  </si>
  <si>
    <t>important species: Cavendishia bracteata
Miconia squamulosa
Myrcianthes leucoxyla
Myrsine guianensis
Weinmannia tomentosa</t>
  </si>
  <si>
    <t>Early secondary, Late secondary and Mid-secondary</t>
  </si>
  <si>
    <t>carbon calculated by 0.471x AGB</t>
  </si>
  <si>
    <t>3200 m² (or 0,32 hectares)</t>
  </si>
  <si>
    <t>mean minimum and maximum air temperatures are 9.4 and 30.8°C</t>
  </si>
  <si>
    <t>245 millimeters</t>
  </si>
  <si>
    <t>Saudi Arabia</t>
  </si>
  <si>
    <t>Abha</t>
  </si>
  <si>
    <t>18°9′33.126″N to 18°30′56.566″N</t>
  </si>
  <si>
    <t>42°23′52.477″E to 42°51′42.832″E</t>
  </si>
  <si>
    <t>1990, 2000, and 2020</t>
  </si>
  <si>
    <t>1291 km2 </t>
  </si>
  <si>
    <t>Afromontane</t>
  </si>
  <si>
    <r>
      <t>dominated by: </t>
    </r>
    <r>
      <rPr>
        <i/>
        <sz val="12"/>
        <color rgb="FF282828"/>
        <rFont val="Arial"/>
        <family val="2"/>
      </rPr>
      <t>J. procera</t>
    </r>
    <r>
      <rPr>
        <sz val="12"/>
        <color rgb="FF282828"/>
        <rFont val="Arial"/>
        <family val="2"/>
      </rPr>
      <t> trees, </t>
    </r>
    <r>
      <rPr>
        <i/>
        <sz val="12"/>
        <color rgb="FF282828"/>
        <rFont val="Arial"/>
        <family val="2"/>
      </rPr>
      <t>Acacia origena</t>
    </r>
    <r>
      <rPr>
        <sz val="12"/>
        <color rgb="FF282828"/>
        <rFont val="Arial"/>
        <family val="2"/>
      </rPr>
      <t>, and </t>
    </r>
    <r>
      <rPr>
        <i/>
        <sz val="12"/>
        <color rgb="FF282828"/>
        <rFont val="Arial"/>
        <family val="2"/>
      </rPr>
      <t>A. gerrardii</t>
    </r>
    <r>
      <rPr>
        <sz val="12"/>
        <color rgb="FF282828"/>
        <rFont val="Arial"/>
        <family val="2"/>
      </rPr>
      <t> trees</t>
    </r>
  </si>
  <si>
    <t>vegetation cover: 1990: 55,983.06 ha
2000: 41,380.56 ha
2018 (used for the 2020 map): 41,529.78 ha</t>
  </si>
  <si>
    <t>urban forest, Cropland and Built-up areas</t>
  </si>
  <si>
    <t>Urban (built-up areas), Peri-urban and Rural (croplands, vegetation/forests)</t>
  </si>
  <si>
    <t>Total carbon storage values were estimated for the vegetation cover LULC class for specific years:
1990: 710,425 Mg C
2000: 525,119.3 Mg C
2020: 527,012.9 Mg C
Total carbon storage was also given for the built-up area:
1990: 18,524.96 Mg C
2000: 31,195.78 Mg C
2020: 80,561.01 Mg C</t>
  </si>
  <si>
    <t>1985, 2001, and 2014</t>
  </si>
  <si>
    <t> temperate warm climate</t>
  </si>
  <si>
    <t>4° 35′ 53″ N, 74° 04′ 33″ O</t>
  </si>
  <si>
    <t>4° 35′ 53″ N</t>
  </si>
  <si>
    <t>Annual rainfall reaches 1400 mm</t>
  </si>
  <si>
    <t> Mean annual temperatures range between 7 and 18°C</t>
  </si>
  <si>
    <t>Tropical Mountain Forest</t>
  </si>
  <si>
    <t>Agricultural crops
Forest plantations
Grasslands
Remnant native forests
Bushlands and moorland</t>
  </si>
  <si>
    <t>City core (up to 5 km from the center)
Suburbs (up to 10 km from the center)
Peri-urban (up to 15 km from the center)
Non-urban/Rural (&gt;20 km from the center)</t>
  </si>
  <si>
    <t>Remote sensing (Normalized Difference Vegetation Index (NDVI) from Landsat satellite imagery)</t>
  </si>
  <si>
    <t>vegetation cover: 1985: 75.6%
2001: 54.9%
2014: 67.2%</t>
  </si>
  <si>
    <t>385 km² (in 2015)</t>
  </si>
  <si>
    <t>Total carbon stored (2014):
Bogota: 23,210 KT (kilotons)
Average carbon storage per hectare (MgC/ha) for the whole city:
Bogota:
1985: 21.2 MgC/ha
2001: 20.6 MgC/ha
2014: 25.2 MgC/ha</t>
  </si>
  <si>
    <t>Ghana</t>
  </si>
  <si>
    <t>Accra</t>
  </si>
  <si>
    <t>5°33′N</t>
  </si>
  <si>
    <t>0°12′W</t>
  </si>
  <si>
    <t>hot semi-arid</t>
  </si>
  <si>
    <t>The average temperature is 26.6 °C</t>
  </si>
  <si>
    <t>The annual rainfall is 809 mm</t>
  </si>
  <si>
    <t>Remote sensing (Landsat land use/land cover (LULC) and  i-Tree Canopy)</t>
  </si>
  <si>
    <t>total city area: 60km2; build-up area in 2018: 117.211km2</t>
  </si>
  <si>
    <t>Carbon sequestration 8.44 kilo ton/year</t>
  </si>
  <si>
    <t>Carbon stock 212.08 kilo ton in 2018</t>
  </si>
  <si>
    <t>9620.80m2</t>
  </si>
  <si>
    <t>Savanna</t>
  </si>
  <si>
    <t>South Africa</t>
  </si>
  <si>
    <t>Dr Kenneth Kaunda District and Frances Baard District</t>
  </si>
  <si>
    <t>Gardens (health clinic gardens)</t>
  </si>
  <si>
    <t>spring and summer seasons</t>
  </si>
  <si>
    <t>Stem circumference at breast height (CBH) and Crown coverage</t>
  </si>
  <si>
    <r>
      <t>Cynodon dactylon</t>
    </r>
    <r>
      <rPr>
        <sz val="11"/>
        <color rgb="FFE2E2E5"/>
        <rFont val="Arial"/>
        <family val="2"/>
      </rPr>
      <t> (common grass), </t>
    </r>
    <r>
      <rPr>
        <i/>
        <sz val="11"/>
        <color rgb="FFE2E2E5"/>
        <rFont val="Arial"/>
        <family val="2"/>
      </rPr>
      <t>Portulaca oleracea</t>
    </r>
    <r>
      <rPr>
        <sz val="11"/>
        <color rgb="FFE2E2E5"/>
        <rFont val="Arial"/>
        <family val="2"/>
      </rPr>
      <t> (purslane), </t>
    </r>
    <r>
      <rPr>
        <i/>
        <sz val="11"/>
        <color rgb="FFE2E2E5"/>
        <rFont val="Arial"/>
        <family val="2"/>
      </rPr>
      <t>Prunus persica</t>
    </r>
    <r>
      <rPr>
        <sz val="11"/>
        <color rgb="FFE2E2E5"/>
        <rFont val="Arial"/>
        <family val="2"/>
      </rPr>
      <t> (peach), </t>
    </r>
    <r>
      <rPr>
        <i/>
        <sz val="11"/>
        <color rgb="FFE2E2E5"/>
        <rFont val="Arial"/>
        <family val="2"/>
      </rPr>
      <t>Celtis africana</t>
    </r>
    <r>
      <rPr>
        <sz val="11"/>
        <color rgb="FFE2E2E5"/>
        <rFont val="Arial"/>
        <family val="2"/>
      </rPr>
      <t>, and </t>
    </r>
    <r>
      <rPr>
        <i/>
        <sz val="11"/>
        <color rgb="FFE2E2E5"/>
        <rFont val="Arial"/>
        <family val="2"/>
      </rPr>
      <t>Dietes bicolor</t>
    </r>
  </si>
  <si>
    <t>total carbon storage: 163,481.87 kg across all sites.</t>
  </si>
  <si>
    <t>urban and peri-urban</t>
  </si>
  <si>
    <t>Dr Kenneth Kaunda District: 26°50′S; Frances Baard District: 28°30′S</t>
  </si>
  <si>
    <t>Dr Kenneth Kaunda District: 26°35′E; Frances Baard District: 24°30′E</t>
  </si>
  <si>
    <t>7,624 ha</t>
  </si>
  <si>
    <t>Nazaré Paulista</t>
  </si>
  <si>
    <t>Average aboveground biomass per hectare:
Older native forest: 226.86 tons/ha
Younger native forest: 143.20 tons/ha
Eucalyptus plantation: 39.6 tons/há</t>
  </si>
  <si>
    <t>Most native forests are secondary and older than 15 years.
The study distinguishes between younger (F1) and older (F2) native forests.
Eucalyptus plantations are harvested on a 6-year cycle.</t>
  </si>
  <si>
    <t>23°9′S</t>
  </si>
  <si>
    <t>46°20′W</t>
  </si>
  <si>
    <t>diameter of tree trunks at 1.30 m above ground</t>
  </si>
  <si>
    <t>Total current aboveground carbon storage: 380,984 tons
Average aboveground carbon storage per hectare:
Older native forest: 113.43 tons C/ha
Younger native forest: 71.60 tons C/ha
Eucalyptus plantation: 19.8 tons C/há</t>
  </si>
  <si>
    <t>forest cover: Younger native forest: 1,774.78 ha
Older native forest: 2,099.78 ha
Eucalyptus plantation: 794.55 há</t>
  </si>
  <si>
    <t>March 2017 to April 2018</t>
  </si>
  <si>
    <t>Ambikapur</t>
  </si>
  <si>
    <t>herbaceous</t>
  </si>
  <si>
    <t>tropical monsoon</t>
  </si>
  <si>
    <t>The average annual precipitation is 1383 mm</t>
  </si>
  <si>
    <t>The average annual temperature is 23.9 °C</t>
  </si>
  <si>
    <t>rainy, winter, and summer.</t>
  </si>
  <si>
    <t>collection for destructive method of biomass estimation</t>
  </si>
  <si>
    <t>city total area: 1983 km²</t>
  </si>
  <si>
    <t>Ageratum conyzoides L.
Ageratum houstorianum Mill.
Anagallis arvensis L.
Argemone mexicana L.
Cassia tora L.
Chenopodium album L.
Erigeron canadensis L.
Euphorbia hirta L.
Melilotus indica L.
Ocimum tenuiflorum L.
Oxalis corniculata L.
Parthenium hysterophorus L.
Physalis minima L.
Rumex dentatus L.
Sida acuta Burn.f.
Sonchus arvensis L.
Spilanthes calva Jacq.
Tridax procumbens L.</t>
  </si>
  <si>
    <t>1. Rainy Season:
Total Carbon Storage: 244.04 kg/ha
Total CO2 Mitigation: 895.66 kg/ha
2. Winter Season:
Total Carbon Storage: 145.09 kg/ha
Total CO2 Mitigation: 532.49 kg/ha
3. Summer Season:
Total Carbon Storage: 172.11 kg/ha
Total CO2 Mitigation: 631.60 kg/ha</t>
  </si>
  <si>
    <t>1. Rainy Season
Total AGB: 483.58 kg/ha
Total BGB: 111.65 kg/ha
2. Winter Season
Total AGB: 290.61 kg/ha
Total BGB: 63.26 kg/ha
3. Summer Season
Total AGB: 338.07 kg/ha
Total BGB: 81.72 kg/ha</t>
  </si>
  <si>
    <t>Rainy Season: 494,000 individuals/ha
Winter Season: 342,000 individuals/ha
Summer Season: 506,000 individuals/ha</t>
  </si>
  <si>
    <t>October – November 2022.</t>
  </si>
  <si>
    <t>Dindéresso peri-urban forest: 11°11′05″ - 11°18′10″ N
Kua peri-urban forest: 11°08′30″ – 11°10'00″ N</t>
  </si>
  <si>
    <t>Dindéresso peri-urban forest: 4°18′46″ - 4°26′40″ W
Kua peri-urban forest: 4°13'30″ - 4°12′30″ W</t>
  </si>
  <si>
    <t>Burkina Faso</t>
  </si>
  <si>
    <t>Bobo Dioulasso</t>
  </si>
  <si>
    <t>Adansonia digitata L.
Afzelia africana Sm.
Anacardium occidentale L.
Annona senegalensis Pers.
Anogeissus leiocarpa (DC.) Guill. &amp; Perr.
Antidesma rufescens Tul.
Azadirachta indica L.
Berlinia grandiflora (Vahl) Hutch. &amp; Dalziel
Bobgunnia madagascariensis (Desv.) J.H.Kirkbr. &amp;
Wiersema
Bombax costatum Pellegr. &amp; Vuill.
Borassus aethiopum Mart.
Borassus akeassii Bayton, Ouédr. &amp; Guinko
Burkea africana Hook.
Cassia sieberiana DC.
Combretum adenogonium Steud. ex A.Rich.
Combretum collinum Fresen.
Combretum glutinosum Perr. ex DC.
Combretum micranthum G.Don
Combretum molle R.Br. ex G.Don
Combretum nigricans Lepr. ex Guill. &amp; Perr.
Cordia myxa L.
Crossopteryx febrifuga (Afzel. ex G.Don) Benth.
Daniellia oliveri (Rolfe) Hutch. &amp; Dalziel
Detarium microcarpum Guill. &amp; Perr.
Dichrostachys cinerea (L.) Wight &amp; Arn.
Diospyros mespiliformis Hochst. ex A.DC.
Entada africana Guill. &amp; Perr.
Erythrina senegalensis A.DC.
Eucalyptus camaldulensis Dehnh. [cult.]
Feretia apodanthera Delile
Ficus abutilifolia (Miq.) Miq.
Ficus sur Forssk.
Ficus sycomorus L.
Flacourtia indica (Burm.f.) Merr.
Gardenia aqualla Stapf &amp; Hutch.
Gardenia erubescens Stapf &amp; Hutch.
Gardenia ternifolia Schumach. &amp; Thonn.
Gmelina arborea Roxb. [cult.]
Grewia bicolor Juss.
Grewia flavescens Juss.
Guiera senegalensis J.F.Gmel.
Holarrhena floribunda (G.Don) T.Durand &amp; Schinz
Hymenocardia acida Tul.
Isoberlinia doka Craib &amp; Stapf
Khaya senegalensis (Desr.) A.Juss.
Kigelia africana (Lam.) Benth.
Lannea acida A.Rich.
Lannea microcarpa Engl. &amp; K.Krause
Lannea velutina A.Rich.
Leucaena leucocephala (Lam.) de Wit
Philenoptera laxiflora (Guill. &amp; Perr.) Roberty
Mangifera indica L. [cult.]
Manilkara multinervis (Baker) Dubard
Maranthes polyandra (Benth.) Prance
Margaritaria discoidea (Baill.) G.L.Webster
Mitragyna inermis (Willd.) Kuntze
Monotes kerstingii Gilg
Opilia amentacea Roxb.
Parinari curatellifolia Planch. ex Benth.
Parkia biglobosa (Jacq.) R.Br. ex G.Don
Pericopsis laxiflora (Benth.) Meeuwen
Piliostigma reticulatum (DC.) Hochst.
Piliostigma thonningii (Schumach.) Milne-Redh.
Prosopis africana (Guill. &amp; Perr.) Taub.
Pteleopsis suberosa Engl. &amp; Diels
Pterocarpus erinaceus Poir.
Pterocarpus lucens Lepr. ex Guill. &amp; Perr.
Sarcocephalus latifolius (Sm.) E.A.Bruce
Sclerocarya birrea (A.Rich.) Hochst.
Senegalia dudgeonii (Craib ex Holland) Kyal. &amp; Boatwr.
Senegalia macrostachya (Rchb. Ex DC.) Kyal. &amp; Boatwr.
Senna siamea (Lam.) Irwin &amp; Barnebey
Sterculia setigera Delile
Stereospermum kunthianum Cham.
Strychnos innocua Delile
Strychnos spinosa Lam.
Syzygium guineense (Willd.) DC.
Tamarindus indica L.
Tectona grandis L.f. [cult.]
Terminalia avicennioides Guill. &amp; Perr.
Terminalia laxiflora Engl. &amp; Diels
Terminalia macroptera Guill. &amp; Perr.
Terminalia mantaly H.Perrier [cult.]
Terminalia mollis M.A.Lawson
Vachellia nilotica (L.) P.J.H.Hurter &amp; Mabb.
Vitellaria paradoxa C.F.Gaertn.
Vitex doniana Sweet
Vitex madiensis Oliv.
Zanthoxylum zanthoxyloides (Lam.) Zepern. &amp; Timler
Ziziphus mauritiana Lam.</t>
  </si>
  <si>
    <t>Peri-urban forests: 317.307 ± 307.845 individuals/ha
Agroforestry systems: 43.082 ± 33.262 individuals/há</t>
  </si>
  <si>
    <t>Average biomass: Peri-urban forests: 18.198 ± 23.870 Mg/ha
Agroforestry systems: 7.821 ± 6.544 Mg/há</t>
  </si>
  <si>
    <t>Average Carbon stock: Peri-urban forests: 9.099 ± 11.935 Mg C/ha
Agroforestry systems: 3.910 ± 3.272 Mg C/ha</t>
  </si>
  <si>
    <t>2500 m² in the agroforestry systems</t>
  </si>
  <si>
    <t>Stem diameter at breast height (DBH); Tree total height</t>
  </si>
  <si>
    <t>Mean annual precipitation ranges between 900-1100 mm</t>
  </si>
  <si>
    <t>Mean annual temperature of 27.9 °C.</t>
  </si>
  <si>
    <t>sudanian climatic zone</t>
  </si>
  <si>
    <t>Bucaramanga and Floridablanca</t>
  </si>
  <si>
    <t>October 2014.</t>
  </si>
  <si>
    <t>inventory data</t>
  </si>
  <si>
    <t>DBH and total height</t>
  </si>
  <si>
    <t>691 trees</t>
  </si>
  <si>
    <t>primary road of 2.1 kilometers in length</t>
  </si>
  <si>
    <t>total biomass of 1,139,542 kg.</t>
  </si>
  <si>
    <t>Licania tomentosa
Tabebuia rosea
Pithecellobium dulce
Tabebuia chrysantha
Mangifera indica
Roystonea regia
Enterolobium ciclocarpum
Albizia saman
Brosimum alicastrum
Jacaranda caucana</t>
  </si>
  <si>
    <t>total CO2 stored is 140,467 kg</t>
  </si>
  <si>
    <t>7°05'59.5"N</t>
  </si>
  <si>
    <t>73°06'41.4"W</t>
  </si>
  <si>
    <t>Pyin Oo Lwin</t>
  </si>
  <si>
    <t>Myanmar</t>
  </si>
  <si>
    <t>urban and periurban</t>
  </si>
  <si>
    <t>February-March 2018.</t>
  </si>
  <si>
    <t>trees, shrubs, grass and herbs</t>
  </si>
  <si>
    <t>22° 02′ 00″ N</t>
  </si>
  <si>
    <t>96° 27′ 31,49″ E</t>
  </si>
  <si>
    <t>tropical savanna climate</t>
  </si>
  <si>
    <t>Hill Evergreen Forest</t>
  </si>
  <si>
    <t>Annual average rainfall is approximately 1,400–1,500 mm.</t>
  </si>
  <si>
    <t>Temperatures typically range from an average low of about 9°C (48°F) in January to an average high of 32°C (90°F) in May</t>
  </si>
  <si>
    <t>Urban Green Spaces (botanical garden, golf course, urban forest, coffee farms, and seasonal farms)</t>
  </si>
  <si>
    <t xml:space="preserve">dbh and height </t>
  </si>
  <si>
    <t>(Total Carbon Content = Biomass * 0.47)</t>
  </si>
  <si>
    <t>Important species: Lithocarpus dealbatus
Grevillea robusta
Acacia auriculiformis
Litsea glutinosa
Bambusa tulda
Coffea arabica</t>
  </si>
  <si>
    <t>Botanical Garden (Kandawgyi):
Average Aboveground Carbon Stock: 142.90 ± 92.76 tonnes/hectare (t/ha).
Average Belowground Carbon Stock: 34.17 ± 22.20 t/ha.
Coffee Farms:
Average Aboveground Carbon Stock: 181.98 ± 83.35 t/ha.
Average Belowground Carbon Stock: 43.53 ± 20.04 t/ha.
Monasteries:
Average Aboveground Carbon Stock: 97.90 ± 43.69 t/ha.
Average Belowground Carbon Stock: 24.60 ± 10.73 t/ha.
City Golf Course:
Average Aboveground Carbon Stock: 58.23 ± 80.84 t/ha.
Average Belowground Carbon Stock: 13.71 ± 19.40 t/ha.
Seasonal Farms:
Average Aboveground Carbon Stock: 5.00 t/ha
Average Belowground Carbon Stock: 1.20 t/ha</t>
  </si>
  <si>
    <t>Total administrative area of Pyin Oo Lwin: 10,159.82 hectares (ha) or approximately 101.6 square kilometers (km²).
Botanical Garden (Kandawgyi): 177.00 hectares.
Coffee Farms: 244.72 hectares.
Monasteries: 41.07 hectares.
City Golf Course: 104.59 hectares.
Seasonal Farms: 7.83 hectares.</t>
  </si>
  <si>
    <t xml:space="preserve"> 9° 5' 5" to 8° 49′ 54″ N</t>
  </si>
  <si>
    <t>38° 54′ 21″ to 38° 38′ 15″ E</t>
  </si>
  <si>
    <t>1988, 1998, 2008, and 2018</t>
  </si>
  <si>
    <t>The maximum temperature varies between 17 and 22 °C, and the minimum is between 11 and 14 °C</t>
  </si>
  <si>
    <t>The average annual rainfall is 1200 mm</t>
  </si>
  <si>
    <t>Forest, Grassland, Agricultural vegetation</t>
  </si>
  <si>
    <t>Forest, Agricultural and grassland, Built-up and Open land</t>
  </si>
  <si>
    <t>Forest:
1988: 968,310.07
1998: 803,563.80
2008: 1,128,011.22
2018: 1,104,781.16
Agricultural and grassland:
1988: 3,577,255.12
1998: 3,060,333.75
2008: 2,395,742.93
2018: 1,720,751.25
Built-up and transport area:
1988: 150,015.55
1998: 217,688.50
2008: 302,278.89
2018: 387,578.80
Open land:
1988: 136,900.07
1998: 161,667.00
2008: 124,218.95
2018: 111,447.76
Total:
1988: 4,832,480.80
1998: 4,243,253.10
2008: 3,950,251.99
2018: 3,324,559.00</t>
  </si>
  <si>
    <t>Total area of the study area is approximately 556 km². 1988:
Agricultural and Grassland: 32,894.3 hectares (61.03%)
Built-up and Transport Area: 10,345.9 hectares (19.20%)
Open Land: 5,411.07 hectares (10.04%)
Forest: 5,245.47 hectares (9.73%)
1998
Agricultural and Grassland: 28,141 hectares (52.20%)
Built-up and Transport Area: 15,013 hectares (27.85%)
Open Land: 6,390 hectares (11.86%)
Forest: 4,353 hectares (8.08%)
2008
Agricultural and Grassland: 22,029.82 hectares (40.87%)
Built-up and Transport Area: 20,846.82 hectares (38.68%)
Forest: 6,111.9 hectares (11.34%)
Open Land: 4,904.6 hectares (9.10%)
2018
Built-up and Transport Area: 27,684.2 hectares (51.36%)
Agricultural and Grassland: 15,823 hectares (29.35%)
Forest: 5,982.6 hectares (11.10%)
Open Land: 4,408.8 hectares (8.18%)</t>
  </si>
  <si>
    <t>February 2 to October 26, 2013</t>
  </si>
  <si>
    <t>1°31'01.17" N</t>
  </si>
  <si>
    <t>103°40'03.21" E.</t>
  </si>
  <si>
    <t>Tropical forest and mangrove</t>
  </si>
  <si>
    <t>Diameter at breast height (DBH)
Tree height (for forest trees)
Wood density (for mangroves)</t>
  </si>
  <si>
    <t>(Carbon = Biomass × 0.5)</t>
  </si>
  <si>
    <t>Total Storage:
Mangroves: 0.437 million tonnes of Carbon (Mt C).
Tropical Forest: 0.185 Mt C.
Average Storage (per site type):
Tropical Forest: 161.7 tC/ha.
Mangrove: 52.1 tC/ha.
Putra Urban Forest: 48.81 tC/ha.
JB Urban Forest: 43.06 tC/ha.
MPJBT Urban Forest: 34.03 tC/ha.
Bukit Layang-Layang Park: 32.63 tC/ha.
The mean for all urban forests/parks combined is 39.63 tC/ha.</t>
  </si>
  <si>
    <t>The entire Iskandar Malaysia development region covers 2,217 km²: Mangrove: 8,382 hectares.
Forest: 1,144 hectares.
Bukit Layang-Layang Park: 44.69 hectares.
MPJBT Urban Forest: 26.16 hectares.
Putra Urban Forest: 17.47 hectares.
JB Urban Forest: 15.17 hectares.</t>
  </si>
  <si>
    <t>Total Aboveground Biomass (AGB): 431,476.5 kg.
Total Belowground Biomass (BGB): 35,950.3 kg.
Total Biomass (TB = AGB + BGB): 467,426.77 kg (or 467.43 tonnes).</t>
  </si>
  <si>
    <t>765 trees</t>
  </si>
  <si>
    <t>Nasik</t>
  </si>
  <si>
    <t>19°59′51.0″N</t>
  </si>
  <si>
    <t>73°47′23.3″E</t>
  </si>
  <si>
    <t>urban green space (campus)</t>
  </si>
  <si>
    <t>Girth at Breast Height (GBH) and Tree Height</t>
  </si>
  <si>
    <t>allometric equations and remote sensing (INVEST)</t>
  </si>
  <si>
    <t>allometric equations, field sampling and Remote sensing: Satellite imagery (RapidEye and ALOS PALSAR)</t>
  </si>
  <si>
    <t>The campus area is 138,945 m² (or 13.89 hectares)</t>
  </si>
  <si>
    <t>357.42   TonCarbon/yr</t>
  </si>
  <si>
    <t xml:space="preserve">Total Carbon Storage (Stock): 233,713 kg (or 233.71 tonnes) of Carbon. </t>
  </si>
  <si>
    <t>Coimbatore</t>
  </si>
  <si>
    <t>Annual rainfall is about 618 mm</t>
  </si>
  <si>
    <t>Average monthly temperature varies between 20.6 °C and 38.4 °C</t>
  </si>
  <si>
    <t>Height, Diameter at Breast Height (DBH), Wood density</t>
  </si>
  <si>
    <t>Bharathi Park: 11°01'12" N
Gandhi Park: 11°00′03″ N
VOC Park: 11°00'24" N</t>
  </si>
  <si>
    <t>Bharathi Park: 76°56'50" E
Gandhi Park: 76°57'03" E
VOC Park: 76°58'12" E</t>
  </si>
  <si>
    <t>aboveground and belowground (BGB = AGB x 0.26)</t>
  </si>
  <si>
    <t>Acacia auriculiformis (Earleaf acacia)
Albizia lebbeck (Indian siris tree)
Araucaria heterophylla (Norfolk Island pine)
Azadirachta indica (Neem)
Bambusa vulgaris (Bamboo)
Bauhinia purpurea (Purple bauhinia)
Bergera koenigii (Curry leaf)
Caryota mitis (Fishtail palm)
Cassia fistula (Golden shower)
Casuarina equisetifolia (Casuarina)
Clusia rosea (Balsom apple)
Cocos nucifera (Coconut)
Cordia sebestena (Geranium tree)
Couroupita guianensis (Cannon ball tree)
Delonix regia (May flower tree)
Ficus benjamina (Weeping fig)
Ficus racemosa (Cluster fig)
Ficus religiosa (Sacred fig)
Gliricidia sepium (Quick stick)
Hippocratea volubilis (Medicine vine tree)
Kigelia Africana (Sausage tree)
Lagunaria patersonia (Cow itch tree)
Leucaena leucocephala (River tamarind)
Limonia acidissima (Wood apple)
Madhuca longifolia (Butter tree)
Malpighia emarginata (Indian cherry)
Mangifera indica (Mango tree)
Manilkara zapota (Sapota)
Millettia pinnata (Pungam tree)
Millingtonia hortensis (Indian cork tree)
Mimusops elengi (Spanish Cherry)
Morinda tinctoria (Indian mulberry)
Morus spp. (Mulberry tree)
Nyctanthes arbor-tristis (Parijat)
Parkia biglandulosa (Ball badminton tree)
Paubrasilia echinata (Brazilwood tree)
Paulownia tomentosa (Princess tree)
Peltophorum pterocarpum (Yellow flame tree)
Phoenix pusilla (Ceylon Date Palm)
Phyllanthus emblica (Gooseberry)
Polyalthia longifolia (False Ashoka)
Psidium guajava (Guava tree)
Pterospermum acerifolium (Kanak Champa)
Roystonea regia (Royal palm)
Santalum album (Sandal tree)
Simarouba glauca (Paradise tree)
Spathodea campanulata (African tulip tree)
Sterculia foetida (Wild almond tree)
Syzygium cumini (Jamun tree)
Tabebuia heterophylla (Cuban pink)
Tamarindus indica (Tamarind)
Tecoma stans (Yellow bells)
Tectona grandis (Teak)
Terminalia arjuna (Arjuna tree)
Terminalia bellirica (Bibhitaki tree)
Terminalia catappa (Indian almond)
Thespesia populnea (Indian tulip tree)
Tipuana tipu (Tipu tree)</t>
  </si>
  <si>
    <t>Total Carbon Stock (kg tree⁻¹): 81,273.88 kg
Total CO₂ (eq.) (kg tree⁻¹): 297,894.00 kg</t>
  </si>
  <si>
    <t>Total Net Carbon Sequestration (kg tree⁻¹ year⁻¹): 8,089.49 kg/year</t>
  </si>
  <si>
    <t>Total Above Ground Biomass (AGB):129,006.11 kg
Total Below Ground Biomass (BGB):33,541.65 kg
Total Biomass (AGB + BGB):162,547.76 kg</t>
  </si>
  <si>
    <t>277 trees</t>
  </si>
  <si>
    <t>February to October 2014.</t>
  </si>
  <si>
    <t>4°39′45.75" N</t>
  </si>
  <si>
    <t>9°23′51.63" E</t>
  </si>
  <si>
    <t>Kumba</t>
  </si>
  <si>
    <t>Cameroon</t>
  </si>
  <si>
    <t>equatorial</t>
  </si>
  <si>
    <t>Average annual rainfall is 3,000–4,000 mm</t>
  </si>
  <si>
    <t>The mean temperature ranges from 24–35°C</t>
  </si>
  <si>
    <t>Tropical evergreen rainforest</t>
  </si>
  <si>
    <t>Diameter at Breast Height (DBH)</t>
  </si>
  <si>
    <t>Average total aboveground biomass values per site:
Average across all sites: 159.17 Mg/ha.
Cocoa Farms: 256.93 Mg/ha (Highest).
Open Forest: 186.01 Mg/ha.
Dense Forest: 103.23 Mg/ha.
Mosaic Forest: 90.50 Mg/ha (Lowest).</t>
  </si>
  <si>
    <t>The study provides average carbon stock values per site:
Average across all sites: 79.5 Mg/ha.
Cocoa Farms: 128 Mg/ha (Highest).
Open Forest: 93 Mg/ha.
Dense Forest: 51.6 Mg/ha.
Mosaic Forest: 45.3 Mg/ha (Lowest).</t>
  </si>
  <si>
    <t> 3,184 hectares: Open Forest (2122 ha), Water (411.7 ha), Mosaic Forest (349.4 ha), Dense Forest (213.9 ha), and Urban (87 ha).</t>
  </si>
  <si>
    <t>most abundant species: Pseudospondia microcarpa
Musanga cecropioides
The least abundant species mentioned are:
Camarium schweinfurthii
Distemonanthus binthamianus</t>
  </si>
  <si>
    <t>Abu Dhabi</t>
  </si>
  <si>
    <t>United Arab Emirates</t>
  </si>
  <si>
    <t>24.43° N</t>
  </si>
  <si>
    <t>54.65° E</t>
  </si>
  <si>
    <t>trees of 20 years old</t>
  </si>
  <si>
    <t>Acacia farnesiana (Sweet Acacia)
Acacia salicina (Willow Acacia)
Calophyllum inophyllum (Kamani)
Casuarina equisetifolia (Ironwood)
Cupaniopsis anacardioides (Carrotwood)
Delonix regia (Royal Poinciana)
Eucalyptus microtheca (Coolibah Tree)
Melaleuca quinquenervia (Paperbark)
Morus alba (White Mulberry)
Olea europaea (Olive)
Parkinsonia aculeata (Jerusalem Thorn)
Phoenix dactylifera (Date Palm)
Pinus brutia (Turkish Pine)
Prosopis cineraria (Ghaf Tree)
Ulmus parvifolia (Chinese Elm)</t>
  </si>
  <si>
    <t>Desert</t>
  </si>
  <si>
    <t> 2437 mm/year</t>
  </si>
  <si>
    <t>hot desert climate (Köppen climate classification BWh)</t>
  </si>
  <si>
    <t>street and urban open space</t>
  </si>
  <si>
    <t>Average carbon sequestration per tree: 16.0 kgC/yr or 0.4 kgC/m2/yr</t>
  </si>
  <si>
    <t>Height, Diameter at Breast Height (DBH), Crown / Canopy Diameter</t>
  </si>
  <si>
    <t>439,724 m² (44 hectares)</t>
  </si>
  <si>
    <t>canopy of tree coverage: 15.2% fo total area (439,724 m²)</t>
  </si>
  <si>
    <t>25° 14' to 25° 23.5' N</t>
  </si>
  <si>
    <t>82° 56′ to 83° 03′ E</t>
  </si>
  <si>
    <t>Humid subtropical climate</t>
  </si>
  <si>
    <t>Dry winters with average temperatures from 3°C to 18°C; summers have mean temperatures above 22°C.</t>
  </si>
  <si>
    <t>average of 1,110 mm of rain per year.</t>
  </si>
  <si>
    <t>Urban forest: Udai Pratap Autonomous college (UPAC), Banaras locomotive works (BLW).
Suburban forest: Banaras Hindu University (BHU), Ramna (RMN).
Peri-urban forest: Sarnath temple (SNT), PSC camp of Ramnagar (RMNr).
Rural forest: Matridham ashram (MA), Indane gas plant (IGP).</t>
  </si>
  <si>
    <t>Diameter at Breast Height (DBH) and Height</t>
  </si>
  <si>
    <t>1. Sarnath Temple (SNT) - Peri-urban Forest
Total Carbon Stock: 524.17 tonnes/hectare
2. Ramna (RMN) - Suburban Garden
Total Carbon Stock: 1131.42 tonnes/hectare
3. Indane Gas Plant (IGP) - Rural Forest
Total Carbon Stock: 2620.51 tonnes/hectare
4. Matridham Ashram (MA) - Rural Forest
Total Carbon Stock: 2898.61 tonnes/hectare
5. Ramnagar (RMNr) - Peri-urban Forest
Total Carbon Stock: 3162.24 tonnes/hectare
6. Banaras Hindu University (BHU) - Suburban Forest
Total Carbon Stock: 3398.43 tonnes/hectare
7. Udai Pratap Autonomous College (UPAC) - Urban Forest
Total Carbon Stock: 4926.17 tonnes/hectare
8. Banaras Locomotive Works (BLW) - Urban Forest
Total Carbon Stock: 7806.48 tonnes/hectare</t>
  </si>
  <si>
    <t>1. Sarnath Temple (SNT) - Peri-urban Forest
Total Biomass: 144.06 tonnes/hectare
2. Ramna (RMN) - Suburban Garden
Total Biomass: 328.86 tonnes/hectare
3. Indane Gas Plant (IGP) - Rural Forest
Total Biomass: 784.58 tonnes/hectare
4. Matridham Ashram (MA) - Rural Forest
Total Biomass: 864.29 tonnes/hectare
5. Ramnagar (RMNr) - Peri-urban Forest
Total Biomass: 935.52 tonnes/hectare
6. Banaras Hindu University (BHU) - Suburban Forest
Total Biomass: 1000.78 tonnes/hectare
7. Udai Pratap Autonomous College (UPAC) - Urban Forest
Total Biomass: 1468.86 tonnes/hectare
8. Banaras Locomotive Works (BLW) - Urban Forest
Total Biomass: 2327.81 tonnes/hectare</t>
  </si>
  <si>
    <t>total area: 702.09 hectares: 1. Sarnath Temple (SNT) - Peri-urban Forest
Study Area: 28.2 hectares
2. Ramna (RMN) - Suburban Garden
Study Area: 1.84 hectares
3. Indane Gas Plant (IGP) - Rural Forest
Study Area: 28.48 hectares
4. Matridham Ashram (MA) - Rural Forest
Study Area: 12.45 hectares
5. Ramnagar (RMNr) - Peri-urban Forest
Study Area: 23.1 hectares
6. Banaras Hindu University (BHU) - Suburban Forest
Study Area: 443.58 hectares
7. Udai Pratap Autonomous College (UPAC) - Urban Forest
Study Area: 37.16 hectares
8. Banaras Locomotive Works (BLW) - Urban Forest
Study Area: 127.28 hectares</t>
  </si>
  <si>
    <t>1. Sarnath Temple (SNT) - Peri-urban Forest
Tree Density: 368 trees/hectare
2. Ramna (RMN) - Suburban Garden
Tree Density: 320 trees/hectare
3. Indane Gas Plant (IGP) - Rural Forest
Tree Density: 416 trees/hectare
4. Matridham Ashram (MA) - Rural Forest
Tree Density: 368 trees/hectare
5. Ramnagar (RMNr) - Peri-urban Forest
Tree Density: 384 trees/hectare
6. Banaras Hindu University (BHU) - Suburban Forest
Tree Density: 432 trees/hectare
7. Udai Pratap Autonomous College (UPAC) - Urban Forest
Tree Density: 368 trees/hectare
8. Banaras Locomotive Works (BLW) - Urban Forest
Tree Density: 320 trees/hectare</t>
  </si>
  <si>
    <t>Oman</t>
  </si>
  <si>
    <t>Muscat</t>
  </si>
  <si>
    <t>Acacia auriculiformis
Aegle marmelos
Albizia lebbeck
Albizia procera
Alstonia scholaris
Anogeissus latifolia
Anthocephalus cadamba
Artocarpus heterophyllus
Artocarpus lakoocha
Azadirachta indica
Borassus flabellifer
Callistemon lanceolatus
Cordia dichotoma
Dalbergia sissoo
Delonix regia
Diospyros melanoxylon
Eucalyptus globulus
Ficus religiosa
Ficus benghalensis
Ficus racemosa
Ficus virens
Gmelina arborea
Holarrhena antidysenterica
Holoptelea integrifolia
Madhuca indica
Mallotus philippensis
Mangifera indica
Melia azedarach
Mitragyna parvifolia
Moringa oleifera
Phyllanthus emblica
Polyalthia longifolia
Pongamia pinnata
Premna integrifolia
Psidium guajava
Pterospermum acerifolium
Roystonea regia
Saraca indica
Schleichera oleosa
Spondias mombin
Syzygium cumini
Tecomella undulata
Tectona grandis
Terminalia arjuna
Terminalia bellirica
Wrightia tinctoria</t>
  </si>
  <si>
    <t>Patrick Amoatey and Hameed Sulaiman</t>
  </si>
  <si>
    <t>arid and semi-arid</t>
  </si>
  <si>
    <t>trees, palms and turf grass</t>
  </si>
  <si>
    <t>Roadside plantations (RP)
Public institutions (PI) (e.g., SQU Botanical Garden, Grand Mosque)
Open spaces (OS) (e.g., Burj Al Sahawa, Airport Area)
Public parks (PP) (e.g., Al Sahawa, Al Qurum)</t>
  </si>
  <si>
    <t>Average carbon stock values:
Roadside Plantations (RP): 1104.08 ton/ha (Highest)
Public Parks (PP): 712.47 ton/ha
Open Space (OS): 634.32 ton/ha
Public Institutions (PI): 574.23 ton/ha (Lowest)
Turf Grass: 0.604 ± 0.09 kg C/m²</t>
  </si>
  <si>
    <t>total: 1768 trees: Public Institutions (PI): 571 trees
Public Parks (PP): 457 trees
Roadside Plantations (RP): 373 trees
Open Space (OS): 367 trees</t>
  </si>
  <si>
    <t>Public Parks (PP)
Total Aboveground Biomass (AGB): 1280.74 ton/ha
Total Belowground Biomass (BGB): 144.19 ton/ha
Open Space (OS)
Total Aboveground Biomass (AGB): 1137.83 ton/ha
Total Belowground Biomass (BGB): 130.81 ton/ha
Roadside Plantations (RP)
Total Aboveground Biomass (AGB): 1983.88 ton/ha
Total Belowground Biomass (BGB): 224.29 ton/ha
Public Institutions (PI)
Total Aboveground Biomass (AGB): 1031.64 ton/ha
Total Belowground Biomass (BGB): 116.83 ton/ha</t>
  </si>
  <si>
    <t>Puerto Rico</t>
  </si>
  <si>
    <t>Rhizophora mangle (Red Mangrove)
Laguncularia racemosa (White Mangrove)
Avicennia germinans (Black Mangrove)
Conocarpus erectus (Buttonwood)</t>
  </si>
  <si>
    <t>total area: 1,486 hectares.</t>
  </si>
  <si>
    <t>18°25'41.8"N</t>
  </si>
  <si>
    <t>66°02'16.3"W</t>
  </si>
  <si>
    <t>Aboveground: 5.2 Mg C/ha/year
Belowground (soil): 2.49 Mg C/ha/year</t>
  </si>
  <si>
    <t>Aboveground: 208,308 Mg C (average of 90.1 Mg C/ha)
Belowground (soil): 240,904 Mg C (average of 104 Mg C/ha)</t>
  </si>
  <si>
    <t>(44% carbon content for aboveground biomass)</t>
  </si>
  <si>
    <t>recent decades: 1970–2016</t>
  </si>
  <si>
    <t> five million trees</t>
  </si>
  <si>
    <t>Johor</t>
  </si>
  <si>
    <t>1º0’59.47” N</t>
  </si>
  <si>
    <t>103º3’52.96”E</t>
  </si>
  <si>
    <t>Temperatures typically range from 24°C to 32°C.</t>
  </si>
  <si>
    <t>tropical forest</t>
  </si>
  <si>
    <t>remote sensing (specifically, Normalized Difference Vegetation Index - NDVI derived from a WorldView-2 satellite image), field study (for biometric data like diameter at breast height), and allometric equations</t>
  </si>
  <si>
    <t>25 hectares</t>
  </si>
  <si>
    <t>dominant species:  Dryobalanops Oblongifolia, Dryobalanops Aromatica, Manilloa Browneiodes, and Shorea Spp.</t>
  </si>
  <si>
    <t>The average aboveground carbon stock in the urban forest is approximately 70 t C ha⁻¹.</t>
  </si>
  <si>
    <t>mean annual rainfall figure of 1321.2 mm</t>
  </si>
  <si>
    <t>Australia</t>
  </si>
  <si>
    <t>Traditional suburb: 2.57 hectares.
Modern suburb: 2.95 hectares.</t>
  </si>
  <si>
    <t>Traditional suburb: 0.604 hectares of tree canopy (23.5% of the total site area).
Modern suburb: 0.166 hectares of tree canopy (5.6% of the total site area).</t>
  </si>
  <si>
    <t> carbon storage is calculated as "45 per cent of the total dry weight biomass</t>
  </si>
  <si>
    <t>Traditional suburb: 13,076 metric tonnes (or 396 tonnes/household).
Modern suburb: 3,596 metric tonnes (or 88 tonnes/household).</t>
  </si>
  <si>
    <t>Traditional suburb: 101.8 metric tonnes per year (or 3.08 tonnes/household/year).
Modern suburb: 28 metric tonnes per year (or 0.68 tonnes/household/year).</t>
  </si>
  <si>
    <t>remote sensing (ArcGIS and 'CITYgreen for GIS' )</t>
  </si>
  <si>
    <t>total area of tree canopy cover</t>
  </si>
  <si>
    <t>Shellharbour</t>
  </si>
  <si>
    <t>34°32′30″S</t>
  </si>
  <si>
    <t>150°51′30″E</t>
  </si>
  <si>
    <t>temperade</t>
  </si>
  <si>
    <t>February 1992 and February 2022</t>
  </si>
  <si>
    <t>The total carbon stock for the entire study area was:
1992: 6,039,109 Mg (or 6.04 Tg) of carbon.
2022: 4,007,357 Mg (or 4.01 Tg) of carbon.</t>
  </si>
  <si>
    <t>vegetation cover: 1992 approximately 56% of the area. By 2022 was 35% of the area.</t>
  </si>
  <si>
    <r>
      <t xml:space="preserve">approximate area of </t>
    </r>
    <r>
      <rPr>
        <b/>
        <sz val="11"/>
        <color rgb="FF000000"/>
        <rFont val="Calibri"/>
        <family val="2"/>
        <scheme val="minor"/>
      </rPr>
      <t>1,256 km²</t>
    </r>
    <r>
      <rPr>
        <sz val="11"/>
        <color rgb="FF000000"/>
        <rFont val="Calibri"/>
        <family val="2"/>
        <scheme val="minor"/>
      </rPr>
      <t>.</t>
    </r>
  </si>
  <si>
    <t>Kolkata</t>
  </si>
  <si>
    <t>Tropical Monsoonal climatic</t>
  </si>
  <si>
    <t>urban, per-urban, and rural</t>
  </si>
  <si>
    <t>remote sensing (using the InVEST and LULC)</t>
  </si>
  <si>
    <t>22°24′39″ N to 22°46′37″ N</t>
  </si>
  <si>
    <t>88°11′19″ E to 88°34′25″ E</t>
  </si>
  <si>
    <t>aboveground carbon, belowground carbon, dead organic carbon, and soil organic carbon</t>
  </si>
  <si>
    <t>annual CO₂ absorption rate was 223.65 kg ha⁻¹ yr⁻¹</t>
  </si>
  <si>
    <t>China</t>
  </si>
  <si>
    <t xml:space="preserve">    Acacia mangium
    Acronychia pedunculata
    Adina pilulifera
    Aporosa dioica
    Gardenia jasminoides
    Ardisia quinquegona
    Bridelia tomentosa
    Chukrasia tabularis var. velutina
    Cinnamomum camphora
    Cratoxylum ligustrinum
    Desmos chinensis
    Dimocarpus longan
    Elaeocarpus apiculatus
    Eucalyptus exserta
    Eucalyptus urophylla
    Evodia meliaefolia
    Ficus variolosa
    Homalium cochinchinense
    Ilex asprella
    Khaya senegalensis
    Litsea cubeba
    Lithocarpus glaber
    Litsea glutinosa
    Litsea rotundifolia var. oblongifolia
    Microcos paniculata
    Psychotria rubra
    Schefflera octophylla
    Schima superba
    Sterculia lanceolata
    Syzygium rehderianum
    Tarenna mollissima
    Toxicodendron succedaneum
    Zanthoxylum avicennae</t>
  </si>
  <si>
    <t>22°39′–23°09'N</t>
  </si>
  <si>
    <t>113°31′–114°15′E</t>
  </si>
  <si>
    <t>Dongguan</t>
  </si>
  <si>
    <t>Subtropical maritime</t>
  </si>
  <si>
    <t>Diameter at breast height (DBH) and Total tree heigh</t>
  </si>
  <si>
    <t xml:space="preserve">    Dapingzhang Forest Park (DPZ): 3050 stems/ha
    Huangqishan Park (HQS): 2175 stems/ha
    Shuilianshan Park (SLS): 1500 stems/ha
    Tongsha Park (TS): 1450 stems/ha</t>
  </si>
  <si>
    <t>Kumasi</t>
  </si>
  <si>
    <t>6°41′ N</t>
  </si>
  <si>
    <t>1°37′ W</t>
  </si>
  <si>
    <t>Tropical</t>
  </si>
  <si>
    <r>
      <t xml:space="preserve">mean annual temperature is </t>
    </r>
    <r>
      <rPr>
        <b/>
        <sz val="11"/>
        <color rgb="FF000000"/>
        <rFont val="Calibri"/>
        <family val="2"/>
        <scheme val="minor"/>
      </rPr>
      <t>26.4 °C</t>
    </r>
    <r>
      <rPr>
        <sz val="11"/>
        <color rgb="FF000000"/>
        <rFont val="Calibri"/>
        <family val="2"/>
        <scheme val="minor"/>
      </rPr>
      <t>.</t>
    </r>
  </si>
  <si>
    <t>The mean annual rainfall is 1250 mm</t>
  </si>
  <si>
    <t>urban green spaces (UGS)</t>
  </si>
  <si>
    <t>Urban center: Tongsha Park (TS);  Suburb: Huangqishan Park (HQS) and Shuilianshan Park (SLS); Exurb (city outskirts): Dapingzhang Forest Park (DPZ)</t>
  </si>
  <si>
    <t>Total aboveground carbon stored: Approximately 1.2 million tonnes.
Mean carbon storage density: 228 t C ha⁻¹.</t>
  </si>
  <si>
    <t>Shuilianshan Park (SLS): 440 t/ha
Huangqishan Park (HQS): Approx. 280 t/ha (estimated from graph)
Tongsha Park (TS): Approx. 250 t/ha (estimated from graph)
Dapingzhang Forest Park (DPZ): 180 t/ha</t>
  </si>
  <si>
    <t>Diameter at breast height (DBH), measured at 1.3 m, Tree height.</t>
  </si>
  <si>
    <t>3,757 individuals</t>
  </si>
  <si>
    <t>Shuilianshan Park (SLS): 219 t/ha
Huangqishan Park (HQS): Approx. 130 t/ha (estimated from graph)
Tongsha Park (TS): Approx. 125 t/ha (estimated from graph)
Dapingzhang Forest Park (DPZ): 90 t/ha</t>
  </si>
  <si>
    <t>metropolitan land area of Kumasi is about 254 km². Total sampled area of 47,000 m² or 4.7 ha</t>
  </si>
  <si>
    <t>carbon stock was calculated by multiplying biomass by a factor of 0.474. Therefore, the total aboveground biomass is approximately 2.53 million tonnes.</t>
  </si>
  <si>
    <t>Cassia siamea
Casuarina equisetifolia
Cedrela odorata
Ceiba pentandra
Citrus sinensis
Cocos nucifera
Delonix regia
Elaeis guineensis
Funtumia elastica
Gliricidia sepium
Gmelina arborea
Mangifera indica
Millettia thonningii
Morinda lucida
Peltophorum pterocarpum
Persea americana
Polyalthia longifolia
Spathodea campanulata
Tectona grandis
Terminalia catappa
Theobroma cacao
Trichilia monodelpha
Triplochiton scleroxylon</t>
  </si>
  <si>
    <t>Avicennia alba
Avicennia marina
Avicennia officinalis
Hydnocarpus anthelminthicus
Mangifera indica
Spondias pinnata
Cananga odorata
Monoon longifolium var. longifolium
Monoon longifolium var. pendula
Alstonia scholaris
Cerbera manghas
Cerbera odollam
Kopsia arborea
Plumeria alba
Plumeria rubra
Schefflera actinophylla
Araucaria cookii
Borassus flabellifer
Cocos nucifera
Elaeis guineensis
Phoenix roebelenii
Roystonea regia
Wodyetia bifurcata
Crescentia cujete
Dolichandrone serrulata
Jacaranda filicifolia
Millingtonia hortensis
Oroxylum indicum
Radermachera sinica
Spathodea campanulata
Tabebuia argentea
Tabebuia pallida
Tabebuia rosea
Cochlospermum religiosum
Cordia sebestena
Calophyllum inophyllum
Crateva religiosa
Casuarina equisetifolia
Casuarina junghuhniana
Garcinia schomburgkiana
Combretum quadrangulare
Terminalia catappa
Terminalia chebula
Terminalia ivorensis
Dillenia indica
Dipterocarpus alatus
Hopea odorata
Shorea roxburghii
Vatica diospyroides
Diospyros decandra
Diospyros mollis
Elaeocarpus hygrophilus
Excoecaria indica
Hura crepitans
Abrus precatorius
Acacia auriculiformis
Acacia mangium
Adenanthera pavonina
Afzelia xylocarpa
Albizia lebbeck
Albizia lebbekoides
Albizia odoratissima
Albizia procera
Bauhinia purpurea
Brownea ariza
Butea monosperma
Caesalpinia coriaria
Cassia bakeriana
Cassia fistula
Cassia grandis
Dalbergia cochinchinensis
Delonix regia
Erythrina fusca
Erythrina variegata
Gliricidia sepium
Leucaena leucocephala
Millettia brandisiana
Millettia leucantha
Peltophorum dasyrrhachis
Peltophorum pterocarpum
Phyllocarpus septentrionalis
Pithecellobium dulce
Pterocarpus indicus
Pterocarpus macrocarpus
Samanea saman
Senna siamea
Tamarindus indica
Xylia xylocarpa
Tectona grandis
Barringtonia acutangula
Barringtonia racemosa
Couroupita guianensis
Gustavia gracillima
Lagerstroemia floribunda
Lagerstroemia loudonii
Lagerstroemia macrocarpa
Lagerstroemia speciosa
Sonneratia caseolaris
Michelia × alba
Michelia champaca
Bombax ceiba
Ceiba pentandra
Durio zibethinus
Hibiscus tiliaceus
Pterospermum littorale
Sterculia foetida
Thespesia populnea
Memecylon edule
Aglaia edulis
Azadirachta indica
Chukrasia tabularis
Sandoricum koetjape
Swietenia macrophylla
Swietenia mahagoni
Xylocarpus granatum
Artocarpus altilis
Artocarpus heterophyllus
Artocarpus lacucha
Ficus altissima
Ficus benghalensis
Ficus benjamina
Ficus microcarpa
Ficus racemosa
Ficus religiosa
Ficus rumphii
Streblus asper
Moringa oleifera
Muntingia calabura
Callistemon viminalis
Eucalyptus globulus
Syzygium cumini
Syzygium malaccense
Syzygium samarangense
Pisonia grandis
Averrhoa carambola
Pandanus pacificus
Pandanus tectorius
Phyllanthus acidus
Phyllanthus emblica
Coccoloba uvifera
Ziziphus mauritiana
Bruguiera gymnorhiza
Rhizophora apiculata
Rhizophora mucronata
Mitragyna diversifolia
Morinda citrifolia
Nauclea orientalis
Aegle mamelos
Citrus maxima
Limonia acidissima
Murraya paniculata
Salix babylonica
Arfeuillea arborescens
Dimocarpus longan
Lepisanthes rubiginosa
Litchi chinensis
Manilkara achras
Manilkara hexandra
Mimusops elengi
Schoutenia glomerata
Citharexylum spinosum
Guaiacum officinale</t>
  </si>
  <si>
    <t>Swietenia mahagoni</t>
  </si>
  <si>
    <t>Bangkok</t>
  </si>
  <si>
    <t>Indo-Burma biodiversity hotspot</t>
  </si>
  <si>
    <t>5600 km² area</t>
  </si>
  <si>
    <t>7633 individual trees</t>
  </si>
  <si>
    <t>Diameter at breast height (DBH) and Tree height</t>
  </si>
  <si>
    <t>total biomass: 6242.19 t/ha</t>
  </si>
  <si>
    <t>mean total carbon storage (aboveground + belowground) for the two survey location types:
Randomised points: 10.4 t/ha
Woodland points: 25.1 t/ha</t>
  </si>
  <si>
    <t>13°45′09″N</t>
  </si>
  <si>
    <t>100°29′39″E</t>
  </si>
  <si>
    <t>158 trees</t>
  </si>
  <si>
    <t>November 26, and December 7, 11, and 14, 2021.</t>
  </si>
  <si>
    <t>Metro City</t>
  </si>
  <si>
    <t>total annual CO2 sequestration (uptake) by the trees was calculated to be 57.42 tons/year</t>
  </si>
  <si>
    <t>Total AGB = 15,648 kg / 0.46 = 34,017 kg (or 34.02 tons) of biomass.</t>
  </si>
  <si>
    <t>5°06'33.1"S</t>
  </si>
  <si>
    <t>105°19'40.8"E</t>
  </si>
  <si>
    <t>diameter of the tree trunks</t>
  </si>
  <si>
    <t>Total carbon stock = 57.42 tons / 3.67 = 15.65 tons of carbon</t>
  </si>
  <si>
    <t>Savanna and gallery forest</t>
  </si>
  <si>
    <t>tropical sudanian</t>
  </si>
  <si>
    <t>Mean annual precipitation: 900–1100 mm.</t>
  </si>
  <si>
    <t>Mean annual temperature: 20 °C to 25 °C.</t>
  </si>
  <si>
    <t>Kua Forest: 11°08′30″–11°10′00″ N
Dindéresso Forest: 11°11′05″–11°18′10″ N latitude</t>
  </si>
  <si>
    <t>Kua Forest: 4°13′30″–4°12′30″ W
Dindéresso Forest: 4°18′46″–4°26′40″ W</t>
  </si>
  <si>
    <t>Diameter at breast height (DBH) and Total tree height</t>
  </si>
  <si>
    <t>mean aboveground carbon stock for each forest:
Kua Forest: 26.21 ± 31.27 Mg/ha
Dindéresso Forest: 13.39 ± 15.95 Mg/ha</t>
  </si>
  <si>
    <t>mean aboveground biomass (AGB) for each forest:
Kua Forest: 13.11 ± 15.84 Mg/ha
Dindéresso Forest: 6.69 ± 8.04 Mg/ha</t>
  </si>
  <si>
    <t>2993 individuals: 784 in Kua forest and 2,214 in Dindéresso forest.</t>
  </si>
  <si>
    <t>Kua Forest: 350 hectares
Dindéresso Forest: 8,500 hectares</t>
  </si>
  <si>
    <t>Dominant species: In both forests: Vitellaria paradoxa
Kua Forest: Azadirachta indica, Tectona grandis, Syzygium guineense, and Eucalyptus camaldulensis.
Dindéresso Forest: Anacardium occidentale, Parkia biglobosa, and Isoberlinia doka.</t>
  </si>
  <si>
    <t>allometric equation and field sampling (i-Tree Eco model)</t>
  </si>
  <si>
    <t>1,607 individual trees</t>
  </si>
  <si>
    <t>5 ha</t>
  </si>
  <si>
    <t>total carbon stock 381 metric tons</t>
  </si>
  <si>
    <t>Carbon sequestration of 25.17 metric tons/year</t>
  </si>
  <si>
    <t>Diameter at breast height (DBH), Tree height (total, top, and base), Crown width and health</t>
  </si>
  <si>
    <t>Important species: Gmelina arborea
Khaya anthotheca
Spathodea campanulata
Filicium decipiens (sequesters and stores the most carbon)
Terminalia catappa
Swietenia mahagoni (stores the second-most carbon)
Ficus benjamina
Pinus merkusii
Theobroma cacao
Diospyros sp.
Parkia speciosa</t>
  </si>
  <si>
    <t>6°53'05.6"S</t>
  </si>
  <si>
    <t>107°36'38.2"E</t>
  </si>
  <si>
    <t>E. Velasco, M. Roth, S. H. Tan, M. Quak, S. D. A. Nabarro, and L. Norford</t>
  </si>
  <si>
    <t>1°18′51.46″ N</t>
  </si>
  <si>
    <t>103°54′40.31″ E</t>
  </si>
  <si>
    <t>tropical rainforest</t>
  </si>
  <si>
    <t>street and parks</t>
  </si>
  <si>
    <t>allometric equation and field sampling</t>
  </si>
  <si>
    <t>annual average of ~27.5°C.</t>
  </si>
  <si>
    <t>(December to March) with monthly rainfall of 170-330 mm, and the S-SW monsoon (May to September) with monthly rainfall of 130-160 mm.</t>
  </si>
  <si>
    <t>trees (Woody trees, Palm trees, Banana plants, Turfgrass)</t>
  </si>
  <si>
    <t>Girth at breast height (GBH), Tree height, Wood Specific Density</t>
  </si>
  <si>
    <t>Annual CO₂ sequestration: 500.1 to 510 ton km⁻² yr⁻¹.
Daily net CO₂ uptake (aboveground vegetation): 1.4 ton km⁻² day⁻¹. This is the result of 4.0 ton km⁻² day⁻¹ assimilated during the day minus 2.6 ton km⁻² day⁻¹ respired at night.
Average per-individual uptake (woody trees): 96.4 kg CO₂ per tree per year.</t>
  </si>
  <si>
    <t>2,789 woody trees, 1,566 palm trees, and 244 banana plants.</t>
  </si>
  <si>
    <t>Total CO₂ stock for the study area was 6,337 ton km⁻². The breakdown by vegetation type is:
Woody trees: 95.2%
Palm trees: 2.7%
Turfgrass: 2.1%
Banana plants: 0.004%</t>
  </si>
  <si>
    <t>0.785 km² (or 78.5 hectares)</t>
  </si>
  <si>
    <t>The total dry biomass for the study area was calculated to be 3,484 ton km⁻².</t>
  </si>
  <si>
    <t>October 2010 to June 2012</t>
  </si>
  <si>
    <t>Ecuador</t>
  </si>
  <si>
    <t>Puyo</t>
  </si>
  <si>
    <t>1.4837° S</t>
  </si>
  <si>
    <t>78.0026° O</t>
  </si>
  <si>
    <t>Average annual rainfall: 1000–4000 mm, evenly distributed throughout the year</t>
  </si>
  <si>
    <t>Average annual temperature: 21.35 °C.</t>
  </si>
  <si>
    <t>Amazon rainforest</t>
  </si>
  <si>
    <t>Diameter at breast height (DBH), Commercial heights, wood density (ρ).</t>
  </si>
  <si>
    <t>129 individual trees</t>
  </si>
  <si>
    <t>Woody Trees:
    Xanthostemon chrysanthus
    Mangifera indica
    Caesalpinia ferrea
    Michelia champaca
    Swietenia macrophylla
    Terminalia mantaly
    Callistemon citrinus
    Plumeria species
    Khaya senegalensis
    Peltophorum pterocarpum
    Bauhinia purpurea
    Erythrina fusca
    Lagerstroemia speciosa
    Hopea odorata
    Lagerstroemia floribunda
Palm Trees:
    Adonidia merrillii
    Areca catechu
    Wodyetia bifurcata
    Livistona chinensis
    Cocos nucifera
    Coccothrinax argentata
    Roystonea oleracea
    Ravenala madagascariensis
    Phoenix dactylifera
    Elaeis guineensis
    Licuala grandis
    Phoenix roebelenii
    Latania lontaroides
    Bismarckia nobilis</t>
  </si>
  <si>
    <t>Total carbon storage values (in Mg C ha⁻¹) for each landscape unit:
    Secondary Forest (SF): 143.58 ± 27.93 Mg C ha⁻¹
    Gramalote pasture with trees (GT): 78.66 ± 12.81 Mg C ha⁻¹
    Gramalote pasture (G): 52.16 ± 7.60 Mg C ha⁻¹
    The total amount of CO₂ fixed in the entire peri-urban area (a 4 km radius) is estimated to be 1,664,683 Mg CO₂.</t>
  </si>
  <si>
    <t>The study reports biomass as tons of carbon per hectare. Using the provided IPCC carbon fraction of 0.5, the total biomass values are:
    Secondary Forest (SF): 191.32 Mg/ha (185.0 Mg/ha from AGB + 6.32 Mg/ha from LitterBiomass)
    Gramalote pasture with trees (GT): 56.26 Mg/ha (51.42 Mg/ha from AGB + 4.84 Mg/ha from LB)</t>
  </si>
  <si>
    <t>6.4 hectares</t>
  </si>
  <si>
    <t>Tapirira guianensis
Annona sp.
Duguetia spixiana
Trigynea sp.
Iriartea deltoidea
Socratea rostrata
Piptocoma discolor
Protium aracouchini
Pourouma tomentosa
Hedyosmum sp.
Clusia sp.
Tovomita wedeliana
Sapium glandulosa
Tetrorchidium macrophyllum
Calliandra trinervia
Inga capitata
Inga edulis
Inga multinervia
Inga sp.
Inga stipitata
Prosopis pallida
Nectandra lineata
Nectandra membranacea
Nectandra sp.
Nectandra viburnoides
Pleurothyrium sp.
Bunchosia argentea
Meriania sp.
Miconia bubalina
Miconia elata
Miconia sp.
Cabralea cangerana
Guarea kunthiana
Eugenia sp.
Cecropia marginata
Ficus gomelleira
Sorocea muriculata
Otoba glycycarpa
Neea sp.
Hippotis sp.
Pentagonia amazonica
Psychotria sp.
Zanthoxylum rhoifolium
Allophylus edulis
Pouteria torta
Casearia arborea
Solanaceae (genus not specified)
Turpinia occidentalis
Huertea glandulosa
Cecropia membranacea
Pourouma bicolor
Pourouma guianensis
Vochysia brasilinia</t>
  </si>
  <si>
    <t>February and October 2017</t>
  </si>
  <si>
    <t>Agbelade, A.D., Onyekwelu, J.C</t>
  </si>
  <si>
    <t>Port Harcourt and Ilorin</t>
  </si>
  <si>
    <t>Port Harcourt: 04°46′82″ N – 04°54′17″ N
Ilorin: 08°26′237″ N – 08°31′267″ N</t>
  </si>
  <si>
    <t>Port Harcourt: 06°58′23″ E – 07°02′31″ E longitude.
Ilorin: 04°30′02″ E – 04°33′77″ E longitude.</t>
  </si>
  <si>
    <t>Port Harcourt: Mean annual rainfall of 2708 mm
Ilorin: Mean annual rainfall of 1217 mm</t>
  </si>
  <si>
    <t>Port Harcourt: average annual temperature of 26.4 °C.
Ilorin: average annual temperature of 27.2 °C.</t>
  </si>
  <si>
    <t>Port Harcourt: Located within the rainforest
Ilorin: Located within the Guinea savanna</t>
  </si>
  <si>
    <t>street, urban gardens and green spaces</t>
  </si>
  <si>
    <t>Diameters over bark at the base and middle of the tree, Merchantable height, Total height</t>
  </si>
  <si>
    <t xml:space="preserve">    Port Harcourt:
Total carbon stored: 67,979.08 tons
Average carbon density: 136.15 tons/ha
    Ilorin:
Total carbon stored: 91,512.49 tons
Average carbon density: 7.82 tons/ha</t>
  </si>
  <si>
    <t>Port Harcourt: The sampled area was approximately 499.28 ha (20% of 2496.4 ha).
Ilorin: The sampled area was approximately 2340.9 ha (20% of 11,704.5 ha).</t>
  </si>
  <si>
    <t>Port Harcourt: 746 individual trees were recorded.
Ilorin: 556 individual trees were recorded.</t>
  </si>
  <si>
    <t>Port Harcourt: Total biomass (AGB + BGB) was 56,649.23 tons + 11,329.85 tons = 67,979.08 tons.
Ilorin: Total biomass (AGB + BGB) was 76,260.41 tons + 15,252.08 tons = 91,512.49 tons.
    (Note: The paper seems to equate biomass directly with carbon stock, which is unusual. Typically, carbon is ~50% of biomass. However, the reported values in Tables 8 and 9 show the sum of AGB and BGB equals the C Stock exactly, so the biomass values are reported as such.)</t>
  </si>
  <si>
    <t>Port Harcourt:
    Alstonia congensis De Wild.
    Anacardium occidentale L.
    Mangifera indica L.
    Annona muricata L.
    Polyalthia longifolia (Sonn.) Thwaites
    Nerium oleander L.
    Plumeria alba L.
    Plumeria rubra L.
    Roystonea regia (H.B.K) F.cook
    Avicennia nitida Jacq.
    Jacaranda mimosacfolia L.
    Bombax buonopozense P. Beauv.
    Dacryodes edulis (G. Don) H.J. Lam
    Casuarina equistetifolia Linn.
    Musanga cecropioides R. Br.
    Terminalia catappa L.
    Terminalia mantaly H. Perrier
    Terminalia superba Engl. &amp; Diels
    Thuja occidentalis L.
    Croton zambesicus Müell. Arg.
    Hevea brasiliensis Müell. Arg.
    Hura crepitans L.
    Caesalpinia pulcherrima (L.) Sw.
    Delonix regia (Hook) Raf.
    Senna siamea (Lam) Irwin &amp; Barneby
    Dialium guineense Willd.
    Azadirachta indica A. Juss
    Antiaris africana Engl.
    Ficus benjamina L.
    Ficus thonningii Blume
    Ficus tomentosa Roxb. Ex willd.
    Milicia excelsa (Welw.) C.C. Berg.
    Treculia africana var. nitida Engl.
    Eucalyptus camaldulensis Dehn
    Eucalyptus globulus Labill
    Pinus caribaea Var. Barr. &amp; Golf.
    Gmelina arborea Roxb.
Ilorin:
    Calotropis procera (Aiton) Ait.f.
    Lannea acida A. Rich
    Mangifera indica L.
    Anacardium occidentale L.
    Lannea barteri (Oliv) England
    Polyalthia longifolia (Sonn.) Thwaites
    Plumeria alba L.
    Plumeria rubra L.
    Araucaria cunninghamii (Aiton)
    Cocos nucifera L.
    Roystonea regia (H.B.K) F.cook
    Vernonia amygdalina Del.
    Crescentia cujete L.
    Newbouldia laevis (P. Beauv)
    Spathodea campanulata P. Beauv.
    Casuarina equisetifolia L.
    Combretum molle R.Br. ex G.Don
    Terminalia catappa L.
    Terminalia mantaly H. Perrier
    Hura crepitans L.
    Daniella oliveri (Rolf) Hutch &amp; Dalz
    Erythrina senegalensis Dc.
    Acacia polycantha willd.
    Afezelia africana SM.
    Albizia lebbeck (Lam) Benth.
    Delonix regia (Hook) Raf.
    Pterocarpus erinaceus Poir.
    Cassia fistula Linn.
    Parkia biglobosa (Jacq) R.Br ex G. Don
    Senna siamea (Lam) Irwin &amp; Barneby
    Albizia coriaria Welwex Oliv.
    Dalbergia latifolia Roxb.
    Prosopsis africana (Guill &amp; Perr) Taub.
    Erythrina sigmoidea Hua.
    Azadirachta indica A. Juss
    Khaya senegalensis (Desr) A. Juss
    Khaya grandifoliola C. DC.
    Ficus sur Forssk.
    Ficus mucoso Welw ex Ficalho
    Eucalyptus citrodora Hook.
    Eucalyptus toreliana F. Muell
    Eucalyptus camadalensis Dehn.
    Vitellaria paradoxa Gaertn.f
    Gmelina arborea Roxb
    Vitex doniana (Sweet)
    Tectona grandis Linn. F.</t>
  </si>
  <si>
    <t>Anil Ragula &amp; Krishna K. Chandra</t>
  </si>
  <si>
    <t>438 trees</t>
  </si>
  <si>
    <t>Bilaspur</t>
  </si>
  <si>
    <t>January to April 2019</t>
  </si>
  <si>
    <t>22.09° N</t>
  </si>
  <si>
    <t>82.15° E</t>
  </si>
  <si>
    <t xml:space="preserve"> 10°C in January and maximum temperature: Ranges from 42 to 46°C during May and June.</t>
  </si>
  <si>
    <t>Girth at breast height (used to derive DBH) and Height</t>
  </si>
  <si>
    <t>Total carbon stock: 48.18 tons
Total CO₂ stock (equivalent): 176.64 tons</t>
  </si>
  <si>
    <t xml:space="preserve">    Peltophorum pterocarpum
    Samanea saman
    Senna siamea
    Azadirachta indica
    Alstonia scholaris
    Acacia nilotica
    Polyalthia longifolia
    Delonix regia
    Terminalia arjuna
    Dalbergia sissoo
    Eucalyptus camaldulensis
    Terminalia catappa
    Ficus benghalensis
    Dalbergia latifolia
    Tamarindus indica
    Albizia lebbeck
    Ficus religiosa
    Mangifera indica
    Butea monosperma
    Bombax ceiba
    Thespesia populnea
    Pongamia pinnata
    Leucaena leucocephala
    Pithecellobium dulce
    Moringa oleifera
    Anthecephallus cadamba
    Tectona grandis
    Syzygium cumini
    Phyllanthus emblica
    Casuarina equisetifolia
    Nyctanthes arbor-tristis
    Phoenix sylvestris
    Cassia fistula
    Roystonea regia
    Putranjiva roxburghii
    Ailanthus excelsa
    Psidium guajava</t>
  </si>
  <si>
    <t>The study was conducted in 30 sample plots, each 0.1 ha, for a total sampled area of 3 hectares.</t>
  </si>
  <si>
    <t>The total accumulated biomass (AGB + BGB) for all trees in the 3-hectare study area was 101.44 tons. (BGB = AGB X 0.26)</t>
  </si>
  <si>
    <t xml:space="preserve">Idukki </t>
  </si>
  <si>
    <t>2011-2012</t>
  </si>
  <si>
    <t>4 hectares</t>
  </si>
  <si>
    <t>992 individuals</t>
  </si>
  <si>
    <t>Diameter at breast height (dbh) and Basal area.</t>
  </si>
  <si>
    <t>homegardens</t>
  </si>
  <si>
    <t>Mean precipitation: 3713 mm.</t>
  </si>
  <si>
    <t>Average annual temperature: 27.6 °C</t>
  </si>
  <si>
    <t xml:space="preserve">    Adenanthera pavonina L.
    Ailanthus triphysa (Dennst.) Alston
    Albizia lebbeck (L.) Benth
    Alstonia scholaris (L.) R. Br.
    Anacardium occidentale L.
    Areca catechu L.
    Artocarpus heterophyllus Lam.
    Artocarpus hirsutus Lam.
    Averrhoa bilimbi L.
    Azadirachta indica A. Juss.
    Bauhinia purpurea L.
    Bombax ceiba L.
    Butea monosperma (Lam.) Taub.
    Carallia brachiata (Lour.) Merr.
    Careya arborea Roxb.
    Carica papaya L.
    Caryota urens L.
    Cassia fistula L.
    Ceiba pentandra (L.) Gaertn.
    Cinnamomum malabatrum (Burm.f.) J. Presl
    Citrus limon (L.) Osbeck
    Cocos nucifera L.
    Coffea arabica L.
    Croton tiglium L.
    Cycas circinalis L.
    Dalbergia latifolia Roxb.
    Delonix regia (Hook.) Raf.
    Dypsis lutescens (H. Wendl.) Beentje and J. Dransf.
    Erythrina variegata L.
    Ficus racemosa L.
    Ficus sp.
    Garcinia gummi-gutta (L.) Roxb.
    Gliricidia maculata ("Humb., Bonpl. &amp; Kunth") Steud.
    Hevea brasiliensis (Willd. ex A.Juss.) Müll.Arg.
    Lagerstroemia speciosa (L.) Pers.
    Lannea coromandelica (Houtt.) Merr.
    Litsea quinqueflora (Dennst.) Suresh
    Macaranga peltata (Roxb.) Müll.Arg.
    Magnolia champaca (L.) Baill. ex Pierre
    Mangifera indica L.
    Manilkara zapota (L.) P.Royen
    Mimusops elengi L.
    Moringa pterygosperma Gaertn.
    Morus alba L.
    Muntingia calabura L.
    Murraya koenigii (L.) Spreng.
    Myristica fragrans Houtt.
    Nephelium lappaceum L.
    Oroxylum indicum (L.) Kurz.
    Phyllanthus emblica L.
    Pimenta dioica (L.) Merr.
    Polyalthia longifolia (Sonn.) Thwaites
    Psidium guajava L.
    Pterocarpus marsupium Roxb.
    Spathodea campanulata P.Beauv.
    Spondias pinnata (L. f.) Kurz
    Stereospermum tetragonum DC
    Swietenia macrophylla King
    Syzygium cumini (L.) Skeels
    Syzygium jambos (L.) Alston
    Tabernaemontana alternifolia L.
    Tamarindus indica L.
    Tectona grandis L.f.
    Thespesia populnea (L.) Sol. ex Corrêa
    Trema orientalis (L.) Blume
    Xylia xylocarpa (Roxb.) Taub.</t>
  </si>
  <si>
    <t>Total Tree Biomass Carbon: 127.4 (t/ha); Total aboveground tree biomass carbon (t/ha) 100.63</t>
  </si>
  <si>
    <t>Total Aboveground Biomass (AGB): 211.86 ton/ha
Total Belowground Biomass (BGB): 56.35 ton/ha
Total Tree Biomass (AGB + BGB): 268.21 ton/ha</t>
  </si>
  <si>
    <t>Dhaka</t>
  </si>
  <si>
    <t>circumference of trees at 1.5 m from the ground</t>
  </si>
  <si>
    <t>The total study area (Zone 2 of DNCC) is 21.32 km².
The tree measurements were taken on three major roads (totaling 17.2 ha, with 8.6 ha assumed vegetation cover) and within the National Botanical Garden (vegetation area of 173.4 acres or ~70.2 ha).</t>
  </si>
  <si>
    <t>308 roadside trees were measured</t>
  </si>
  <si>
    <t>23° 42′ N</t>
  </si>
  <si>
    <t>90° 22′ E</t>
  </si>
  <si>
    <t xml:space="preserve">tropical monsoon </t>
  </si>
  <si>
    <t>Roadside Trees:
Total Carbon Stock: 528 Mg
CO₂ Equivalent Stock: 1938 Mg
Park (National Botanical Garden):
Total Carbon Sequestered/Stored: 58,126 Mg
CO₂ Equivalent: 213,324 Mg</t>
  </si>
  <si>
    <t>Roadside Trees:
Aboveground Biomass (AGB): Approximately 1,123 Mg (inferred from the carbon stock, as the paper states carbon is 47% of AGB).
Park (National Botanical Garden):
Aboveground Biomass (AGB): Approximately 123,672 Mg (inferred from the carbon value).</t>
  </si>
  <si>
    <t xml:space="preserve">    Polyalthia longifolia (weeping debdaru/deodar)
    Terminalia catappa (kathbadam/Almond)
    Thuja sp.
    Acacia sp.
    Peltophorum pterocarpum (radhachura/yellow poinciana)
    Ficus benjamina
    Ficus benghalensis (bot/banyan)
    Swietenia macrophylla (mahogany)
    Palm trees (species not specified)
    Artocarpus heterophyllus (Kanthal/jackfruit)
    Cocos nucifera (narkel/coconut)
    Mangifera indica (aam/mango)
    Bougainvillea sp.</t>
  </si>
  <si>
    <t>Peru</t>
  </si>
  <si>
    <r>
      <t xml:space="preserve">San Martin de Porres: average sequestration efficiency of 39.21 mt/ha/year; Los Olivos: average of 25.35 mt/ha/year and </t>
    </r>
    <r>
      <rPr>
        <b/>
        <sz val="11"/>
        <color rgb="FF000000"/>
        <rFont val="Calibri"/>
        <family val="2"/>
        <scheme val="minor"/>
      </rPr>
      <t>in Comas, an average of 51.67 mt/ha/year</t>
    </r>
  </si>
  <si>
    <t>San Martin de Porres: 36.67 km²
Los Olivos: 18.21 km²
Comas: 48.75 km²</t>
  </si>
  <si>
    <t>12° 03′ 00″ S</t>
  </si>
  <si>
    <t>77° 02′ 00″ O</t>
  </si>
  <si>
    <t>Lima</t>
  </si>
  <si>
    <t>1980 to 2015</t>
  </si>
  <si>
    <t>coastal desert</t>
  </si>
  <si>
    <t>allometric equation and field sampling (tree inventory)</t>
  </si>
  <si>
    <t>Diameter at breast height (dbh)</t>
  </si>
  <si>
    <t xml:space="preserve">    Molle (likely Schinus molle)
    Sauce (Willow)
    Fresno (Ash)
    Eucalipto (Eucalyptus)
    Pino (Pine)
    Ficus
    Laurel
    Palmera (Palm)
    Ponciana (likely Delonix regia)
    Tara (Caesalpinia spinosa)
    Casuarina
    Cedro (Cedar)
    Guanábana (Annona muricata)
    Limón (Lemon)
    Morera (Mulberry)
    Mango
    Níspero (Loquat)
    Palta (Avocado)
    Plátano (Banana/Plantain)
    Pacae (Inga feuilleei)</t>
  </si>
  <si>
    <t>July to December 2014</t>
  </si>
  <si>
    <t xml:space="preserve">Bertrand F. Nero, Daniel Callo-Concha, Alexander Anning, Manfred Denich </t>
  </si>
  <si>
    <t>6° 41″ N</t>
  </si>
  <si>
    <t>1° 37” W</t>
  </si>
  <si>
    <t>Mean annual rainfall: 1250 mm.</t>
  </si>
  <si>
    <t>Mean annual temperature: 26.4°C.</t>
  </si>
  <si>
    <t>trees, herbs and crops</t>
  </si>
  <si>
    <t>A total of 3,527 stems belonging to 2,755 trees were recorded.</t>
  </si>
  <si>
    <t>254 km²</t>
  </si>
  <si>
    <t>Diameter at breast height (DBH) and Tree heights</t>
  </si>
  <si>
    <t>allometric equation and field sampling  and destructive sampling</t>
  </si>
  <si>
    <t>urban green spaces (UGS): Plantations, Natural forest remnants, Home gardens, Institutional compounds, Farmlands, Cemeteries/sacred grooves, Public parks, Grasslands and rangelands</t>
  </si>
  <si>
    <t>urban and periurban area (High Density Urban Zone (HDUZ): Core urban area; Low Density Urban Zone (LDUZ): Peri-urban area, including a 2 km buffer around the city.)</t>
  </si>
  <si>
    <t>Plantation:
Aboveground Carbon (AGC): 255.6 t C/ha
Belowground Carbon (BGC): 36.0 t C/ha
Total Vegetation Carbon: 291.6 t C/ha
Natural forest:
    Aboveground Carbon (AGC): 617.9 t C/ha
    Belowground Carbon (BGC): 72.5 t C/ha
    Total Vegetation Carbon: 690.4 t C/ha
Home garden:
    Aboveground Carbon (AGC): 71.2 t C/ha
    Belowground Carbon (BGC): 10.8 t C/ha
    Total Vegetation Carbon: 82.0 t C/ha
Institutional compound:
    Aboveground Carbon (AGC): 228.5 t C/ha
    Belowground Carbon (BGC): 31.6 t C/ha
    Total Vegetation Carbon: 260.1 t C/ha
Farmlands:
    Aboveground Carbon (AGC): 94.6 t C/ha
    Belowground Carbon (BGC): 13.1 t C/ha
    Total Vegetation Carbon: 107.7 t C/ha
Cemetery:
    Aboveground Carbon (AGC): 291.2 t C/ha
    Belowground Carbon (BGC): 38.3 t C/ha
    Total Vegetation Carbon: 329.5 t C/ha
Public park:
    Aboveground Carbon (AGC): 420.0 t C/ha
    Belowground Carbon (BGC): 54.7 t C/ha
    Total Vegetation Carbon: 474.7 t C/ha
Grassland:
    Aboveground Carbon (AGC): 41.9 t C/ha
    Belowground Carbon (BGC): 6.8 t C/ha
    Total Vegetation Carbon: 48.7 t C/ha
Carbon Values per Urban Zone:
    High Density Urban Zone (HDUZ):11% of 2,180,845 tonnes = 239,893 tonnes of Carbon
    Low Density Urban Zone (LDUZ):The remaining 89% of the total = 1,940,952 tonnes of Carbon</t>
  </si>
  <si>
    <t>Plantation:Estimated Total Biomass: 615.19 t/ha
Natural forest: Estimated Total Biomass: 1456.54 t/ha
Home garden: Estimated Total Biomass: 172.99 t/ha
Institutional compound: Estimated Total Biomass: 548.73 t/ha
Farmlands: Estimated Total Biomass: 227.22 t/ha
Cemetery: Estimated Total Biomass: 695.15 t/ha
Public park: Estimated Total Biomass: 1001.48 t/ha
Grassland: Estimated Total Biomass: 102.74 t/ha
    High Density Urban Zone (HDUZ):
        239,893 tonnes C / 0.474 = ~506,103 tonnes of Biomass
    Low Density Urban Zone (LDUZ):
        1,940,952 tonnes C / 0.474 = ~4,094,835 tonnes of Biomass</t>
  </si>
  <si>
    <t>Nagpur</t>
  </si>
  <si>
    <t>tropical savannah climate (Aw in Köppen climate classification)</t>
  </si>
  <si>
    <t>average annual rainfall of 1162 mm</t>
  </si>
  <si>
    <t>summer temperature escalates to 48 ◦C and the winter temperature dips to 10 to 12 ◦C</t>
  </si>
  <si>
    <t>Plot Size (m2)
Parks and Garden: 314
Playground: 314
Lake: 300
Forest: 314
River: 300
Institution: 314
Road: 300
Vacant land: 314</t>
  </si>
  <si>
    <t xml:space="preserve">2362 individuals </t>
  </si>
  <si>
    <t>10th December 2018 to 25th January 2019</t>
  </si>
  <si>
    <t>urban green spaces (UGS): Parks and Garden
Playground
Lake
Forest
River
Institution
Road
Vacant land</t>
  </si>
  <si>
    <t>Total biomass: Road: 334.61 t ha⁻¹.
    Playground: 323.68 t ha⁻¹.
    Institutions: 137 t ha⁻¹.
    Forest: (approx. 236 t ha⁻¹).
    River: 70.42 t ha⁻¹.
    Vacant land: 110.40 t ha⁻¹.
    Parks and Garden: (approx. 150 t ha⁻¹).</t>
  </si>
  <si>
    <t xml:space="preserve">    Road: Highest (calculated from biomass 334.61 t ha⁻¹, with a conversion factor of 0.475, Cstock = 158.94 t ha⁻¹)
    Playground: ( Cstock = 153.75 t ha⁻¹)
    Forest: 105.16 t ha⁻¹
    River: (Cstock = 33.45 t ha⁻¹)
    Vacant land: (Cstock = 52.44 t ha⁻¹)
    Parks and Garden: ( Cstock = 71.25 t ha⁻¹)
    Institutions: ( Cstock = 65.07 t ha⁻¹)
    Lake: (Cstock = 67.97 t ha⁻¹)</t>
  </si>
  <si>
    <t xml:space="preserve"> Acacia catechu, Acacia arabica, Albizia Lebbeck, Ailanthus excelsa, Albizia odoratissima, Alstonia scholaris, Annona squamosa, Bombax ceiba, Boswellia serrata, Butea frondosa, Callistemon viminalis, Cassia fistula, Cassia siamea, Ceiba pentandra, Chloroxylon swietenia, Dalbergia latifolia, Dalbergia paniculata, Dalbergia sissoo, Delonix regia, Diospyros melanoxylon, Eucalyptus globulus, Eugenia jambolana, Ficus benghalensis, Ficus elastica, Ficus glomerata, Gardenia resinifera, Garuga pinnata, Gmelina arborea, Hardwickia binata, Kigelia pinnata, Lagerstroemia parviflora, Lagerstroemia speciosa, Lannea coromandelica, Leucaena leucocephala, Madhuca latifolia, Mangifera indica, Manilkara hexandra, Melia azedarach, Millingtonia hortensis, Mimusops elengi, Moringa oleifera, Morus alba, Murraya koenigii, Neolamarckia cadamba, Nyctanthes arbortritis, Peltophorum pterocarpum, Pithecellobium dulce, Plumeria alba, Pongamia pinnata, Prosopis juliflora, Psidium guajava, Pterocarpus marsupium, Sapindus mukorossi, Schrebera swietenioides, Soymida febrifuga, Sterculia urens, Tamarindus indica, Tecoma stans, Terminalia arjuna, Terminalia catappa, Trichilia dregeana, Vachellia farnesiana, Vachellia nilotica, Ziziphus mauritiana, Azadirachta indica, Tectona grandis, Mitragyna parvifolia, Ficus Religiosa, Delonix regia, Polyalthia longifolia, Albizia Lebbeck, and Bauhinia variegata.</t>
  </si>
  <si>
    <t>21°09′ N</t>
  </si>
  <si>
    <t>79°06′ E</t>
  </si>
  <si>
    <t>Niamey and Maradi</t>
  </si>
  <si>
    <t>Niger</t>
  </si>
  <si>
    <t>2,027 stems in Niamey and 2,456 stems in Maradi</t>
  </si>
  <si>
    <t xml:space="preserve">Sahel climatic zone </t>
  </si>
  <si>
    <t>rainfall ranging from 150 mm to 530 mm</t>
  </si>
  <si>
    <t>trees and shrubs</t>
  </si>
  <si>
    <t xml:space="preserve">    Niamey: 13° 35' and 13° 24'N
    Maradi: 13° 32′ and 13° 26′ N</t>
  </si>
  <si>
    <t xml:space="preserve">    Niamey: 2° 15′ East.
    Maradi: 7° 40′ E and 7° 13' E.</t>
  </si>
  <si>
    <t xml:space="preserve">    Commercial areas (markets, shops, restaurants)
    Roads (main streets, boulevards)
    Residential areas (houses, mosques, churches)
    Schools (primary, secondary, universities)
    Administrative areas (government and private offices)
    Forested areas (urban agriculture, green belts, agroforestry systems, wetlands)
    Peri-urban forests (farmlands, pastoral lands)</t>
  </si>
  <si>
    <t xml:space="preserve">    Average overall carbon stock (t/ha):
        Niamey: 31.63 t/ha.
        Maradi: 58.30 t/ha.
    Average carbon stock by LULC type (t/ha):
        Niamey:
            Commercial areas: 64.60
            Roads: 43.24
            Schools: 31.77
            Administrative areas: 27.84
            Forested areas: 18.98
            Residential areas: 18.36
            Peri-urban forests: 16.65
        Maradi:
            Residential areas: 138.10
            Roads: 107.40
            Commercial areas: 68.60
            Schools: 41.56
            Administrative areas: 27.84
            Forested areas: 15.71
            Peri-urban forests: 8.90</t>
  </si>
  <si>
    <t xml:space="preserve">Niamey: 30.7 ha
Maradi: 20.25 ha </t>
  </si>
  <si>
    <t>The mean Aboveground Biomass (AGB) in tonnes per hectare (t/ha):
In Niamey:
    Commercial areas: 109.9 t/ha
    Roads: 75.03 t/ha
    Administrative areas: 56.18 t/ha
    Schools: 54.1 t/ha
    Forested areas: 32.31 t/ha
    Residential areas: 31.25 t/ha
    Peri-urban forests: 28.34 t/ha
In Maradi:
    Residential areas: 235 t/ha
    Roads: 182.8 t/ha
    Commercial areas: 116.8 t/ha
    Schools: 70.73 t/ha
    Administrative areas: 47.39 t/ha
    Forested areas: 26.74 t/ha
    Peri-urban forests: 15.13 t/ha</t>
  </si>
  <si>
    <t xml:space="preserve">    Acacia holosericea A. Cunn. ex G. Don
    Acacia senegal (L.) Willd.
    Adansonia digitata L.
    Adenium obesum (Forssk.) Roem.
    Albizia chevalieri Harms
    Albizia lebbeck (L.) Benth.
    Anacardium occidentale L.
    Annona muricata L.
    Annona senegalensis Pers.
    Annona squamosa L.
    Anogeissus leiocarpus (DC.) Guill. &amp; Perr.
    Azadirachta indica A. Juss.
    Balanites aegyptiaca (L.) Del.
    Bambusa vulgaris Schrad. Ex J.C.Wendl.
    Bauhinia monandra Kurz
    Bauhinia rufescens Lam.
    Blighia sapida Koenig
    Borassus aethiopum Mart.
    Boscia angustifolia A. Rich.
    Boscia salicifolia Oliv.
    Boswellia dalzielii Hutch.
    Boswellia papyrifera (Del.) A. Rich.
    Bougainvillea spectabilis Willd
    Calliandra brevipes Benth.
    Calotropis procera (Ait.) Ait. f.
    Caesalpinia pulcherrima (L.) Sw.
    Cassia sieberiana DC.
    Casuarina equisetifolia Forst.
    Ceiba pentandra (L.) Gaertn.
    Citrus grandis (L.) Osbeck
    Citrus limon (L.) Burm. f.
    Citrus reticulata Blanco
    Citrus sinensis (L.) Osbeck
    Cola cordifolia (Cav.) R. Br.
    Combretum glutinosum Perr. ex DC.
    Combretum nigricans Lepr. ex Guill. et Perr.
    Commiphora africana (A. Rich.) Engl.
    Dalbergia sissoo Roxb.
    Daniellia oliveri (Rolfe) Hutch. &amp; Dalz
    Delonix regia (Boj.) Raf.
    Dialium guineense Willd.
    Diospyros mespiliformis Hochst. ex A. Rich.
    Duranta repens Linn.
    Eucalyptus camaldulensis Dehnh.
    Euphorbia balsamifera Ait.
    Euphorbia kamerunica Pax
    Faidherbia albida (Del.) Chev.
    Ficus benjamina L.
    Ficus elastica Roxb. ex Hornem.
    Ficus platyphylla Del.
    Ficus sycomorus ssp. gnaphalocarpa (Miq.) C.C. Berg
    Ficus thonningii Blume
    Gardenia erubescens Stapf &amp; Hutch.
    Gliricidia sepium (Jacq.) Walp.
    Gmelina arborea Roxb.
    Grewia bicolor Juss.
    Guiera senegalensis J.F. Gmel.
    Hura crepitans L.
    Hyphaene thebaica (L.) Mart.
    Jatropha curcas L.
    Jatropha gossypiifolia L.
    Khaya senegalensis (Desr.) A. Juss
    Kigelia africana (Lam.) Benth.
    Lannea microcarpa Engl. &amp; K. Krause
    Lawsonia inermis L.
    Leucaena leucocephala (Lam.) de Wit
    Maerua angolensis DC.
    Maerua crassifolia Forssk.
    Mangifera indica L.
    Melia azedarach L.
    Mitragyna inermis (Willd.) Kuntze
    Moringa oleifera Lam.
    Moringa stenopetala Baker f.
    Neocarya macrophylla (Sabine) Prance
    Newbouldia laevis (P. Beauv.) Seem.
    Parkia biglobosa (Jacq.) R. Br. ex G. Don
    Parkinsonia aculeata L.
    Phoenix dactylifera L.
    Phoenix reclinata Jacq.
    Piliostigma reticulatum (DC.) Hochst.
    Pithecellobium dulce (Roxb.) Benth.
    Plumeria rubra L.
    Polyalthia longifolia. Sonn
    Prosopis africana (Guill. &amp; Perr.) Taub.
    Prosopis juliflora (Sw.) DC.
    Psidium guajava L.
    Punica granatum L.
    Sclerocarya birrea (A. Rich.) Hochst.
    Senna siamea (Lam.) Irwin &amp; Barneby
    Senna singueana (Del.) Lock
    Sterculia setigera Del.
    Syzygium guineense (Willd.) DC.
    Syzygium malaccense (L.) Merr. &amp; L.M.Perry
    Tamarindus indica L.
    Tectona grandis L. f.
    Terminalia catappa L.
    Terminalia mantaly H. Perrier
    Thevetia neriifolia Juss.
    Vachellia nilotica subsp. Nilotica
    Vachellia seyal (Delile) P.J.H.Hurter
    Vachellia sieberiana (DC.) Kyal. &amp; Boatwr.
    Vachellia tortilis (Forssk.) Galasso &amp; Banfi
    Vitellaria paradoxa Gaertn. f.
    Vitex doniana Sweet
    Vitex simplicifolia Oliv.
    Ziziphus mauritiana Lam.
    Ziziphus mucronata Willd
    Ziziphus spina-christi (L.) Desf.</t>
  </si>
  <si>
    <t>25 cities: Aracaju (SE), Belo Horizonte (MG), Blumenau (SC), Camaçari (BA), Campos dos Goytacazes (RJ), Colombo (PR), Diadema (SP), Duque de Caxias (RJ), Feira de Santana (BA), Ilhéus (BA), Jaboatão dos Guararapes (PE), Leme (SP), Macaé (RJ), Maceió (AL), Mauá (SP), Osasco (SP), Porto Alegre (RS), Recife (PE), Santo André (SP), São Bernardo do Campo (SP), São Gonçalo (RJ), Serra (ES), Simões Filho (BA), Suzano (SP), and Taboão da Serra (SP).</t>
  </si>
  <si>
    <t>2022 and 2023</t>
  </si>
  <si>
    <t>Evergreen trees and short Vegetation: Grasses, herbaceous plants, or shrubs.</t>
  </si>
  <si>
    <t>vegetation cover</t>
  </si>
  <si>
    <t>remote sensing (i-Tree Canopy v.7.1)</t>
  </si>
  <si>
    <t>Impervious surfaces (roads, roofs, sidewalks, parking lots)
Soil surfaces (dirt roads)
Short vegetation (grasses, shrubs in athletic fields, backyards)
Tree cover over impervious ground
Tree cover over pervious ground</t>
  </si>
  <si>
    <t xml:space="preserve">    Aracaju, SE: 10.9095° S
    Belo Horizonte, MG: 19.9167° S
    Blumenau, SC: 26.9194° S
    Camaçari, BA: 12.6978° S
    Campos dos Goytacazes, RJ: 21.7522° S
    Colombo, PR: 25.2917° S
    Diadema, SP: 23.6864° S
    Duque de Caxias, RJ: 22.7858° S
    Feira de Santana, BA: 12.2669° S
    Ilhéus, BA: 14.7889° S
    Jaboatão dos Guararapes, PE: 8.1131° S
    Leme, SP: 22.1856° S
    Macaé, RJ: 22.3708° S
    Maceió, AL: 9.6658° S
    Mauá, SP: 23.6678° S
    Osasco, SP: 23.5325° S
    Porto Alegre, RS: 30.0346° S
    Recife, PE: 8.0476° S
    Santo André, SP: 23.6558° S
    São Bernardo do Campo, SP: 23.7139° S
    São Gonçalo, RJ: 22.8231° S
    Serra, ES: 20.1286° S
    Simões Filho, BA: 12.7850° S
    Suzano, SP: 23.5431° S
    Taboão da Serra, SP: 23.6206° S</t>
  </si>
  <si>
    <t xml:space="preserve">    Aracaju, SE: 37.0748° W
    Belo Horizonte, MG: 43.9333° W
    Blumenau, SC: 49.0661° W
    Camaçari, BA: 38.3242° W
    Campos dos Goytacazes, RJ: 41.3244° W
    Colombo, PR: 49.2242° W
    Diadema, SP: 46.6225° W
    Duque de Caxias, RJ: 43.3097° W
    Feira de Santana, BA: 38.9669° W
    Ilhéus, BA: 39.0494° W
    Jaboatão dos Guararapes, PE: 35.0150° W
    Leme, SP: 47.3900° W
    Macaé, RJ: 41.7869° W
    Maceió, AL: 35.7353° W
    Mauá, SP: 46.4614° W
    Osasco, SP: 46.7917° W
    Porto Alegre, RS: 51.2177° W
    Recife, PE: 34.8770° W
    Santo André, SP: 46.5414° W
    São Bernardo do Campo, SP: 46.5550° W
    São Gonçalo, RJ: 43.0539° W
    Serra, ES: 40.3078° W
    Simões Filho, BA: 38.4042° W
    Suzano, SP: 46.3114° W
    Taboão da Serra, SP: 46.7997° W</t>
  </si>
  <si>
    <t>Total for all 25 cities: 235.3 kilotonnes of carbon (864.82 kilotonnes of CO₂ Eq.) sequestered annually.
Average per city: 9.41 kilotonnes of carbon (34.59 kilotonnes of CO₂ Eq.) sequestered annually.
    Aracaju: 5.32 kt/year uptake;
    Belo Horizonte: 17.2 kt/year uptake;
    Blumenau: 30.69 kt/year uptake;
    Camaçari: 21.21 kt/year uptake;
    Campos dos Goytacazes: 10.63 kt/year uptake;
    Colombo: 6.25 kt/year uptake;
    Diadema: 1.32 kt/year uptake;
    Duque de Caxias: 12.73 kt/year uptake;
    Feira de Santana: 8.59 kt/year uptake;
    Ilhéus: 2.8 kt/year uptake;
    Jaboatão dos Guararapes: 6.74 kt/year uptake;
    Leme: 0.95 kt/year uptake;
    Macaé: 4.3 kt/year uptake;
    Maceió: 10.87 kt/year uptake;
    Mauá: 3.24 kt/year uptake;
    Osasco: 3.7 kt/year uptake;
    Porto Alegre: 36.12 kt/year uptake;
    Recife: 10.69 kt/year uptake;
    Santo André: 4.34 kt/year uptake;
    São Bernardo do Campo: 7.85 kt/year uptake;
    São Gonçalo: 10.6 kt/year uptake;
    Serra: 10 kt/year uptake;
    Simões Filho: 4.48 kt/year uptake;
    Suzano: 3.87 kt/year uptake;
    Taboão da Serra: 0.81 kt/year uptake;</t>
  </si>
  <si>
    <t>Total for all 25 cities: 4,861.19 kilotonnes of carbon (17,824.32 kilotonnes of CO₂ Eq.) stored.
Average per city: 194.44 kilotonnes of carbon (712.97 kilotonnes of CO₂ Eq.) stored.
    Aracaju: 109.85 kt stock
    Belo Horizonte: 355.27 kt stock
    Blumenau: 633.91 kt stock
    Camaçari: 438.25 kt stock
    Campos dos Goytacazes: 219.54 kt stock
    Colombo: 129.15 kt stock
    Diadema: 27.35 kt stock
    Duque de Caxias: 263.01 kt stock
    Feira de Santana: 177.39 kt stock
    Ilhéus: 57.91 kt stock
    Jaboatão dos Guararapes: 139.29 kt stock
    Leme: 19.72 kt stock
    Macaé: 88.91 kt stock
    Maceió: 224.48 kt stock
    Mauá: 66.91 kt stock
    Osasco: 76.48 kt stock
    Porto Alegre: 746.12 kt stock
    Recife: 220.8 kt stock
    Santo André: 89.7 kt stock
    São Bernardo do Campo: 162.2 kt stock
    São Gonçalo: 218.9 kt stock
    Serra: 206.67 kt stock
    Simões Filho: 92.59 kt stock
    Suzano: 79.89 kt stock
    Taboão da Serra: 16.90 kt stock</t>
  </si>
  <si>
    <t>7.25°N</t>
  </si>
  <si>
    <t>5.195°E</t>
  </si>
  <si>
    <t>Kochi</t>
  </si>
  <si>
    <t>Denpasar</t>
  </si>
  <si>
    <t>6°33'16.7"S</t>
  </si>
  <si>
    <t>106°43'24.2"E</t>
  </si>
  <si>
    <t>Bogor</t>
  </si>
  <si>
    <t>Diameter at Breast Height (DBH) at 1.3 m.
Total height.
Tree peripheral (circumference)</t>
  </si>
  <si>
    <t>Dynamics change of the above carbon stocks in Bogor Agricultural University, Darmaga campus</t>
  </si>
  <si>
    <t>Lyan Lavista, Lilik Budi Prasetyo, Rachmad Hermawan</t>
  </si>
  <si>
    <t>Average carbon stock (2014): 27.36 Mg/ha (or tonnes/ha).
Total carbon stock for the entire campus (by year):
1989: 21,096.98 Mg (tonnes)
1999: 15,653.60 Mg (tonnes)
2009: 16,771.36 Mg (tonnes)
2014: 7,031.57 Mg (tonnes)</t>
  </si>
  <si>
    <t>Average biomass (2014): 58.22 Mg/ha.
Total biomass for the entire campus (by year):
1989: 44,887.19 Mg (tonnes)
1999: 33,305.53 Mg (tonnes)
2009: 35,683.74 Mg (tonnes)
2014: 14,960.79 Mg (tonnes)</t>
  </si>
  <si>
    <t>Total area of the Darmaga Campus: 256.97 ha.</t>
  </si>
  <si>
    <t>urban green area (campus)</t>
  </si>
  <si>
    <t>Average temperature of 25°C</t>
  </si>
  <si>
    <t>Average rain intensity of 374.3 mm</t>
  </si>
  <si>
    <t>Fiel sampling: August to November 2014 and Satellite imagery from 1989, 1999, 2009, and 2014</t>
  </si>
  <si>
    <t>Tropical and Subtropical Moist Broadleaf Forests</t>
  </si>
  <si>
    <t>allometric equation and field sampling and remote sensig (Normalized Difference Vegetation Index (NDVI))</t>
  </si>
  <si>
    <t>Chandpur (Meghna estuary)</t>
  </si>
  <si>
    <t xml:space="preserve">    Eucalyptus camaldulensis
    Cupressus lusitanica
    Pinus montezumae
    Arbutus sp.
    Buddleja cordata
    Casuarina equisetifolia
    Senecio salignus (shrub)
    Symphoricarpos microphyllus (shrub)</t>
  </si>
  <si>
    <t>The total forest property ("predio") is 326 ha.
The combined surface area of the four specific systems studied is 6,772 m² (0.6772 ha)</t>
  </si>
  <si>
    <t>Total carbon store 13.04 tons</t>
  </si>
  <si>
    <t>Texcoco de Mora</t>
  </si>
  <si>
    <t>Temperate Forest</t>
  </si>
  <si>
    <t xml:space="preserve">    Diameter at breast height (cm)
    Crown diameter (m)
    Total height (m)
    Clean trunk height (m)
    Live crown height (m)</t>
  </si>
  <si>
    <t>Urban tropical forests
Mangroves (Tanjung Piai National Park)
Urban parks (four parks were studied: MPJBT Urban Forest, Bukit Layang-Layang Park, JB Urban Forest, and Putra Urban Forest)</t>
  </si>
  <si>
    <t>Johor Bahru</t>
  </si>
  <si>
    <t xml:space="preserve">    Diameter at Breast Height (DBH) at 1.3 m.
    Diameter at the base.
    Diameter at the middle.
    Diameter at the top.
    Total height.</t>
  </si>
  <si>
    <t>Total for all sampled species: 19,874.88 kg (or ~19.87 tonnes)</t>
  </si>
  <si>
    <t>total 18,352.51 kg C/ ha, 18.35 Mg C/ha in standing biomass of natural forest and 15 Mg C/ha in Hardwickia binata Roxb. Plantation</t>
  </si>
  <si>
    <t>9.85°N</t>
  </si>
  <si>
    <t>76.94°E</t>
  </si>
  <si>
    <t>Site 1 (Laguindingan): 22 hectares.
Site 2 (Alubijid): 25 hectares.
Site 3 (El Salvador City): 25 hectares.</t>
  </si>
  <si>
    <t>Site 1 (Laguindingan): A planted stand established in 1990 (making it approx. 32-33 years old at the time of study).
Site 2 (Alubijid): A 27-year-old, naturally occurring mangrove stand.
Site 3 (El Salvador City): A 17-year-old planted mangrove stand, established in 2000.</t>
  </si>
  <si>
    <t>Average Aboveground Biomass Density:
Average across all sites: 419.2 Mg/ha
        Site 1 (Laguindingan): 80.23 Mg/ha
        Site 2 (Alubijid): 256.9 Mg/ha
        Site 3 (El Salvador): 82.1 Mg/ha</t>
  </si>
  <si>
    <t>Aboveground Carbon Stock (per site, from Table 2):
        Site 1 (Laguindingan): 41.76 Mg C/ha
        Site 2 (Alubijid): 135.2 Mg C/ha
        Site 3 (El Salvador): 43.3 Mg C/ha
Total Carbon Stock (Aboveground + Soil) (per site, from Table 4):
        Site 1: 137.52 Mg C/ha
        Site 2: 283.01 Mg C/ha
        Site 3: 160.62 Mg C/ha</t>
  </si>
  <si>
    <t>Allada (Allada, Zè, and Toffo)</t>
  </si>
  <si>
    <t>tropical savannah climate with a dry winter (Aw)</t>
  </si>
  <si>
    <t>Tropical forest and savanna</t>
  </si>
  <si>
    <t>Oil palm (Elaeis guineensis), Teak (Tectona grandis), Gmelina (Gmelina arborea)</t>
  </si>
  <si>
    <t>biomass mean (Mg C ha−1, mean ± standard deviation): (2019)
Forests (FO): AGB:225 ± 43.53; BGB:54 ± 11
Tree plantations (PL): AGB:113 ± 26.71;	BGB:27 ± 6.41
Adult palm groves (PA): AGB:63 ± 4.43; BGB:15 ± 1.06
Crop-plantation associations (CP): AGB:39 ± 0.87; BGB:9 ± 0.21</t>
  </si>
  <si>
    <t>Bangkok metropolian area</t>
  </si>
  <si>
    <t>Laguindingan</t>
  </si>
  <si>
    <t>Alubijid</t>
  </si>
  <si>
    <t>El Salvador City</t>
  </si>
  <si>
    <t>Port Harcourt</t>
  </si>
  <si>
    <t>Ilorin</t>
  </si>
  <si>
    <t>Niamey</t>
  </si>
  <si>
    <t>Maradi</t>
  </si>
  <si>
    <t>Aracaju</t>
  </si>
  <si>
    <t>Belo Horizonte</t>
  </si>
  <si>
    <t>Camaçari</t>
  </si>
  <si>
    <t>Campos dos Goytacazes</t>
  </si>
  <si>
    <t>Duque de Caxias</t>
  </si>
  <si>
    <t>Feira de Santana</t>
  </si>
  <si>
    <t>Ilhéus</t>
  </si>
  <si>
    <t>Jaboatão dos Guararapes</t>
  </si>
  <si>
    <t>Leme</t>
  </si>
  <si>
    <t>Macaé</t>
  </si>
  <si>
    <t>Maceió</t>
  </si>
  <si>
    <t>Mauá</t>
  </si>
  <si>
    <t>Recife</t>
  </si>
  <si>
    <t>São Gonçalo</t>
  </si>
  <si>
    <t>Serra</t>
  </si>
  <si>
    <t>Simões Filho</t>
  </si>
  <si>
    <t>Aboveground Carbon Stock (per site, from Table 2):
        Site 1 (Laguindingan): 41.76 Mg C/ha</t>
  </si>
  <si>
    <t>Average Aboveground Biomass Density:
Average across all sites: 419.2 Mg/ha
        Site 1 (Laguindingan): 80.23 Mg/ha</t>
  </si>
  <si>
    <t>Site 1 (Laguindingan): 22 hectares.</t>
  </si>
  <si>
    <t>Site 1 (Laguindingan): A planted stand established in 1990 (making it approx. 32-33 years old at the time of study).</t>
  </si>
  <si>
    <t>Site 2 (Alubijid): A 27-year-old, naturally occurring mangrove stand.</t>
  </si>
  <si>
    <t>Site 3 (El Salvador City): A 17-year-old planted mangrove stand, established in 2000.</t>
  </si>
  <si>
    <t>Site 3 (El Salvador City): 25 hectares.</t>
  </si>
  <si>
    <t>Site 2 (Alubijid): 25 hectares.</t>
  </si>
  <si>
    <t>Average Aboveground Biomass Density:
Average across all sites: 419.2 Mg/ha
        Site 2 (Alubijid): 256.9 Mg/ha</t>
  </si>
  <si>
    <t>Average Aboveground Biomass Density:
Average across all sites: 419.2 Mg/ha
        Site 3 (El Salvador): 82.1 Mg/ha</t>
  </si>
  <si>
    <t>Aboveground Carbon Stock (per site, from Table 2):
        Site 2 (Alubijid): 135.2 Mg C/ha</t>
  </si>
  <si>
    <t>Aboveground Carbon Stock (per site, from Table 2):
        Site 3 (El Salvador): 43.3 Mg C/ha</t>
  </si>
  <si>
    <t xml:space="preserve">    Port Harcourt:
Total carbon stored: 67,979.08 tons
Average carbon density: 136.15 tons/ha</t>
  </si>
  <si>
    <t>Port Harcourt: Total biomass (AGB + BGB) was 56,649.23 tons + 11,329.85 tons = 67,979.08 tons.
    (Note: The paper seems to equate biomass directly with carbon stock, which is unusual. Typically, carbon is ~50% of biomass. However, the reported values in Tables 8 and 9 show the sum of AGB and BGB equals the C Stock exactly, so the biomass values are reported as such.)</t>
  </si>
  <si>
    <t>Port Harcourt: The sampled area was approximately 499.28 ha (20% of 2496.4 ha).</t>
  </si>
  <si>
    <t xml:space="preserve">    Alstonia congensis De Wild.
    Anacardium occidentale L.
    Mangifera indica L.
    Annona muricata L.
    Polyalthia longifolia (Sonn.) Thwaites
    Nerium oleander L.
    Plumeria alba L.
    Plumeria rubra L.
    Roystonea regia (H.B.K) F.cook
    Avicennia nitida Jacq.
    Jacaranda mimosacfolia L.
    Bombax buonopozense P. Beauv.
    Dacryodes edulis (G. Don) H.J. Lam
    Casuarina equistetifolia Linn.
    Musanga cecropioides R. Br.
    Terminalia catappa L.
    Terminalia mantaly H. Perrier
    Terminalia superba Engl. &amp; Diels
    Thuja occidentalis L.
    Croton zambesicus Müell. Arg.
    Hevea brasiliensis Müell. Arg.
    Hura crepitans L.
    Caesalpinia pulcherrima (L.) Sw.
    Delonix regia (Hook) Raf.
    Senna siamea (Lam) Irwin &amp; Barneby
    Dialium guineense Willd.
    Azadirachta indica A. Juss
    Antiaris africana Engl.
    Ficus benjamina L.
    Ficus thonningii Blume
    Ficus tomentosa Roxb. Ex willd.
    Milicia excelsa (Welw.) C.C. Berg.
    Treculia africana var. nitida Engl.
    Eucalyptus camaldulensis Dehn
    Eucalyptus globulus Labill
    Pinus caribaea Var. Barr. &amp; Golf.
    Gmelina arborea Roxb.</t>
  </si>
  <si>
    <t>Ilorin:
Total carbon stored: 91,512.49 tons
Average carbon density: 7.82 tons/ha</t>
  </si>
  <si>
    <t>Ilorin: Total biomass (AGB + BGB) was 76,260.41 tons + 15,252.08 tons = 91,512.49 tons.
    (Note: The paper seems to equate biomass directly with carbon stock, which is unusual. Typically, carbon is ~50% of biomass. However, the reported values in Tables 8 and 9 show the sum of AGB and BGB equals the C Stock exactly, so the biomass values are reported as such.)</t>
  </si>
  <si>
    <t>Ilorin: The sampled area was approximately 2340.9 ha (20% of 11,704.5 ha).</t>
  </si>
  <si>
    <t xml:space="preserve">    Calotropis procera (Aiton) Ait.f.
    Lannea acida A. Rich
    Mangifera indica L.
    Anacardium occidentale L.
    Lannea barteri (Oliv) England
    Polyalthia longifolia (Sonn.) Thwaites
    Plumeria alba L.
    Plumeria rubra L.
    Araucaria cunninghamii (Aiton)
    Cocos nucifera L.
    Roystonea regia (H.B.K) F.cook
    Vernonia amygdalina Del.
    Crescentia cujete L.
    Newbouldia laevis (P. Beauv)
    Spathodea campanulata P. Beauv.
    Casuarina equisetifolia L.
    Combretum molle R.Br. ex G.Don
    Terminalia catappa L.
    Terminalia mantaly H. Perrier
    Hura crepitans L.
    Daniella oliveri (Rolf) Hutch &amp; Dalz
    Erythrina senegalensis Dc.
    Acacia polycantha willd.
    Afezelia africana SM.
    Albizia lebbeck (Lam) Benth.
    Delonix regia (Hook) Raf.
    Pterocarpus erinaceus Poir.
    Cassia fistula Linn.
    Parkia biglobosa (Jacq) R.Br ex G. Don
    Senna siamea (Lam) Irwin &amp; Barneby
    Albizia coriaria Welwex Oliv.
    Dalbergia latifolia Roxb.
    Prosopsis africana (Guill &amp; Perr) Taub.
    Erythrina sigmoidea Hua.
    Azadirachta indica A. Juss
    Khaya senegalensis (Desr) A. Juss
    Khaya grandifoliola C. DC.
    Ficus sur Forssk.
    Ficus mucoso Welw ex Ficalho
    Eucalyptus citrodora Hook.
    Eucalyptus toreliana F. Muell
    Eucalyptus camadalensis Dehn.
    Vitellaria paradoxa Gaertn.f
    Gmelina arborea Roxb
    Vitex doniana (Sweet)
    Tectona grandis Linn. F.</t>
  </si>
  <si>
    <t>Niamey: 30.7 ha</t>
  </si>
  <si>
    <t xml:space="preserve">Maradi: 20.25 ha </t>
  </si>
  <si>
    <t>The mean Aboveground Biomass (AGB) in tonnes per hectare (t/ha):
In Niamey:
    Commercial areas: 109.9 t/ha
    Roads: 75.03 t/ha
    Administrative areas: 56.18 t/ha
    Schools: 54.1 t/ha
    Forested areas: 32.31 t/ha
    Residential areas: 31.25 t/ha
    Peri-urban forests: 28.34 t/ha</t>
  </si>
  <si>
    <t>The mean Aboveground Biomass (AGB) in tonnes per hectare (t/ha):
In Maradi:
    Residential areas: 235 t/ha
    Roads: 182.8 t/ha
    Commercial areas: 116.8 t/ha
    Schools: 70.73 t/ha
    Administrative areas: 47.39 t/ha
    Forested areas: 26.74 t/ha
    Peri-urban forests: 15.13 t/ha</t>
  </si>
  <si>
    <t xml:space="preserve">    Average overall carbon stock (t/ha):
        Niamey: 31.63 t/ha.
    Average carbon stock by LULC type (t/ha):
        Niamey:
            Commercial areas: 64.60
            Roads: 43.24
            Schools: 31.77
            Administrative areas: 27.84
            Forested areas: 18.98
            Residential areas: 18.36
            Peri-urban forests: 16.65</t>
  </si>
  <si>
    <t xml:space="preserve">    Average overall carbon stock (t/ha):
        Maradi: 58.30 t/ha.
    Average carbon stock by LULC type (t/ha):
        Maradi:
            Residential areas: 138.10
            Roads: 107.40
            Commercial areas: 68.60
            Schools: 41.56
            Administrative areas: 27.84
            Forested areas: 15.71
            Peri-urban forests: 8.90</t>
  </si>
  <si>
    <t>summer, autumn, winter and spring</t>
  </si>
  <si>
    <t>Total for all 25 cities: 235.3 kilotonnes of carbon (864.82 kilotonnes of CO₂ Eq.) sequestered annually.
Average per city: 9.41 kilotonnes of carbon (34.59 kilotonnes of CO₂ Eq.) sequestered annually.</t>
  </si>
  <si>
    <t>Total for all 25 cities: 4,861.19 kilotonnes of carbon (17,824.32 kilotonnes of CO₂ Eq.) stored.
Average per city: 194.44 kilotonnes of carbon (712.97 kilotonnes of CO₂ Eq.) stored.</t>
  </si>
  <si>
    <t>Aracaju: 5.32 kt/year uptake</t>
  </si>
  <si>
    <t>Belo Horizonte: 17.2 kt/year uptake</t>
  </si>
  <si>
    <t>Camaçari: 21.21 kt/year uptake</t>
  </si>
  <si>
    <t>Campos dos Goytacazes: 10.63 kt/year uptake</t>
  </si>
  <si>
    <t>Duque de Caxias: 12.73 kt/year uptake</t>
  </si>
  <si>
    <t>Feira de Santana: 8.59 kt/year uptake</t>
  </si>
  <si>
    <t>Ilhéus: 2.8 kt/year uptake</t>
  </si>
  <si>
    <t>Jaboatão dos Guararapes: 6.74 kt/year uptake</t>
  </si>
  <si>
    <t>Leme: 0.95 kt/year uptake</t>
  </si>
  <si>
    <t>Macaé: 4.3 kt/year uptake</t>
  </si>
  <si>
    <t>Maceió: 10.87 kt/year uptake</t>
  </si>
  <si>
    <t>Mauá: 3.24 kt/year uptake</t>
  </si>
  <si>
    <t>San Juan</t>
  </si>
  <si>
    <t>summer, autumn, winter</t>
  </si>
  <si>
    <t>Tropical rainforest</t>
  </si>
  <si>
    <t>Guinea savanna</t>
  </si>
  <si>
    <t>Recife: 10.69 kt/year uptake</t>
  </si>
  <si>
    <t>São Gonçalo: 10.6 kt/year uptake</t>
  </si>
  <si>
    <t>Serra: 10 kt/year uptake</t>
  </si>
  <si>
    <t>Simões Filho: 4.48 kt/year uptake</t>
  </si>
  <si>
    <t>Aracaju: 109.85 kt stock</t>
  </si>
  <si>
    <t>Belo Horizonte: 355.27 kt stock</t>
  </si>
  <si>
    <t>Camaçari: 438.25 kt stock</t>
  </si>
  <si>
    <t>Campos dos Goytacazes: 219.54 kt stock</t>
  </si>
  <si>
    <t>Duque de Caxias: 263.01 kt stock</t>
  </si>
  <si>
    <t>Feira de Santana: 177.39 kt stock</t>
  </si>
  <si>
    <t>Ilhéus: 57.91 kt stock</t>
  </si>
  <si>
    <t>Jaboatão dos Guararapes: 139.29 kt stock</t>
  </si>
  <si>
    <t>Leme: 19.72 kt stock</t>
  </si>
  <si>
    <t>Macaé: 88.91 kt stock</t>
  </si>
  <si>
    <t>Maceió: 224.48 kt stock</t>
  </si>
  <si>
    <t>Mauá: 66.91 kt stock</t>
  </si>
  <si>
    <t>Recife: 220.8 kt stock</t>
  </si>
  <si>
    <t>São Gonçalo: 218.9 kt stock</t>
  </si>
  <si>
    <t>Serra: 206.67 kt stock</t>
  </si>
  <si>
    <t>Simões Filho: 92.59 kt stock</t>
  </si>
  <si>
    <t>Tropical and subtropical grasslands, savannas, and shrublands</t>
  </si>
  <si>
    <t>Tropical forest and Savanna</t>
  </si>
  <si>
    <t>Tropical mountain forest</t>
  </si>
  <si>
    <t>Tropical forest and Mangrove</t>
  </si>
  <si>
    <t>Tropical forest</t>
  </si>
  <si>
    <t>Savanna and Gallery forest</t>
  </si>
  <si>
    <t>Coastal desert</t>
  </si>
  <si>
    <t>urban forest, cropland and built-up areas</t>
  </si>
  <si>
    <t>October 2017 to December 2018</t>
  </si>
  <si>
    <t>1995, 2005, and 2015; The field data collection in 2018</t>
  </si>
  <si>
    <t>April to July 2015</t>
  </si>
  <si>
    <t>October 2010 to October 2011</t>
  </si>
  <si>
    <t>November 2016 to December 2017</t>
  </si>
  <si>
    <t>July to August 2017</t>
  </si>
  <si>
    <t>June to December 2022</t>
  </si>
  <si>
    <t>February 2013 and February 2015</t>
  </si>
  <si>
    <t>November to December 2017</t>
  </si>
  <si>
    <t>February 1995, March 2003, and March 2014</t>
  </si>
  <si>
    <t>January to February 2021</t>
  </si>
  <si>
    <t>November 2003 </t>
  </si>
  <si>
    <t>October to November 2022</t>
  </si>
  <si>
    <t>February to March 2018</t>
  </si>
  <si>
    <t>February to October 2013</t>
  </si>
  <si>
    <t>February to October 2014</t>
  </si>
  <si>
    <t>December 2016 to January 2017</t>
  </si>
  <si>
    <t>November to December 2021</t>
  </si>
  <si>
    <t>1980-2015</t>
  </si>
  <si>
    <t>December 2018 to January 2019</t>
  </si>
  <si>
    <t>tropical humid</t>
  </si>
  <si>
    <t>temperate subhumid C(w1)</t>
  </si>
  <si>
    <t>humid subtropical (Cwa)</t>
  </si>
  <si>
    <t>subtropical highland (Cwb)</t>
  </si>
  <si>
    <t>temperate warm</t>
  </si>
  <si>
    <t>Pluviosity(average annual rainfall)</t>
  </si>
  <si>
    <t>1400 mm</t>
  </si>
  <si>
    <t>1226 mm</t>
  </si>
  <si>
    <t>1500 mm</t>
  </si>
  <si>
    <t>851.1 mm</t>
  </si>
  <si>
    <t>1100-2000 mm</t>
  </si>
  <si>
    <t xml:space="preserve"> 613.2 mm</t>
  </si>
  <si>
    <t>1800 to 3400 mm</t>
  </si>
  <si>
    <t>1000 mm</t>
  </si>
  <si>
    <t>3233-3456 mm</t>
  </si>
  <si>
    <t>1200 mm</t>
  </si>
  <si>
    <t>1165 mm</t>
  </si>
  <si>
    <t>1607 mm</t>
  </si>
  <si>
    <t>2166 mm</t>
  </si>
  <si>
    <t>1578 mm</t>
  </si>
  <si>
    <t>1687 mm</t>
  </si>
  <si>
    <t>3207 mm</t>
  </si>
  <si>
    <t>600 mm</t>
  </si>
  <si>
    <t>245 mm</t>
  </si>
  <si>
    <t>809 mm</t>
  </si>
  <si>
    <t>1383 mm</t>
  </si>
  <si>
    <t>900-1100 mm</t>
  </si>
  <si>
    <t>1400–1500 mm</t>
  </si>
  <si>
    <t>618 mm</t>
  </si>
  <si>
    <t>3000-4000 mm</t>
  </si>
  <si>
    <t>1217 mm</t>
  </si>
  <si>
    <t>2708 mm</t>
  </si>
  <si>
    <t>150-530 mm</t>
  </si>
  <si>
    <t>95 mm</t>
  </si>
  <si>
    <t>1250 mm</t>
  </si>
  <si>
    <t>900–1100 mm</t>
  </si>
  <si>
    <t>1000–4000 mm</t>
  </si>
  <si>
    <t>3713 mm</t>
  </si>
  <si>
    <t>1162 mm</t>
  </si>
  <si>
    <t>374.3 mm</t>
  </si>
  <si>
    <t>170-330 mm and 130-160 mm</t>
  </si>
  <si>
    <t>Temperature(average annual temperature)</t>
  </si>
  <si>
    <t>26.4°C</t>
  </si>
  <si>
    <t>22.3 °C</t>
  </si>
  <si>
    <t>19°C</t>
  </si>
  <si>
    <t>26-27°C</t>
  </si>
  <si>
    <t>7°C to 45°C</t>
  </si>
  <si>
    <t>17 to 35°C</t>
  </si>
  <si>
    <t>48°C to 10°C</t>
  </si>
  <si>
    <t>28.9-32.7°C to 22.1-25.4°C</t>
  </si>
  <si>
    <t>26-29.5°C</t>
  </si>
  <si>
    <t>30°C</t>
  </si>
  <si>
    <t>17°C</t>
  </si>
  <si>
    <t>27.5°C</t>
  </si>
  <si>
    <t>24-32°C</t>
  </si>
  <si>
    <t>20-32°C</t>
  </si>
  <si>
    <t>28°C to 17 °C</t>
  </si>
  <si>
    <t>26.2°C</t>
  </si>
  <si>
    <t>16°C to 32 °C</t>
  </si>
  <si>
    <t>14°C</t>
  </si>
  <si>
    <t>9.4°C to 30.8°C</t>
  </si>
  <si>
    <t>7°C to 18°C</t>
  </si>
  <si>
    <t>26.6°C</t>
  </si>
  <si>
    <t>23.9°C</t>
  </si>
  <si>
    <t>27.9°C</t>
  </si>
  <si>
    <t>10°C to 46°C</t>
  </si>
  <si>
    <t>27.6°C</t>
  </si>
  <si>
    <t>21.35°C</t>
  </si>
  <si>
    <t xml:space="preserve"> 9°C to 32°C</t>
  </si>
  <si>
    <t>11°C to 22°C</t>
  </si>
  <si>
    <t>20.6-38.4°C</t>
  </si>
  <si>
    <t>16.7°C to 30.0°C</t>
  </si>
  <si>
    <t>20-25 °C</t>
  </si>
  <si>
    <t>botanical garden, golf course, urban forest, coffee farms, and seasonal farms</t>
  </si>
  <si>
    <t>Plantations, Natural forest remnants, Home gardens, Institutional compounds, Farmlands, Cemeteries/sacred grooves, Public parks, Grasslands and rangelands</t>
  </si>
  <si>
    <t>Parks and Garden
Playground
Lake
Forest
River
Institution
Road
Vacant land</t>
  </si>
  <si>
    <t>urban, periurban, and rural</t>
  </si>
  <si>
    <t>allometric equation; field sampling; remote sensig (Normalized Difference Vegetation Index (NDVI))</t>
  </si>
  <si>
    <t>allometric equation; field sampling; destructive sampling</t>
  </si>
  <si>
    <t>allometric equation; field sampling; remote sensing (Sentinel-2B satellite imageries and four vegetation index, NDVI, GNDVI, SAVI, and OSAVI)</t>
  </si>
  <si>
    <t>remote sensing; software i-Tree Canopy v. 7.0</t>
  </si>
  <si>
    <t>remote sensing (Normalized Difference Vegetation Index (NDVI) estimated from IRS-P6 LISS IV satellite sensor data)</t>
  </si>
  <si>
    <t>allometric equations; remote sensing (geoinformatics technology, Sentinal-2 satellite data, and aerial drone photo). In this study, BGB was approximately calculated as 0.24 of the AGB since the BMR is in the tropical latitudinal zone (Cairns et al., 1997)</t>
  </si>
  <si>
    <t>allometric equation; field sampling; remote sensing (landsat)</t>
  </si>
  <si>
    <t>allometric equation; field sampling; remote sensing (LIDAR)</t>
  </si>
  <si>
    <t>remote sensing (Landsat land use/land cover (LULC) and INVEST)</t>
  </si>
  <si>
    <t>allometric equation; field sampling (The belowground biomass was estimated as 20% of the aboveground biomass (Santantonio et al., 1997; Ravindranath and Ostwald, 2008))</t>
  </si>
  <si>
    <t>remote sensing (Normalized Difference Vegetation Index (NDVI) from Landsat satellite imagery)</t>
  </si>
  <si>
    <t>remote sensing (Landsat land use/land cover (LULC) and  i-Tree Canopy)</t>
  </si>
  <si>
    <t>allometric equations; remote sensing (INVEST)</t>
  </si>
  <si>
    <t>allometric equation; field sampling; remote sensing (Satellite imagery (RapidEye and ALOS PALSAR))</t>
  </si>
  <si>
    <t>allometric equation; field sampling; inventory</t>
  </si>
  <si>
    <t>allometric equation; field sampling; remote sensing (specifically, Normalized Difference Vegetation Index - NDVI derived from a WorldView-2 satellite image)</t>
  </si>
  <si>
    <t>allometric equation; field sampling; i-Tree Eco</t>
  </si>
  <si>
    <t>Abundance_induviduals_cover</t>
  </si>
  <si>
    <t>allometric equation; field sampling (BGB = AGB x 0.26)</t>
  </si>
  <si>
    <t>established in 1957</t>
  </si>
  <si>
    <t xml:space="preserve">approximately 147.19 km2 </t>
  </si>
  <si>
    <t xml:space="preserve">Aegiceras corniculatum, Avicennia spp., Bruguiera cylindrica, Excoecaria agallocha, Rhizophora spp., Prosopis juliflora  </t>
  </si>
  <si>
    <t>Tabebuia rosea, Polyalthia longifolia, Delonix regia, Raphia farinifera, Ficus spp</t>
  </si>
  <si>
    <t>Albizia saman, Pterocarpus indicus, Swietenia macrophylla, Roystonea regia</t>
  </si>
  <si>
    <t xml:space="preserve"> TAPJ: Syzygium grande, Lagerstroemia speciose, Ficus roxburghii. TBKJ:  Albizia saman, Cocos nucifera, Acacia auriculiformis</t>
  </si>
  <si>
    <t>Juniperus procera, Eucalyptus globulus, Eucalyptus camaldulensis</t>
  </si>
  <si>
    <t>Eucalyptus camaldulensis, Justicia schimperiana, Croton macrostachyus, Vernonia auriculifera, Maytenus arbutifolia, Cupressus lusitanica, Carissa spinarum, Brucea antidysenterica, Pavonia urens, Albizia gummifera, Euphorbia abyssinica, Vepris nobilis, Clausena anisata, Grevillea robusta, Vernonia amygdalina, Podocarpus falcatus, Millettia ferruginea, Juniperus procera, Grewia ferruginea, Capparis tomentosa, Dracaena steudneri, Bersama abyssinica, Maesa lanceolata, Acacia abyssinica, Ritchiea albersii, Berchemia discolor.</t>
  </si>
  <si>
    <t>Ficus benjamina, Mangifera indica, Schefflera actinophylla, Spathodea campanulata, Persea americana, Terminalia catappa, Pithecellobium dulce, Araucaria heterophylla, Psidium guajava, Erythrina species</t>
  </si>
  <si>
    <t>Alnus japonica, Breynia cernua, Calliandra calothyrsus, Clethra canescens, Deutzia pulchra, Eurya chinensis, Macaranga cumingii, Mallotus mollissimus, Pinus kesiya, Sphaeropteris glauca</t>
  </si>
  <si>
    <t>Elaeis guineensis, Tectona grandis, Gmelina arborea</t>
  </si>
  <si>
    <t>Cavendishia bracteata
Miconia squamulosa
Myrcianthes leucoxyla
Myrsine guianensis
Weinmannia tomentosa</t>
  </si>
  <si>
    <t>Lithocarpus dealbatus
Grevillea robusta
Acacia auriculiformis
Litsea glutinosa
Bambusa tulda
Coffea arabica</t>
  </si>
  <si>
    <t>Pseudospondia microcarpa
Musanga cecropioides
The least abundant species mentioned are:
Camarium schweinfurthii
Distemonanthus binthamianus</t>
  </si>
  <si>
    <t>Nilotica sp. (likely Vachellia nilotica or Acacia nilotica)
Ficus nitida
Prosopis cineraria
Azadirachta indica
Ficus altissima
Conocarpus lancifolius
Albizia saman
Peltophorum pterocarpum
Ficus religiosa
Ficus benghalensis
Phoenix sp. (Date Palms)</t>
  </si>
  <si>
    <t>Dryobalanops Oblongifolia, Dryobalanops Aromatica, Manilloa Browneiodes, Shorea Spp.</t>
  </si>
  <si>
    <t>In both forests: Vitellaria paradoxa
Kua Forest: Azadirachta indica, Tectona grandis, Syzygium guineense, and Eucalyptus camaldulensis.
Dindéresso Forest: Anacardium occidentale, Parkia biglobosa, and Isoberlinia doka.</t>
  </si>
  <si>
    <t>Gmelina arborea
Khaya anthotheca
Spathodea campanulata
Filicium decipiens (sequesters and stores the most carbon)
Terminalia catappa
Swietenia mahagoni (stores the second-most carbon)
Ficus benjamina
Pinus merkusii
Theobroma cacao
Diospyros sp.
Parkia speciosa</t>
  </si>
  <si>
    <t xml:space="preserve">    Molle (likely Schinus molle)
    Sauce (Willow)
    Fresno (Ash)
    Eucalipto (Eucalyptus)
    Pino (Pine)
    Ficus
    Laurel
    Palmera (Palm)
    Ponciana (likely Delonix regia)
    Tara (Caesalpinia spinosa)
    Casuarina
    Cedro (Cedar)
    Guanábana (Annona muricata)
    Limón (Lemon)
    Morera (Mulberry)
    Mango
    Níspero (Loquat)
    Palta (Avocado)
    Plátano (Banana/Plantain)
    Pacae (Inga feuilleei)</t>
  </si>
  <si>
    <t>diameter at breast height; tree height; basal area; volume</t>
  </si>
  <si>
    <t>diameter at breast height; tree height</t>
  </si>
  <si>
    <t>diameter at breast height; tree height; wood density</t>
  </si>
  <si>
    <t>diameter at breast height (Diameter at the base; Diameter at the middle; Diameter at the top); tree height</t>
  </si>
  <si>
    <t>diameter at breast height; tree height; Crown diameter (m); Clean trunk height (m); Live crown height (m)</t>
  </si>
  <si>
    <t>diameter at breast height; tree height; volume</t>
  </si>
  <si>
    <t>diameter at breast height</t>
  </si>
  <si>
    <t>diameter at breast height; tree height; Crown diameter</t>
  </si>
  <si>
    <t>destructive biomass estimation</t>
  </si>
  <si>
    <t>diameter at breast height; basal diameter; stem height</t>
  </si>
  <si>
    <t>diameter at breast height; tree height (total, top, and base); crown width and health</t>
  </si>
  <si>
    <t>diameter at breast height; commercial heights; wood density</t>
  </si>
  <si>
    <t>diameter at breast height; tree height; tree peripheral (circumference)</t>
  </si>
  <si>
    <t>diameter at breast height; tree height (total, top, and base); crown width and health; percentage of impervious/shrub under the tree and light exposure</t>
  </si>
  <si>
    <t>diameters over bark at the base and middle of the tree; commercial heights; tree height</t>
  </si>
  <si>
    <t>median density of 3900 trees ha−1</t>
  </si>
  <si>
    <t xml:space="preserve"> 1607 individual trees and density of 321 trees/Ha</t>
  </si>
  <si>
    <t xml:space="preserve">trees/shrubs cover (35.86%) </t>
  </si>
  <si>
    <t>1259 trees</t>
  </si>
  <si>
    <t>density (individual/ha): zona 1: 1400 ± 162; zona 2: 1162 ± 147</t>
  </si>
  <si>
    <t>276 trees</t>
  </si>
  <si>
    <t>density: 1950 individuals/ha</t>
  </si>
  <si>
    <t>5240 trees</t>
  </si>
  <si>
    <t>182044 trees</t>
  </si>
  <si>
    <t>308 trees</t>
  </si>
  <si>
    <t>Total carbon storage per tree (t h−1): 319.35 East; 60.36 West; 90.33 North; 73.27 South</t>
  </si>
  <si>
    <t>2420 trees</t>
  </si>
  <si>
    <t>1354 trees</t>
  </si>
  <si>
    <t>5000000 trees</t>
  </si>
  <si>
    <t>3757 trees</t>
  </si>
  <si>
    <t>7633 trees</t>
  </si>
  <si>
    <t>1607 trees</t>
  </si>
  <si>
    <t>2789 woody trees, 1566 palm trees, and 244 banana plants.</t>
  </si>
  <si>
    <t>129 trees</t>
  </si>
  <si>
    <t>992 trees</t>
  </si>
  <si>
    <t>2755 trees</t>
  </si>
  <si>
    <t>2362 trees</t>
  </si>
  <si>
    <t>2993 tress: 784 in Kua forest and 2214 in Dindéresso forest.</t>
  </si>
  <si>
    <t>746 trees</t>
  </si>
  <si>
    <t>556 trees</t>
  </si>
  <si>
    <t>2027 trees</t>
  </si>
  <si>
    <t>2456 trees</t>
  </si>
  <si>
    <t>37 ton C km−2 yr−1</t>
  </si>
  <si>
    <t xml:space="preserve">    Average overall carbon stock (t/ha):
        Niamey: 31.63 t/ha.
    Average carbon stock by LULC type (t/ha):
        Niamey:
            Commercial areas: 64.60
            Roads: 43.24
            Schools: 31.77
            Administrative areas: 27.84
            Forested areas: 18.98
            Residential areas: 18.36
            Peri-urban forests: 16.66</t>
  </si>
  <si>
    <t xml:space="preserve">    Average overall carbon stock (t/ha):
        Maradi: 58.30 t/ha.
    Average carbon stock by LULC type (t/ha):
        Maradi:
            Residential areas: 138.10
            Roads: 107.40
            Commercial areas: 68.60
            Schools: 41.56
            Administrative areas: 27.84
            Forested areas: 15.71
            Peri-urban forests: 8.91</t>
  </si>
  <si>
    <t>Title</t>
  </si>
  <si>
    <t>Plantations, Natural forest remnants, Home gardens, Institutional compounds (institutional compounds, vegetation - mostly trees growing within or as live fences around compounds
of institutions, such as schools, hospitals, office buildings, etc.;), Farmlands, Cemeteries/sacred grooves, Public parks, Grasslands and rangelands</t>
  </si>
  <si>
    <t>Total Carbon Storage for the entire study area (by year):
    1988: 23.85 Tg C (Teragrams of Carbon, or million tonnes)
    1998: 25.23 Tg C
    2008: 25.01 Tg C
    2018: 27.15 Tg C</t>
  </si>
  <si>
    <t>Pluviosity(average annual rainfall-mm)</t>
  </si>
  <si>
    <t>estuary</t>
  </si>
  <si>
    <t>total annual sequestration at 325.71 Mg C year−1 (1195.42 Mg CO2e year−1)</t>
  </si>
  <si>
    <t>Temperature(average annual temperature-°C)</t>
  </si>
  <si>
    <t>tropical rainforest (Af)</t>
  </si>
  <si>
    <t>summer; autumn; winter; spring</t>
  </si>
  <si>
    <t>spring; summer</t>
  </si>
  <si>
    <t>winter; spring</t>
  </si>
  <si>
    <t>summer; autumn; winter</t>
  </si>
  <si>
    <t>tropical monsoon (Am)</t>
  </si>
  <si>
    <t>humid subtropical (Cfa)</t>
  </si>
  <si>
    <t>Madurai</t>
  </si>
  <si>
    <t xml:space="preserve">Tangerang </t>
  </si>
  <si>
    <t>Petaling Jaya</t>
  </si>
  <si>
    <t>Metro</t>
  </si>
  <si>
    <t>warm-summer mediterranean (Csb)</t>
  </si>
  <si>
    <t>hot arid desert (Bwh)</t>
  </si>
  <si>
    <t>hot semiarid (BSh)</t>
  </si>
  <si>
    <t>Idukki</t>
  </si>
  <si>
    <t>dry-winter humid subtropical (Cwa)</t>
  </si>
  <si>
    <t>dry-winter subtropical highland (Cwb)</t>
  </si>
  <si>
    <t>oceanic subtropical highland (Cfb)</t>
  </si>
  <si>
    <t>dry-winter tropical savanna (Aw)</t>
  </si>
  <si>
    <t>dry-summer tropical savanna (As)</t>
  </si>
  <si>
    <t>hot arid desert (BWh)</t>
  </si>
  <si>
    <t>dry-summer tropical savanna (As)</t>
  </si>
  <si>
    <t>Forested areas: 18.98 t/ha
Peri-urban forests: 16.65 t/ha</t>
  </si>
  <si>
    <t>Commercial areas: 64.60 t/ha
Roads: 43.24 t/ha
Schools: 31.77 t/ha
Administrative areas: 27.84 t/ha
Residential areas: 18.36 t/ha</t>
  </si>
  <si>
    <t>Forested areas: 15.71 t/ha
Peri-urban forests: 8.90 t/ha</t>
  </si>
  <si>
    <t>Forested areas: 32.31 t/ha
Peri-urban forests: 28.34 t/ha</t>
  </si>
  <si>
    <t>Commercial areas: 109.9 t/ha
Roads: 75.03 t/ha
Administrative areas: 56.18 t/ha
Schools: 54.1 t/ha
Residential areas: 31.25 t/ha</t>
  </si>
  <si>
    <t>Residential areas: 235 t/ha
Roads: 182.8 t/ha
Commercial areas: 116.8 t/ha
Schools: 70.73 t/ha
Administrative areas: 47.39 t/ha</t>
  </si>
  <si>
    <t>Forested areas: 26.74 t/ha
Peri-urban forests: 15.13 t/ha</t>
  </si>
  <si>
    <t>Total Carbon storage (tonne/ha): Oil palm plantation: 1995:48.953; 2005: 662.568; 2015:860.027</t>
  </si>
  <si>
    <t>Total Carbon storage (tonne/ha): Urban forest: 1995:20,532.462; 2005:18,669.592; 2015:11,868.363</t>
  </si>
  <si>
    <t>Biomass (tonne/ha): Urban forest: 1995:41,064.923 tonne; 2005:37,119.184; 2015:23,736.726</t>
  </si>
  <si>
    <t>Capoeira: 1,285.89 tCO₂eq ano⁻¹ (24.23%); Floresta: 1,596.89 tCO₂eq ano⁻¹ (30.09%); Reflorestamento: 2,298.68 tCO₂eq ano⁻¹ (43.31%).</t>
  </si>
  <si>
    <t>Arborização do campus: 125.70 tCO₂eq ano⁻¹ (2.37%)</t>
  </si>
  <si>
    <t>Capoeira: 175.19 ha (32.40%); Floresta: 290.08 ha (53.66%); Reflorestamento: 59.88 ha (11.08%)</t>
  </si>
  <si>
    <t>Arborização do campus: 15.47 ha (2.86%)</t>
  </si>
  <si>
    <t>October 2010 to October 2009</t>
  </si>
  <si>
    <t>October 2010 to October 2010</t>
  </si>
  <si>
    <t>total: 2,238.183 tons of carbon per year.</t>
  </si>
  <si>
    <t>Open space and recreation: 160.29 ha</t>
  </si>
  <si>
    <t>Area (ha): Settlement: (1995) 2396.34; (2003) 5421.87; (2014) 7302.78. Forest: (1995) 1382.94; (2003) 1226.43;  (2014) 1207.53. Agriculture and grass:  (1995) 7868.07;  (2003) 5239.9;  (2014) 3517.56</t>
  </si>
  <si>
    <t>croplands</t>
  </si>
  <si>
    <t>Total carbon storage was also given for the built-up area:
1990: 18,524.96 Mg C
2000: 31,195.78 Mg C
2020: 80,561.01 Mg C</t>
  </si>
  <si>
    <t>Total carbon storage values were estimated for the vegetation cover LULC class for specific years:
1990: 710,425 Mg C
2000: 525,119.3 Mg C
2020: 527,012.9 Mg C</t>
  </si>
  <si>
    <t>1990: vegetation (55,983.06 ha), built-up (6237.36 ha). 2000: vegetation (41,380.56 ha), built-up area (10,503.63 ha); 2018: vegetation (41,529.78 ha), built-up area (27,124.92 ha).</t>
  </si>
  <si>
    <t>Urban (built-up areas), Peri-urban (vegetation)</t>
  </si>
  <si>
    <t>botanical garden, golf course, urban forest (monasteries), coffee farms, and seasonal farms</t>
  </si>
  <si>
    <t>Mangrove: 8,382 hectares</t>
  </si>
  <si>
    <t>Bukit Layang-Layang Park: 44.69 hectares</t>
  </si>
  <si>
    <t>Forest: 1,144 hectares.
MPJBT Urban Forest: 26.16 hectares.
Putra Urban Forest: 17.47 hectares.
JB Urban Forest: 15.17 hectares.</t>
  </si>
  <si>
    <t>Total Storage:
Tropical Forest: 0.185 Mt C.
Average Storage (per site type):
Tropical Forest: 161.7 tC/ha.
Putra Urban Forest: 48.81 tC/ha.
JB Urban Forest: 43.06 tC/ha.
MPJBT Urban Forest: 34.03 tC/ha.</t>
  </si>
  <si>
    <t>Total Storage:
Mangroves: 0.437 million tonnes of Carbon (Mt C).
Average Storage (per site type):
Mangrove: 52.1 tC/ha.</t>
  </si>
  <si>
    <t>Average Storage (per site type):
Bukit Layang-Layang Park: 32.63 tC/ha.</t>
  </si>
  <si>
    <t>parks</t>
  </si>
  <si>
    <t>Roadside Trees:
Total Carbon Stock: 528 Mg
CO₂ Equivalent Stock: 1938 Mg</t>
  </si>
  <si>
    <t>Park (National Botanical Garden):
Total Carbon Sequestered/Stored: 58,126 Mg
CO₂ Equivalent: 213,324 Mg</t>
  </si>
  <si>
    <t>Park (National Botanical Garden):
Aboveground Biomass (AGB): Approximately 123,672 Mg (inferred from the carbon value).</t>
  </si>
  <si>
    <t>Roadside Trees:
Aboveground Biomass (AGB): Approximately 1,123 Mg (inferred from the carbon stock, as the paper states carbon is 47% of AGB).</t>
  </si>
  <si>
    <t>Parks and Garden: ( Cstock = 71.25 t ha⁻¹)
Institutions: ( Cstock = 65.07 t ha⁻¹)</t>
  </si>
  <si>
    <t>Forest: 105.16 t ha⁻¹</t>
  </si>
  <si>
    <t>Road: Highest (calculated from biomass 334.61 t ha⁻¹, with a conversion factor of 0.475, Cstock = 158.94 t ha⁻¹)
Playground: ( Cstock = 153.75 t ha⁻¹)
Vacant land: (Cstock = 52.44 t ha⁻¹)</t>
  </si>
  <si>
    <t>Institutions: 137 t ha⁻¹.
Parks and Garden: (approx. 150 t ha⁻¹).</t>
  </si>
  <si>
    <t>Forest: (approx. 236 t ha⁻¹).</t>
  </si>
  <si>
    <t>Road: 334.61 t ha⁻¹.
Playground: 323.68 t ha⁻¹.
Vacant land: 110.40 t ha⁻¹.</t>
  </si>
  <si>
    <t>gardens</t>
  </si>
  <si>
    <t>Plantation:
Aboveground Carbon (AGC): 255.6 t C/ha
Belowground Carbon (BGC): 36.0 t C/ha
Total Vegetation Carbon: 291.6 t C/ha
Farmlands:
    Aboveground Carbon (AGC): 94.6 t C/ha
    Belowground Carbon (BGC): 13.1 t C/ha
    Total Vegetation Carbon: 107.7 t C/ha
Grassland:
    Aboveground Carbon (AGC): 41.9 t C/ha
    Belowground Carbon (BGC): 6.8 t C/ha
    Total Vegetation Carbon: 48.7 t C/ha</t>
  </si>
  <si>
    <t>Natural forest:
    Aboveground Carbon (AGC): 617.9 t C/ha
    Belowground Carbon (BGC): 72.5 t C/ha
    Total Vegetation Carbon: 690.4 t C/ha</t>
  </si>
  <si>
    <t>Plantation:Estimated Total Biomass: 615.19 t/ha
Farmlands: Estimated Total Biomass: 227.22 t/ha
Grassland: Estimated Total Biomass: 102.74 t/ha</t>
  </si>
  <si>
    <t>Natural forest: Estimated Total Biomass: 1456.54 t/ha</t>
  </si>
  <si>
    <t>Biomass carbon (ton/ha): Urban: AGC:19.97, BGC:4.99, Total:24.96.</t>
  </si>
  <si>
    <t>Biomass carbon (ton/ha):Rural: AGC:36.91, BGC:9.23, Total:46.13.</t>
  </si>
  <si>
    <t>Biomass carbon (ton/ha): Peri-urban: AGC:61.9, BGC:15.48, total:77.38.</t>
  </si>
  <si>
    <t>January to February 2018</t>
  </si>
  <si>
    <t>January to February 2019</t>
  </si>
  <si>
    <t>January to February 2020</t>
  </si>
  <si>
    <t>Tongsha Park (TS): Approx. 125 t/ha (estimated from graph)</t>
  </si>
  <si>
    <t>Shuilianshan Park (SLS): 219 t/ha
Huangqishan Park (HQS): Approx. 130 t/ha (estimated from graph)</t>
  </si>
  <si>
    <t>Dapingzhang Forest Park (DPZ): 90 t/ha</t>
  </si>
  <si>
    <t>Dapingzhang Forest Park (DPZ): 180 t/ha</t>
  </si>
  <si>
    <t>Shuilianshan Park (SLS): 440 t/ha
Huangqishan Park (HQS): Approx. 280 t/ha (estimated from graph)</t>
  </si>
  <si>
    <t>Tongsha Park (TS): Approx. 250 t/ha (estimated from graph)</t>
  </si>
  <si>
    <t>1450 stems/ha</t>
  </si>
  <si>
    <t>3050 stems/ha</t>
  </si>
  <si>
    <t xml:space="preserve">2175 stems/ha and 1500 stems/ha
</t>
  </si>
  <si>
    <t>turf</t>
  </si>
  <si>
    <t>TBKJ: turf (212,481kg CO2eq per year); TAPJ: turf (44,032kg CO2eq per year)</t>
  </si>
  <si>
    <t>1348 trees at TBKJ and 551 trees at TAPJ</t>
  </si>
  <si>
    <t>turf cover: 242,368m²(TBKJ) and 50,225m²(TAPJ)</t>
  </si>
  <si>
    <t>all vegetation</t>
  </si>
  <si>
    <t>build-up</t>
  </si>
  <si>
    <t>forest</t>
  </si>
  <si>
    <t>Annual gross primary production (GPP) (tC year−1): Settlement (1995: 7102.04; 2003: 15,607.49; 2014: 22,274.93) Forest (1995: 8071.18; 2003: 9238.85; 2014: 10,268.58); Agriculture and grass (1995: 46,435.93; 2003: 30,775.48; 2014: 21,271.68). Total per year: 1995: 61,609.15; 2003: 55,621.81; 2014: 53,815.20</t>
  </si>
  <si>
    <t>Total quantity sequestered annually in trees (kt) 158.43 ± 6.70 C and 580.92 ± 24.55 CO2</t>
  </si>
  <si>
    <t xml:space="preserve">HCMC's vegetation is thought to absorb around 84,732.77 CO2 tons/day. </t>
  </si>
  <si>
    <r>
      <t xml:space="preserve">CO2: San Martin de Porres: average sequestration efficiency of 39.21 mt/ha/year; Los Olivos: average of 25.35 mt/ha/year and </t>
    </r>
    <r>
      <rPr>
        <b/>
        <sz val="11"/>
        <color rgb="FF000000"/>
        <rFont val="Calibri"/>
        <family val="2"/>
        <scheme val="minor"/>
      </rPr>
      <t>in Comas, an average of 51.67 mt/ha/year</t>
    </r>
  </si>
  <si>
    <t>Total for all 25 cities: 235.3 kilotonnes of carbon sequestered annually.
Average per city: 9.41 kilotonnes of carbon sequestered annually.</t>
  </si>
  <si>
    <t>Total for all 25 cities: (864.82 kilotonnes of CO₂ Eq.) sequestered annually.
Average per city: (34.59 kilotonnes of CO₂ Eq.) sequestered annually.</t>
  </si>
  <si>
    <t xml:space="preserve">    Average overall carbon stock (t/ha):
        Niamey: 31.63 t/ha.
        Maradi: 58.30 t/ha.
    Average carbon stock by LULC type (t/ha):
        Niamey:
            Commercial areas: 64.60
            Roads: 43.24
            Schools: 31.77
            Administrative areas: 27.84
            Forested areas: 18.98
            Residential areas: 18.36
            Peri-urban forests: 16.65
        Maradi:
            Residential areas: 138.10
            Roads: 107.40
            Commercial areas: 68.60
            Schools: 41.56
            Administrative areas: 27.84
            Forested areas: 15.71
            Peri-urban forests: 8.91</t>
  </si>
  <si>
    <t xml:space="preserve">    Average overall carbon stock (t/ha):
        Niamey: 31.63 t/ha.
        Maradi: 58.30 t/ha.
    Average carbon stock by LULC type (t/ha):
        Niamey:
            Commercial areas: 64.60
            Roads: 43.24
            Schools: 31.77
            Administrative areas: 27.84
            Forested areas: 18.98
            Residential areas: 18.36
            Peri-urban forests: 16.65
        Maradi:
            Residential areas: 138.10
            Roads: 107.40
            Commercial areas: 68.60
            Schools: 41.56
            Administrative areas: 27.84
            Forested areas: 15.71
            Peri-urban forests: 8.92</t>
  </si>
  <si>
    <t>carbon stock contained in each church forest was 156 ± 92 t ha-1.</t>
  </si>
  <si>
    <t>C storage 60.36–319.35 t ha−1 and CO2 mitigation 221.52–1172.03 t ha−1</t>
  </si>
  <si>
    <t>total biomass (t h−1): 720.12 E; 166.03W; 205.96N and 166.86S</t>
  </si>
  <si>
    <t>total carbon storage: AGC: 452,797 tons; BGC: 99,618 tons; total: 552,415 tons and 171 tons/ha</t>
  </si>
  <si>
    <t>Forest: (tons)
1988: 968,310.07
1998: 803,563.80
2008: 1,128,011.22
2018: 1,104,781.16</t>
  </si>
  <si>
    <t>Agricultural and grassland: (tons)
1988: 3,577,255.12
1998: 3,060,333.75
2008: 2,395,742.93
2018: 1,720,751.25</t>
  </si>
  <si>
    <t>Forest:  (tons)
1988: 968,310.07
1998: 803,563.80
2008: 1,128,011.22
2018: 1,104,781.16
Agricultural and grassland:
1988: 3,577,255.12
1998: 3,060,333.75
2008: 2,395,742.93
2018: 1,720,751.25
Built-up and transport area:
1988: 150,015.55
1998: 217,688.50
2008: 302,278.89
2018: 387,578.80
Open land:
1988: 136,900.07
1998: 161,667.00
2008: 124,218.95
2018: 111,447.76
Total:
1988: 4,832,480.80
1998: 4,243,253.10
2008: 3,950,251.99
2018: 3,324,559.00</t>
  </si>
  <si>
    <t>Forest: (tons)
1988: 968,310.07
1998: 803,563.80
2008: 1,128,011.22
2018: 1,104,781.16
Agricultural and grassland:
1988: 3,577,255.12
1998: 3,060,333.75
2008: 2,395,742.93
2018: 1,720,751.25
Built-up and transport area:
1988: 150,015.55
1998: 217,688.50
2008: 302,278.89
2018: 387,578.80
Open land:
1988: 136,900.07
1998: 161,667.00
2008: 124,218.95
2018: 111,447.76
Total:
1988: 4,832,480.80
1998: 4,243,253.10
2008: 3,950,251.99
2018: 3,324,559.02</t>
  </si>
  <si>
    <t>Average Storage (per site type):
Tropical Forest: 161.7 tC/ha.
Mangrove: 52.1 tC/ha.
Putra Urban Forest: 48.81 tC/ha.
JB Urban Forest: 43.06 tC/ha.
MPJBT Urban Forest: 34.03 tC/ha.
Bukit Layang-Layang Park: 32.63 tC/ha.
The mean for all urban forests/parks combined is 39.63 tC/ha.</t>
  </si>
  <si>
    <t>Total Storage:
Mangroves: 0.437 million tonnes of Carbon (Mt C).
Tropical Forest: 0.185 Mt C.</t>
  </si>
  <si>
    <t>Roadside Trees:
Total Carbon Stock: 528 Mg
Park (National Botanical Garden):
Total Carbon Sequestered/Stored: 58,126 Mg</t>
  </si>
  <si>
    <t>Roadside Trees:
CO₂ Equivalent Stock: 1938 Mg
Park (National Botanical Garden):
CO₂ Equivalent: 213,324 Mg</t>
  </si>
  <si>
    <t>Total AGB: The total AGB  572,839.64 kg (or 572.8 tonnes).</t>
  </si>
  <si>
    <t>991 trees</t>
  </si>
  <si>
    <t>The total stock 286,419.82 kg (or 286.4 tonnes) of carbon.</t>
  </si>
  <si>
    <t>Biomass (tonne/ha): Urban forest: 1995:41,064.923 tonne; 2005:37,119.184; 2015:23,736.726. Oil palm plantation: 1995:97.906; 2005:1,325.136; 2015:1,720.061</t>
  </si>
  <si>
    <t>The biomass value produced from the model ranges from 0.10149 tons/grid or 101,49 kg/grid to 1.913 tons/grid or 1913.99 kg/grid.  (GRID = plot size of 100x100 meters)</t>
  </si>
  <si>
    <t>biomass mean (Mg C ha−1, mean ± standard deviation): (2019)
Forests (FO): AGB:225 ± 43.53;
Tree plantations (PL): AGB:113 ± 26.71;
Adult palm groves (PA): AGB:63 ± 4.43;
Crop-plantation associations (CP): AGB:39 ± 0.87;</t>
  </si>
  <si>
    <t>biomass mean (Mg C ha−1, mean ± standard deviation): (2019)
Forests (FO):BGB:54 ± 11
Tree plantations (PL): BGB:27 ± 6.41
Adult palm groves (PA): BGB:15 ± 1.06
Crop-plantation associations (CP): BGB:9 ± 0.21</t>
  </si>
  <si>
    <t>Taman Bandaran Kelana Jaya (TBKJ): 36.1169 ha and Taman Aman Petaling Jaya (TAPJ): 8.0339 ha</t>
  </si>
  <si>
    <t>Colonia Olmeca (5 ha), Colonia San Bruno (2 ha), and Cerro Colorado (8 ha)</t>
  </si>
  <si>
    <t>209501 ha</t>
  </si>
  <si>
    <t>Area (ha):
Tree plantations (PL): 12,511 (2018)
Adult palm groves (PA): 19,106 (2018)
Crop-plantation associations (CP): 10,894 (2018)</t>
  </si>
  <si>
    <r>
      <t xml:space="preserve">approximate area of </t>
    </r>
    <r>
      <rPr>
        <b/>
        <sz val="11"/>
        <color rgb="FF000000"/>
        <rFont val="Calibri"/>
        <family val="2"/>
        <scheme val="minor"/>
      </rPr>
      <t>125600 ha</t>
    </r>
  </si>
  <si>
    <t>560000 ha</t>
  </si>
  <si>
    <t>The total study area (Zone 2 of DNCC) is 2132 ha
The tree measurements were taken on three major roads (totaling 17.2 ha, with 8.6 ha assumed vegetation cover) and within the National Botanical Garden (vegetation area of 173.4 acres or ~70.2 ha).</t>
  </si>
  <si>
    <t>San Martin de Porres: 3667 ha
Los Olivos: 1821 ha
Comas: 4875 ha</t>
  </si>
  <si>
    <t>25400 ha</t>
  </si>
  <si>
    <t>Plot Size (ha)
Parks and Garden: 0.0314
Institution: 0.0314</t>
  </si>
  <si>
    <t>Plot Size (ha)
Forest: 0.0314</t>
  </si>
  <si>
    <t>Plot Size (ha)
Playground: 0.0314
Road: 0.0300
Vacant land: 0.0313</t>
  </si>
  <si>
    <t>Plot Size (ha)
Parks and Garden: 0.0314
Playground: 0.0314
Lake: 0.0300
Forest: 0.0314
River: 0.0300
Institution: 0.0314
Road: 0.0300
Vacant land: 0.0314</t>
  </si>
  <si>
    <t>Residential areas: 138.10
Roads: 107.40
Commercial areas: 68.60
Schools: 41.56
Administrative areas: 27.84</t>
  </si>
  <si>
    <t>14621.97 ha</t>
  </si>
  <si>
    <t>vegetation cover:45.5% of the area.</t>
  </si>
  <si>
    <t>The total tree crown area at MC metro station was 1.085 ha</t>
  </si>
  <si>
    <t>vegetation cover: 65.9%</t>
  </si>
  <si>
    <t>29631.13 ha</t>
  </si>
  <si>
    <t>CO2_ton/year</t>
  </si>
  <si>
    <t>C_area_ton/ha</t>
  </si>
  <si>
    <t>CO2_stock_ton</t>
  </si>
  <si>
    <t>B_area_ton/ha</t>
  </si>
  <si>
    <t>B_total_ton</t>
  </si>
  <si>
    <t>AGB_ton/ha</t>
  </si>
  <si>
    <t>BGB_ton/ha</t>
  </si>
  <si>
    <t>Area_ha</t>
  </si>
  <si>
    <t>Alstonia congensis De Wild., Anacardium occidentale L., Mangifera indica L., Annona muricata L., Polyalthia longifolia (Sonn.) Thwaites, Nerium oleander L., Plumeria alba L., Plumeria rubra L., Roystonea regia (H.B.K) F.cook, Avicennia nitida Jacq., Jacaranda mimosacfolia L., Bombax buonopozense P. Beauv., Dacryodes edulis (G. Don) H.J. Lam, Casuarina equistetifolia Linn., Musanga cecropioides R. Br., Terminalia catappa L., Terminalia mantaly H. Perrier, Terminalia superba Engl. &amp; Diels, Thuja occidentalis L., Croton zambesicus Müell. Arg., Hevea brasiliensis Müell. Arg., Hura crepitans L., Caesalpinia pulcherrima (L.) Sw., Delonix regia (Hook) Raf., Senna siamea (Lam) Irwin &amp; Barneby, Dialium guineense Willd., Azadirachta indica A. Juss, Antiaris africana Engl., Ficus benjamina L., Ficus thonningii Blume, Ficus tomentosa Roxb. Ex willd., Milicia excelsa (Welw.) C.C. Berg., Treculia africana var. nitida Engl., Eucalyptus camaldulensis Dehn, Eucalyptus globulus Labill, Pinus caribaea Var. Barr. &amp; Golf., Gmelina arborea Roxb.</t>
  </si>
  <si>
    <t>Environment_age_years</t>
  </si>
  <si>
    <t>C_total_ton</t>
  </si>
  <si>
    <t>CO2_ton/year/ha</t>
  </si>
  <si>
    <t>Carbon_ton/year/ha</t>
  </si>
  <si>
    <t>Carbon_ton/year</t>
  </si>
  <si>
    <r>
      <t>dominated by: </t>
    </r>
    <r>
      <rPr>
        <i/>
        <sz val="12"/>
        <color rgb="FFFF0000"/>
        <rFont val="Arial"/>
        <family val="2"/>
      </rPr>
      <t>J. procera</t>
    </r>
    <r>
      <rPr>
        <sz val="12"/>
        <color rgb="FFFF0000"/>
        <rFont val="Arial"/>
        <family val="2"/>
      </rPr>
      <t> trees, </t>
    </r>
    <r>
      <rPr>
        <i/>
        <sz val="12"/>
        <color rgb="FFFF0000"/>
        <rFont val="Arial"/>
        <family val="2"/>
      </rPr>
      <t>Acacia origena</t>
    </r>
    <r>
      <rPr>
        <sz val="12"/>
        <color rgb="FFFF0000"/>
        <rFont val="Arial"/>
        <family val="2"/>
      </rPr>
      <t>, and </t>
    </r>
    <r>
      <rPr>
        <i/>
        <sz val="12"/>
        <color rgb="FFFF0000"/>
        <rFont val="Arial"/>
        <family val="2"/>
      </rPr>
      <t>A. gerrardii</t>
    </r>
    <r>
      <rPr>
        <sz val="12"/>
        <color rgb="FFFF0000"/>
        <rFont val="Arial"/>
        <family val="2"/>
      </rPr>
      <t> trees</t>
    </r>
  </si>
  <si>
    <t>CO2_area_ton/ha</t>
  </si>
  <si>
    <t xml:space="preserve">Botanical Garden (Kandawgyi):
Average Aboveground Carbon Stock: 142.90 ± 92.76 tonnes/hectare (t/ha). = 177.07
Average Belowground Carbon Stock: 34.17 ± 22.20 t/ha.
City Golf Course:
Average Aboveground Carbon Stock: 58.23 ± 80.84 t/ha. = 71.94
Average Belowground Carbon Stock: 13.71 ± 19.40 t/ha.
</t>
  </si>
  <si>
    <t>Coffee Farms:
Average Aboveground Carbon Stock: 181.98 ± 83.35 t/ha. = 225.51
Average Belowground Carbon Stock: 43.53 ± 20.04 t/ha.
Seasonal Farms:
Average Aboveground Carbon Stock: 5.00 t/ha = 6.20
Average Belowground Carbon Stock: 1.20 t/ha</t>
  </si>
  <si>
    <t>1. Rainy Season
Total AGB: 483.58 kg/ha = 596.23
Total BGB: 111.65 kg/ha
2. Winter Season
Total AGB: 290.61 kg/ha = 353.87
Total BGB: 63.26 kg/ha
3. Summer Season
Total AGB: 338.07 kg/ha = 419.79
Total BGB: 81.72 kg/ha</t>
  </si>
  <si>
    <t>37.28032 t</t>
  </si>
  <si>
    <t>19.87 t</t>
  </si>
  <si>
    <t>34.02 t</t>
  </si>
  <si>
    <t>43.082 individuals/ha</t>
  </si>
  <si>
    <t>317.307 individuals/ha</t>
  </si>
  <si>
    <t>forest and croplands</t>
  </si>
  <si>
    <t>Peri-urban forests: 317.307 ind/ha
Agroforestry systems: 43.082 ind/ha</t>
  </si>
  <si>
    <t>129.00611 t</t>
  </si>
  <si>
    <t>33.54165 t</t>
  </si>
  <si>
    <t>Calotropis procera (Aiton) Ait.f., Lannea acida A. Rich, Mangifera indica L., Anacardium occidentale L., Lannea barteri (Oliv) England, Polyalthia longifolia (Sonn.) Thwaites, Plumeria alba L., Plumeria rubra L., Araucaria cunninghamii (Aiton), Cocos nucifera L., Roystonea regia (H.B.K) F.cook, Vernonia amygdalina Del., Crescentia cujete L., Newbouldia laevis (P. Beauv), Spathodea campanulata P. Beauv., Casuarina equisetifolia L., Combretum molle R.Br. ex G.Don, Terminalia catappa L., Terminalia mantaly H. Perrier, Hura crepitans L., Daniella oliveri (Rolf) Hutch &amp; Dalz, Erythrina senegalensis Dc., Acacia polycantha willd., Afezelia africana SM., Albizia lebbeck (Lam) Benth., Delonix regia (Hook) Raf., Pterocarpus erinaceus Poir., Cassia fistula Linn., Parkia biglobosa (Jacq) R.Br ex G. Don, Senna siamea (Lam) Irwin &amp; Barneby, Albizia coriaria Welwex Oliv., Dalbergia latifolia Roxb., Prosopsis africana (Guill &amp; Perr) Taub., Erythrina sigmoidea Hua., Azadirachta indica A. Juss, Khaya senegalensis (Desr) A. Juss, Khaya grandifoliola C. DC., Ficus sur Forssk., Ficus mucoso Welw ex Ficalho, Eucalyptus citrodora Hook., Eucalyptus toreliana F. Muell, Eucalyptus camadalensis Dehn., Vitellaria paradoxa Gaertn.f, Gmelina arborea Roxb, Vitex doniana (Sweet), Tectona grandis Linn. F.</t>
  </si>
  <si>
    <t>Acacia holosericea A. Cunn. ex G. Don, Acacia senegal (L.) Willd., Adansonia digitata L., Adenium obesum (Forssk.) Roem., Albizia chevalieri Harms, Albizia lebbeck (L.) Benth., Anacardium occidentale L., Annona muricata L., Annona senegalensis Pers., Annona squamosa L., Anogeissus leiocarpus (DC.) Guill. &amp; Perr., Azadirachta indica A. Juss., Balanites aegyptiaca (L.) Del., Bambusa vulgaris Schrad. Ex J.C.Wendl., Bauhinia monandra Kurz, Bauhinia rufescens Lam., Blighia sapida Koenig, Borassus aethiopum Mart., Boscia angustifolia A. Rich., Boscia salicifolia Oliv., Boswellia dalzielii Hutch., Boswellia papyrifera (Del.) A. Rich., Bougainvillea spectabilis Willd, Calliandra brevipes Benth., Calotropis procera (Ait.) Ait. f., Caesalpinia pulcherrima (L.) Sw., Cassia sieberiana DC., Casuarina equisetifolia Forst., Ceiba pentandra (L.) Gaertn., Citrus grandis (L.) Osbeck, Citrus limon (L.) Burm. f., Citrus reticulata Blanco, Citrus sinensis (L.) Osbeck, Cola cordifolia (Cav.) R. Br., Combretum glutinosum Perr. ex DC., Combretum nigricans Lepr. ex Guill. et Perr., Commiphora africana (A. Rich.) Engl., Dalbergia sissoo Roxb., Daniellia oliveri (Rolfe) Hutch. &amp; Dalz, Delonix regia (Boj.) Raf., Dialium guineense Willd., Diospyros mespiliformis Hochst. ex A. Rich., Duranta repens Linn., Eucalyptus camaldulensis Dehnh., Euphorbia balsamifera Ait., Euphorbia kamerunica Pax, Faidherbia albida (Del.) Chev., Ficus benjamina L., Ficus elastica Roxb. ex Hornem., Ficus platyphylla Del., Ficus sycomorus ssp. gnaphalocarpa (Miq.) C.C. Berg, Ficus thonningii Blume, Gardenia erubescens Stapf &amp; Hutch., Gliricidia sepium (Jacq.) Walp., Gmelina arborea Roxb., Grewia bicolor Juss., Guiera senegalensis J.F. Gmel., Hura crepitans L., Hyphaene thebaica (L.) Mart., Jatropha curcas L., Jatropha gossypiifolia L., Khaya senegalensis (Desr.) A. Juss, Kigelia africana (Lam.) Benth., Lannea microcarpa Engl. &amp; K. Krause, Lawsonia inermis L., Leucaena leucocephala (Lam.) de Wit, Maerua angolensis DC., Maerua crassifolia Forssk., Mangifera indica L., Melia azedarach L., Mitragyna inermis (Willd.) Kuntze, Moringa oleifera Lam., Moringa stenopetala Baker f., Neocarya macrophylla (Sabine) Prance, Newbouldia laevis (P. Beauv.) Seem., Parkia biglobosa (Jacq.) R. Br. ex G. Don, Parkinsonia aculeata L., Phoenix dactylifera L., Phoenix reclinata Jacq., Piliostigma reticulatum (DC.) Hochst., Pithecellobium dulce (Roxb.) Benth., Plumeria rubra L., Polyalthia longifolia. Sonn, Prosopis africana (Guill. &amp; Perr.) Taub., Prosopis juliflora (Sw.) DC., Psidium guajava L., Punica granatum L., Sclerocarya birrea (A. Rich.) Hochst., Senna siamea (Lam.) Irwin &amp; Barneby, Senna singueana (Del.) Lock, Sterculia setigera Del., Syzygium guineense (Willd.) DC., Syzygium malaccense (L.) Merr. &amp; L.M.Perry, Tamarindus indica L., Tectona grandis L. f., Terminalia catappa L., Terminalia mantaly H. Perrier, Thevetia neriifolia Juss., Vachellia nilotica subsp. Nilotica, Vachellia seyal (Delile) P.J.H.Hurter, Vachellia sieberiana (DC.) Kyal. &amp; Boatwr., Vachellia tortilis (Forssk.) Galasso &amp; Banfi, Vitellaria paradoxa Gaertn. f., Vitex doniana Sweet, Vitex simplicifolia Oliv., Ziziphus mauritiana Lam., Ziziphus mucronata Willd, Ziziphus spina-christi (L.) Desf.</t>
  </si>
  <si>
    <t>Botanical Garden (Kandawgyi): 177.00 hectares.
City Golf Course: 104.59 hectares.</t>
  </si>
  <si>
    <t>Coffee Farms: 244.72 hectares.
Seasonal Farms: 7.83 hectares.</t>
  </si>
  <si>
    <t>Total Area (ha): Oil palm plantation: 1995:52.951 ; 2005: 31.599 ; 2015:20.259</t>
  </si>
  <si>
    <t>Total Area (ha): Urban forest: 1995: 341.789; 2005:363.141; 2015:374.479</t>
  </si>
  <si>
    <t>Area (ha): Settlement: (1995) 2396.34; (2003) 5421.87; (2014) 7302.78</t>
  </si>
  <si>
    <t>Area (ha): Forest: (1995) 1382.94; (2003) 1226.43;  (2014) 1207.53</t>
  </si>
  <si>
    <t>Area (ha): Agriculture and grass:  (1995) 7868.07;  (2003) 5239.9;  (2014) 3517.55</t>
  </si>
  <si>
    <t>Abundance is reported as the total area of plantation forests (Rural Vegetation + Mangrove):
        1988: 144,110 ha
        1998: 178,640 ha
        2008: 179,820 ha
        2018: 242,600 ha</t>
  </si>
  <si>
    <t>1990: built-up (6237.36 ha). 2000: built-up area (10,503.63 ha). 2018: built-up area (27,124.92 ha).</t>
  </si>
  <si>
    <t>1990: vegetation (55,983.06 ha). 2000: vegetation (41,380.56 ha). 2018: vegetation (41,529.78 ha).</t>
  </si>
  <si>
    <t>Total area of the study area is approximately 556 km².
1988: Forest: 5,245.47 hectares (9.73%)
1998: Forest: 4,353 hectares (8.08%)
2008: Forest: 6,111.9 hectares (11.34%)
2018: Forest: 5,982.6 hectares (11.10%)</t>
  </si>
  <si>
    <t>Total area of the study area is approximately 556 km².
1988: Agricultural and Grassland: 32,894.3 hectares (61.03%)
1998: Agricultural and Grassland: 28,141 hectares (52.20%)
2008: Agricultural and Grassland: 22,029.82 hectares (40.87%)
2018: Agricultural and Grassland: 15,823 hectares (29.35%)</t>
  </si>
  <si>
    <t>Biomass (tonne/ha): Oil palm plantation: 1995:97.906; 2005:1,325.136; 2015:1,720.057</t>
  </si>
  <si>
    <t>Total Area (ha): Urban forest: 1995: 341.789; 2005:363.141; 2015:374.479. Oil palm plantation: 1995:52.951 ; 2005: 31.599 ; 2015:20.262</t>
  </si>
  <si>
    <t>Annual gross primary production (GPP) (tC year−1): Settlement (1995: 7102.04; 2003: 15,607.49; 2014: 22,274.93)</t>
  </si>
  <si>
    <t>Annual gross primary production (GPP) (tC year−1): Forest (1995: 8071.18; 2003: 9238.85; 2014: 10,268.58)</t>
  </si>
  <si>
    <t>Annual gross primary production (GPP) (tC year−1): Agriculture and grass (1995: 46,435.93; 2003: 30,775.48; 2014: 21,271.68)</t>
  </si>
  <si>
    <t>Area (ha): Settlement: (1995) 2396.34; (2003) 5421.87; (2014) 7302.78. Forest: (1995) 1382.94; (2003) 1226.43;  (2014) 1207.53. Agriculture and grass:  (1995) 7868.07;  (2003) 5239.9;  (2014) 3517.57</t>
  </si>
  <si>
    <t>Built-up and transport area:  (tons) Built-up:=((1988*150015.55)+(1998*217688.50)+(2008*302278.89)+(2018*387578.80)/(1988+1998+2008+2018)      Open land: =((1988*136900.07)+(1998*161667.00)+(2008*124218.95)+(2018*111447.77)/(1988+1998+2008+2018)
1988: 150,015.55
1998: 217,688.50
2008: 302,278.89
2018: 387,578.80
Open land:
1988: 136,900.07
1998: 161,667.00
2008: 124,218.95
2018: 111,447.76</t>
  </si>
  <si>
    <t>Total area of the study area is approximately 556 km². build-up: =((1988*10345.9)+(1998*15013)+(2008*20846.82)+(2018*4408.8))/(1988+1998+2008+2018)  open space: =((1988*5411.07)+(1998*6390)+(2008*4904.6)+(2018*4408.8))/(1988+1998+2008+2018)
1988:
Built-up and Transport Area: 10,345.9 hectares (19.20%)
Open Land: 5,411.07 hectares (10.04%)
1998:
Built-up and Transport Area: 15,013 hectares (27.85%)
Open Land: 6,390 hectares (11.86%)
2008:
Built-up and Transport Area: 20,846.82 hectares (38.68%)
Open Land: 4,904.6 hectares (9.10%)
2018
Built-up and Transport Area: 27,684.2 hectares (51.36%)
Open Land: 4,408.8 hectares (8.18%)</t>
  </si>
  <si>
    <t>TBKJ: trees (total in 24 years 3,272,628kg CO2eq = 136.36); TAPJ: trees (total in 18 years 4,121,649kg CO2eq = 228.98)</t>
  </si>
  <si>
    <t>Plot Size (ha)
Parks and Garden: 0.0314
Playground: 0.0314
Lake: 0.0300
Forest: 0.0314
River: 0.0300
Institution: 0.0314
Road: 0.0300
Vacant land: 0.0315</t>
  </si>
  <si>
    <t>Annual gross primary production (GPP) (tC year−1): Settlement (1995: 7102.04; 2003: 15,607.49; 2014: 22,274.93) Forest (1995: 8071.18; 2003: 9238.85; 2014: 10,268.58); Agriculture and grass (1995: 46,435.93; 2003: 30,775.48; 2014: 21,271.68). Total per year: 1995: 61,609.15; 2003: 55,621.81; 2014: 53,815.21</t>
  </si>
  <si>
    <t>Annual gross primary production (GPP) (tC year−1): Settlement (1995: 7102.04; 2003: 15,607.49; 2014: 22,274.93) Forest (1995: 8071.18; 2003: 9238.85; 2014: 10,268.58); Agriculture and grass (1995: 46,435.93; 2003: 30,775.48; 2014: 21,271.68). Total per year: 1995: 61,609.15; 2003: 55,621.81; 2014: 53,815.22</t>
  </si>
  <si>
    <t>Annual gross primary production (GPP) (tC year−1): Settlement (1995: 7102.04; 2003: 15,607.49; 2014: 22,274.93) Forest (1995: 8071.18; 2003: 9238.85; 2014: 10,268.58); Agriculture and grass (1995: 46,435.93; 2003: 30,775.48; 2014: 21,271.68). Total per year: 1995: 61,609.15; 2003: 55,621.81; 2014: 53,815.23</t>
  </si>
  <si>
    <t>Eucalyptus camaldulensis, Cupressus lusitanica, Pinus montezumae, Arbutus sp., Buddleja cordata, Casuarina equisetifolia, Senecio salignus (shrub), Symphoricarpos microphyllus (shrub)</t>
  </si>
  <si>
    <t>Syzygium grande, Lagerstroemia speciose, Ficus roxburghii, Albizia saman, Cocos nucifera, Acacia auriculiformis</t>
  </si>
  <si>
    <t>Madhuca indica, Buchanania lanzan, Azadirachta indica, Pithecellobium dulce, Anthalus exelica, Dalbergis sissoo, Zizyphus mauritiana, Eucalyptus camaldulensis, Ficus bengalensis, Bauhinia racemosa, Acacia nilotica, Leucaena leucocephala, Zizyphus zuzuba, Terminalia belerica, Carissa carandas, Phoenix sylvestris, Cassia fistula, Bombax ceiba, Ficus religiosa, Lawsonia inermis, Acacia catechu, Wrightia tinctoria, Terminalia tomentosa, Butea monosperma, Diospyros melanoxylon, Lagerstreomia parviflora, Tectona grandis</t>
  </si>
  <si>
    <t>Acacia mangium Willd, Acacia nilotica L, Aegle marmelos L, Azadirachta indica A. Juss, Bahunia racemose Lamm, Bombex ceiba L, Cassia siamea L, Dalbergia sissoo Roxb, Delonix regia Raf, Eucalyptus spp., Ficus benghalensis L, Ficus racemosa L, Mangifera indica L, Melia azedarach L, Saraca indica L, Shorea robusta Roth, Syzygium cumini L, Tamarindus indica L, Tectona grandis L.f, Terminalia bellerica Roxb, Terminalia chebula Retz, Terminalia tomentosa Roxb, Zizyphus mauritiana Lam</t>
  </si>
  <si>
    <t>The tree density among various directions ranged from 170 to 240 trees ha−1</t>
  </si>
  <si>
    <t>Acacia catechu, Acacia arabica, Albizia Lebbeck, Ailanthus excelsa, Albizia odoratissima, Alstonia scholaris, Annona squamosa, Bombax ceiba, Boswellia serrata, Butea frondosa, Callistemon viminalis, Cassia fistula, Cassia siamea, Ceiba pentandra, Chloroxylon swietenia, Dalbergia latifolia, Dalbergia paniculata, Dalbergia sissoo, Delonix regia, Diospyros melanoxylon, Eucalyptus globulus, Eugenia jambolana, Ficus benghalensis, Ficus elastica, Ficus glomerata, Gardenia resinifera, Garuga pinnata, Gmelina arborea, Hardwickia binata, Kigelia pinnata, Lagerstroemia parviflora, Lagerstroemia speciosa, Lannea coromandelica, Leucaena leucocephala, Madhuca latifolia, Mangifera indica, Manilkara hexandra, Melia azedarach, Millingtonia hortensis, Mimusops elengi, Moringa oleifera, Morus alba, Murraya koenigii, Neolamarckia cadamba, Nyctanthes arbortritis, Peltophorum pterocarpum, Pithecellobium dulce, Plumeria alba, Pongamia pinnata, Prosopis juliflora, Psidium guajava, Pterocarpus marsupium, Sapindus mukorossi, Schrebera swietenioides, Soymida febrifuga, Sterculia urens, Tamarindus indica, Tecoma stans, Terminalia arjuna, Terminalia catappa, Trichilia dregeana, Vachellia farnesiana, Vachellia nilotica, Ziziphus mauritiana, Azadirachta indica, Tectona grandis, Mitragyna parvifolia, Ficus Religiosa, Delonix regia, Polyalthia longifolia, Albizia Lebbeck, and Bauhinia variegata.</t>
  </si>
  <si>
    <t>3900 trees ha−1</t>
  </si>
  <si>
    <t>urban-periurban</t>
  </si>
  <si>
    <t>Filicium decipiens(Exotic); Gmelina arborea (Exotic); Terminalia catappa (Exotic); Khaya anthotheca (Exotic); Spathodea campanulata (Exotic); Ficus benjamina (Native); Pinus merkusii (Native); Swietenia mahagoni (Exotic); Theobroma cacao (Exotic) Diospyros sp. (Native); Parkia speciosa (Native)</t>
  </si>
  <si>
    <t>Acacia abyssinica, Acacia decurens, Acacia saligna, Allophylus abyssinica, Bersema abyssinica, Buddleja polystachya, Carissa spinarum, Clausena anisate, Croton macrostachyus, Cupressus lusitanica, Discopodium penninervium, Dombya torrida, Dovyalis abyssinica, Ekebergia capensis, Eucalyptus camaldulensis, Eucalyptus globulus, Eucalyptus grandis, Hypericum revolutum, Juniperus procera, Maesa lanceolata, Maytenus andata, Maytenus arbutifolia, Maytenus senegalensis, Myrsine africana, Myrsine melanophloes, Nuxia congista, Olea europaea subsp. Cuspidata, Olinia rochetiana, Osyris quadripartite, Pentas schimperiana, Pittosporum viridiflorum, Rhus glutinosa, Rosa abyssinica, Rubus apetales, Rubus steudneri, Schefflera abyssinica, Vernonia amygdalina</t>
  </si>
  <si>
    <t>Cavendishia bracteata, Miconia squamulosa, Myrcianthes leucoxyla, Myrsine guianensis, Weinmannia tomentosa</t>
  </si>
  <si>
    <r>
      <rPr>
        <i/>
        <sz val="12"/>
        <color rgb="FF282828"/>
        <rFont val="Arial"/>
        <family val="2"/>
      </rPr>
      <t>J. procera</t>
    </r>
    <r>
      <rPr>
        <sz val="12"/>
        <color rgb="FF282828"/>
        <rFont val="Arial"/>
        <family val="2"/>
      </rPr>
      <t> trees, </t>
    </r>
    <r>
      <rPr>
        <i/>
        <sz val="12"/>
        <color rgb="FF282828"/>
        <rFont val="Arial"/>
        <family val="2"/>
      </rPr>
      <t>Acacia origena</t>
    </r>
    <r>
      <rPr>
        <sz val="12"/>
        <color rgb="FF282828"/>
        <rFont val="Arial"/>
        <family val="2"/>
      </rPr>
      <t>, and </t>
    </r>
    <r>
      <rPr>
        <i/>
        <sz val="12"/>
        <color rgb="FF282828"/>
        <rFont val="Arial"/>
        <family val="2"/>
      </rPr>
      <t>A. gerrardii</t>
    </r>
    <r>
      <rPr>
        <sz val="12"/>
        <color rgb="FF282828"/>
        <rFont val="Arial"/>
        <family val="2"/>
      </rPr>
      <t> trees</t>
    </r>
  </si>
  <si>
    <t>Ageratum conyzoides L., Ageratum houstorianum Mill., Anagallis arvensis L., Argemone mexicana L., Cassia tora L., Chenopodium album L., Erigeron canadensis L., Euphorbia hirta L., Melilotus indica L., Ocimum tenuiflorum L., Oxalis corniculata L., Parthenium hysterophorus L., Physalis minima L., Rumex dentatus L., Sida acuta Burn.f., Sonchus arvensis L., Spilanthes calva Jacq., Tridax procumbens L.</t>
  </si>
  <si>
    <t>Adansonia digitata L., Afzelia africana Sm., Anacardium occidentale L., Annona senegalensis Pers., Anogeissus leiocarpa (DC.) Guill. &amp; Perr., Antidesma rufescens Tul., Azadirachta indica L., Berlinia grandiflora (Vahl) Hutch. &amp; Dalziel, Bobgunnia madagascariensis (Desv.) J.H.Kirkbr. &amp; Wiersema, Bombax costatum Pellegr. &amp; Vuill., Borassus aethiopum Mart., Borassus akeassii Bayton, Ouédr. &amp; Guinko, Burkea africana Hook., Cassia sieberiana DC., Combretum adenogonium Steud. ex A.Rich., Combretum collinum Fresen., Combretum glutinosum Perr. ex DC., Combretum micranthum G.Don, Combretum molle R.Br. ex G.Don, Combretum nigricans Lepr. ex Guill. &amp; Perr., Cordia myxa L., Crossopteryx febrifuga (Afzel. ex G.Don) Benth., Daniellia oliveri (Rolfe) Hutch. &amp; Dalziel, Detarium microcarpum Guill. &amp; Perr., Dichrostachys cinerea (L.) Wight &amp; Arn., Diospyros mespiliformis Hochst. ex A.DC., Entada africana Guill. &amp; Perr., Erythrina senegalensis A.DC., Eucalyptus camaldulensis Dehnh. [cult.], Feretia apodanthera Delile, Ficus abutilifolia (Miq.) Miq., Ficus sur Forssk., Ficus sycomorus L., Flacourtia indica (Burm.f.) Merr., Gardenia aqualla Stapf &amp; Hutch., Gardenia erubescens Stapf &amp; Hutch., Gardenia ternifolia Schumach. &amp; Thonn., Gmelina arborea Roxb. [cult.], Grewia bicolor Juss., Grewia flavescens Juss., Guiera senegalensis J.F.Gmel., Holarrhena floribunda (G.Don) T.Durand &amp; Schinz, Hymenocardia acida Tul., Isoberlinia doka Craib &amp; Stapf, Khaya senegalensis (Desr.) A.Juss., Kigelia africana (Lam.) Benth., Lannea acida A.Rich., Lannea microcarpa Engl. &amp; K.Krause, Lannea velutina A.Rich., Leucaena leucocephala (Lam.) de Wit, Philenoptera laxiflora (Guill. &amp; Perr.) Roberty, Mangifera indica L. [cult.], Manilkara multinervis (Baker) Dubard, Maranthes polyandra (Benth.) Prance, Margaritaria discoidea (Baill.) G.L.Webster, Mitragyna inermis (Willd.) Kuntze, Monotes kerstingii Gilg, Opilia amentacea Roxb., Parinari curatellifolia Planch. ex Benth., Parkia biglobosa (Jacq.) R.Br. ex G.Don, Pericopsis laxiflora (Benth.) Meeuwen, Piliostigma reticulatum (DC.) Hochst., Piliostigma thonningii (Schumach.) Milne-Redh., Prosopis africana (Guill. &amp; Perr.) Taub., Pteleopsis suberosa Engl. &amp; Diels, Pterocarpus erinaceus Poir., Pterocarpus lucens Lepr. ex Guill. &amp; Perr., Sarcocephalus latifolius (Sm.) E.A.Bruce, Sclerocarya birrea (A.Rich.) Hochst., Senegalia dudgeonii (Craib ex Holland) Kyal. &amp; Boatwr., Senegalia macrostachya (Rchb. Ex DC.) Kyal. &amp; Boatwr., Senna siamea (Lam.) Irwin &amp; Barnebey, Sterculia setigera Delile, Stereospermum kunthianum Cham., Strychnos innocua Delile, Strychnos spinosa Lam., Syzygium guineense (Willd.) DC., Tamarindus indica L., Tectona grandis L.f. [cult.], Terminalia avicennioides Guill. &amp; Perr., Terminalia laxiflora Engl. &amp; Diels, Terminalia macroptera Guill. &amp; Perr., Terminalia mantaly H.Perrier [cult.], Terminalia mollis M.A.Lawson, Vachellia nilotica (L.) P.J.H.Hurter &amp; Mabb., Vitellaria paradoxa C.F.Gaertn., Vitex doniana Sweet, Vitex madiensis Oliv., Zanthoxylum zanthoxyloides (Lam.) Zepern. &amp; Timler, Ziziphus mauritiana Lam.</t>
  </si>
  <si>
    <t>Licania tomentosa, Tabebuia rosea, Pithecellobium dulce, Tabebuia chrysantha, Mangifera indica, Roystonea regia, Enterolobium ciclocarpum, Albizia saman, Brosimum alicastrum, Jacaranda caucana</t>
  </si>
  <si>
    <t>Lithocarpus dealbatus, Grevillea robusta, Acacia auriculiformis, Litsea glutinosa, Bambusa tulda, Coffea arabica</t>
  </si>
  <si>
    <t>Tree/ha</t>
  </si>
  <si>
    <t>Cover_ha</t>
  </si>
  <si>
    <t>Acacia auriculiformis, Albizia lebbeck, Araucaria heterophylla, Azadirachta indica, Bambusa vulgaris, Bauhinia purpurea, Bergera koenigii, Caryota mitis, Cassia fistula, Casuarina equisetifolia, Clusia rosea, Cocos nucifera, Cordia sebestena, Delonix regia, Ficus benjamina, Ficus racemosa, Ficus religiosa, Gliricidia sepium, Hippocratea volubilis, Kigelia Africana, Lagunaria patersonia, Leucaena leucocephala, Limonia acidissima, Madhuca longifolia, Malpighia emarginata, Mangifera indica, Manilkara zapota, Millettia pinnata, Millingtonia hortensis, Mimusops elengi, Morinda tinctoria, Morus spp., Nyctanthes arbor-tristis, Parkia biglandulosa, Paubrasilia echinata, Paulownia tomentosa, Peltophorum pterocarpum, Phoenix pusilla, Phyllanthus emblica, Polyalthia longifolia, Psidium guajava, Pterospermum acerifolium, Roystonea regia, Santalum album, Simarouba glauca, Spathodea campanulata, Sterculia foetida, Syzygium cumini, Tabebuia heterophylla, Tamarindus indica, Tecoma stans, Tectona grandis, Terminalia arjuna, Terminalia bellirica, Terminalia catappa, Thespesia populnea, Tipuana tipu</t>
  </si>
  <si>
    <t>Pseudospondia microcarpa, Musanga cecropioides, Camarium schweinfurthii, Distemonanthus binthamianus</t>
  </si>
  <si>
    <t>Rhizophora mangle, Laguncularia racemosa, Avicennia germinans, Conocarpus erectus</t>
  </si>
  <si>
    <t>Vitellaria paradoxa, Azadirachta indica, Tectona grandis, Syzygium guineense, Eucalyptus camaldulensis, Anacardium occidentale, Parkia biglobosa, Isoberlinia doka</t>
  </si>
  <si>
    <t>Gmelina arborea, Khaya anthotheca, Spathodea campanulata, Filicium decipiens, Terminalia catappa, Swietenia mahagoni, Ficus benjamina, Pinus merkusii, Theobroma cacao, Diospyros sp., Parkia speciosa</t>
  </si>
  <si>
    <t>Polyalthia longifolia, Terminalia catappa,  Thuja sp., Acacia sp., Peltophorum pterocarpum, Ficus benjamina, Ficus benghalensis, Swietenia macrophylla, Artocarpus heterophyllus, Cocos nucifera, Mangifera indica, Bougainvillea sp.</t>
  </si>
  <si>
    <t>Acacia mangium, Acronychia pedunculata, Adina pilulifera, Aporosa dioica, Gardenia jasminoides, Ardisia quinquegona, Bridelia tomentosa, Chukrasia tabularis var. velutina, Cinnamomum camphora, Cratoxylum ligustrinum, Desmos chinensis, Dimocarpus longan, Elaeocarpus apiculatus, Eucalyptus exserta, Eucalyptus urophylla, Evodia meliaefolia, Ficus variolosa, Homalium cochinchinense, Ilex asprella, Khaya senegalensis, Litsea cubeba, Lithocarpus glaber, Litsea glutinosa, Litsea rotundifolia var. oblongifolia, Microcos paniculata, Psychotria rubra, Schefflera octophylla, Schima superba, Sterculia lanceolata, Syzygium rehderianum, Tarenna mollissima, Toxicodendron succedaneum, Zanthoxylum avicennae.</t>
  </si>
  <si>
    <t>Scale_of_measurement (individual tree, patch, multi-patch)</t>
  </si>
  <si>
    <t>CODE</t>
  </si>
  <si>
    <t>208 acres</t>
  </si>
  <si>
    <t>Tropical &amp; Subtropical Dry Broadleaf Forests</t>
  </si>
  <si>
    <t>Tropical &amp; Subtropical Grasslands, Savannas &amp; Shrublands</t>
  </si>
  <si>
    <t>Tropical and subtropical grasslands, savannas, and shrublands</t>
  </si>
  <si>
    <t>Tropical &amp; Subtropical Moist Broadleaf Forests</t>
  </si>
  <si>
    <t>Tropical rainforest</t>
  </si>
  <si>
    <t>Atlantic forest</t>
  </si>
  <si>
    <t>Mangroves</t>
  </si>
  <si>
    <t>Tropical &amp; Subtropical Coniferous Forests</t>
  </si>
  <si>
    <t>Temperate Forest</t>
  </si>
  <si>
    <t>Montane Grasslands &amp; Shrublands</t>
  </si>
  <si>
    <t>Tropical forest and Savanna</t>
  </si>
  <si>
    <t>Deserts &amp; Xeric Shrublands</t>
  </si>
  <si>
    <t>Tropical mountain forest</t>
  </si>
  <si>
    <t>Hill Evergreen Forest</t>
  </si>
  <si>
    <t>Tropical forest and Mangrove</t>
  </si>
  <si>
    <t>Tropical evergreen rainforest</t>
  </si>
  <si>
    <t>Tropical forest</t>
  </si>
  <si>
    <t>Indo-Burma biodiversity hotspot</t>
  </si>
  <si>
    <t>Savanna and Gallery forest</t>
  </si>
  <si>
    <t>Amazon rainforest</t>
  </si>
  <si>
    <t>Coastal desert</t>
  </si>
  <si>
    <t>Tropical and Subtropical Moist Broadleaf Forests</t>
  </si>
  <si>
    <t>Guinea savanna</t>
  </si>
  <si>
    <t>Home garden:
    Aboveground Carbon (AGC): 71.2 t C/ha
    Belowground Carbon (BGC): 10.8 t C/ha
    Total Vegetation Carbon: 82.0 t C/ha</t>
  </si>
  <si>
    <t>Cemetery:
    Aboveground Carbon (AGC): 291.2 t C/ha
    Belowground Carbon (BGC): 38.3 t C/ha
    Total Vegetation Carbon: 329.5 t C/ha
Public park:
    Aboveground Carbon (AGC): 420.0 t C/ha
    Belowground Carbon (BGC): 54.7 t C/ha
    Total Vegetation Carbon: 474.7 t C/ha
Institutional compound:
    Aboveground Carbon (AGC): 228.5 t C/ha
    Belowground Carbon (BGC): 31.6 t C/ha
    Total Vegetation Carbon: 260.1 t C/ha</t>
  </si>
  <si>
    <t>Cemetery: Estimated Total Biomass: 695.15 t/ha
Public park: Estimated Total Biomass: 1001.48 t/ha
Institutional compound: Estimated Total Biomass: 548.73 t/ha</t>
  </si>
  <si>
    <t>Home garden: Estimated Total Biomass: 172.99 t/ha</t>
  </si>
  <si>
    <t>Continent</t>
  </si>
  <si>
    <t>South America</t>
  </si>
  <si>
    <t>Africa</t>
  </si>
  <si>
    <t>Asia</t>
  </si>
  <si>
    <t>North America</t>
  </si>
  <si>
    <t>Densi_pop(hab/km2)</t>
  </si>
  <si>
    <t>Population(hab)</t>
  </si>
  <si>
    <t>Subang Jaya</t>
  </si>
  <si>
    <t>Dry-summer Tropical Savanna (As)</t>
  </si>
  <si>
    <t>Dry-winter Humid Subtropical (Cwa)</t>
  </si>
  <si>
    <t>Dry-winter Subtropical Highland (Cwb)</t>
  </si>
  <si>
    <t>Dry-winter Tropical Savanna (Aw)</t>
  </si>
  <si>
    <t>Hot Arid Desert (Bwh)</t>
  </si>
  <si>
    <t>Hot Semiarid (BSh)</t>
  </si>
  <si>
    <t>Oceanic Subtropical Highland (Cfb)</t>
  </si>
  <si>
    <t>Tropical Monsoon (Am)</t>
  </si>
  <si>
    <t>Tropical Rainforest (Af)</t>
  </si>
  <si>
    <t>Warm-summer Mediterranean (Csb)</t>
  </si>
  <si>
    <t>Total carbon stock (Gg C):
Crop-plantation associations (CP):
425 (2018) = 523
98 (2018)</t>
  </si>
  <si>
    <t>Total carbon stock (Gg C):
Forests (FO):
AGB: 138 (2018)
BGB: 33(2018)
Tree plantations (PL):
1414 (2018) = 1752
338 (2018)
Adult palm groves (PA):
1204 (2018) = 1491
287 (2018)</t>
  </si>
  <si>
    <t>biomass mean (Mg C ha−1, mean ± standard deviation): (2019)
Crop-plantation associations (CP): AGB:39 ± 0.87; BGB:9 ± 0.20 = 48</t>
  </si>
  <si>
    <t>biomass mean (Mg C ha−1, mean±standard deviation): (2019)
Forests (FO): AGB:225 ± 43.53; BGB:54± 11
Tree plantations (PL): AGB:113 ± 26.71;	BGB:27 ± 6.41 =  140
Adult palm groves (PA): AGB:63 ± 4.43; BGB:15 ± 1.06 = 78</t>
  </si>
  <si>
    <t>Periurban</t>
  </si>
  <si>
    <t>Rural</t>
  </si>
  <si>
    <t>Urban</t>
  </si>
  <si>
    <t>Urban-Periurban</t>
  </si>
  <si>
    <t>Urban-Rural</t>
  </si>
  <si>
    <t>Build-up</t>
  </si>
  <si>
    <t>Croplands</t>
  </si>
  <si>
    <t>Estuary</t>
  </si>
  <si>
    <t>Forest</t>
  </si>
  <si>
    <t>Gardens</t>
  </si>
  <si>
    <t>Parks</t>
  </si>
  <si>
    <t>Urban green spaces (UGS)</t>
  </si>
  <si>
    <t>https://doi.org/10.1016/j.forpol.2012.07.009</t>
  </si>
  <si>
    <t>https://doi.org/10.1142/S2345748120500219</t>
  </si>
  <si>
    <t>https://doi.org/10.1016/j.uclim.2017.08.007</t>
  </si>
  <si>
    <t>https://doi.org/10.1016/j.ufug.2019.126387</t>
  </si>
  <si>
    <t>https://doi.org/10.1007/s10668-019-00556-5</t>
  </si>
  <si>
    <t>doi:10.5194/acp-13-10185-2013</t>
  </si>
  <si>
    <t>https://doi.org/10.1007/s11252-020-00994-4</t>
  </si>
  <si>
    <t>https://doi.org/10.1080/17583004.2020.1790243</t>
  </si>
  <si>
    <t>https://doi.org/10.1016/j.proeng.2017.07.074</t>
  </si>
  <si>
    <t>https://doi.org/10.1016/j.proenv.2016.03.081</t>
  </si>
  <si>
    <t>City_size</t>
  </si>
  <si>
    <t>Agriculture</t>
  </si>
  <si>
    <t>All green areas</t>
  </si>
  <si>
    <t>Adj. green</t>
  </si>
  <si>
    <t>All urban vegetation</t>
  </si>
  <si>
    <t>Herbaceous</t>
  </si>
  <si>
    <t>Trees</t>
  </si>
  <si>
    <t>Turf</t>
  </si>
  <si>
    <t>Aboveground</t>
  </si>
  <si>
    <t>Aboveground and belowground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</si>
</sst>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color rgb="FF000000"/>
      <name val="Verdana"/>
      <family val="2"/>
    </font>
    <font>
      <sz val="11"/>
      <name val="Calibri"/>
      <family val="2"/>
      <scheme val="minor"/>
    </font>
    <font>
      <sz val="12"/>
      <color rgb="FF282828"/>
      <name val="Arial"/>
      <family val="2"/>
    </font>
    <font>
      <i/>
      <sz val="12"/>
      <color rgb="FF282828"/>
      <name val="Arial"/>
      <family val="2"/>
    </font>
    <font>
      <sz val="11"/>
      <color rgb="FFE2E2E5"/>
      <name val="Arial"/>
      <family val="2"/>
    </font>
    <font>
      <i/>
      <sz val="11"/>
      <color rgb="FFE2E2E5"/>
      <name val="Arial"/>
      <family val="2"/>
    </font>
    <font>
      <b/>
      <sz val="11"/>
      <color rgb="FF000000"/>
      <name val="Calibri"/>
      <family val="2"/>
      <scheme val="minor"/>
    </font>
    <font>
      <sz val="11"/>
      <color rgb="FFFF0000"/>
      <name val="Calibri"/>
      <family val="2"/>
      <scheme val="minor"/>
    </font>
    <font>
      <sz val="11"/>
      <color rgb="FF00B0F0"/>
      <name val="Calibri"/>
      <family val="2"/>
      <scheme val="minor"/>
    </font>
    <font>
      <sz val="11"/>
      <color theme="6"/>
      <name val="Calibri"/>
      <family val="2"/>
      <scheme val="minor"/>
    </font>
    <font>
      <sz val="8"/>
      <name val="Calibri"/>
      <family val="2"/>
      <scheme val="minor"/>
    </font>
    <font>
      <i/>
      <sz val="12"/>
      <color rgb="FFFF0000"/>
      <name val="Arial"/>
      <family val="2"/>
    </font>
    <font>
      <sz val="12"/>
      <color rgb="FFFF0000"/>
      <name val="Arial"/>
      <family val="2"/>
    </font>
    <font>
      <b/>
      <sz val="11"/>
      <color rgb="FFFF0000"/>
      <name val="Calibri"/>
      <family val="2"/>
      <scheme val="minor"/>
    </font>
    <font>
      <b/>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9">
    <xf numFmtId="0" fontId="0" fillId="0" borderId="0" xfId="0"/>
    <xf numFmtId="0" fontId="3" fillId="0" borderId="0" xfId="0" applyFont="1"/>
    <xf numFmtId="0" fontId="3" fillId="0" borderId="0" xfId="0" applyFont="1" applyFill="1"/>
    <xf numFmtId="0" fontId="0" fillId="0" borderId="0" xfId="0" applyFill="1"/>
    <xf numFmtId="0" fontId="5" fillId="0" borderId="0" xfId="0" applyFont="1" applyFill="1"/>
    <xf numFmtId="3" fontId="0" fillId="0" borderId="0" xfId="0" applyNumberFormat="1" applyFill="1"/>
    <xf numFmtId="0" fontId="4" fillId="0" borderId="0" xfId="0" applyFont="1" applyFill="1"/>
    <xf numFmtId="0" fontId="0" fillId="0" borderId="0" xfId="0" applyFill="1" applyAlignment="1"/>
    <xf numFmtId="0" fontId="0" fillId="0" borderId="0" xfId="0" applyAlignment="1"/>
    <xf numFmtId="0" fontId="0" fillId="0" borderId="0" xfId="0" applyAlignment="1">
      <alignment horizontal="center"/>
    </xf>
    <xf numFmtId="0" fontId="0" fillId="0" borderId="0" xfId="0" applyFill="1" applyBorder="1" applyAlignment="1"/>
    <xf numFmtId="3" fontId="0" fillId="0" borderId="0" xfId="0" applyNumberFormat="1"/>
    <xf numFmtId="0" fontId="11" fillId="0" borderId="0" xfId="0" applyFont="1" applyFill="1"/>
    <xf numFmtId="0" fontId="11" fillId="0" borderId="0" xfId="0" applyFont="1" applyFill="1" applyAlignment="1"/>
    <xf numFmtId="0" fontId="11" fillId="0" borderId="0" xfId="0" applyFont="1" applyAlignment="1"/>
    <xf numFmtId="0" fontId="0" fillId="2" borderId="0" xfId="0" applyFill="1"/>
    <xf numFmtId="0" fontId="0" fillId="2" borderId="0" xfId="0" applyFill="1" applyAlignment="1"/>
    <xf numFmtId="0" fontId="12" fillId="0" borderId="0" xfId="0" applyFont="1" applyAlignment="1"/>
    <xf numFmtId="0" fontId="12" fillId="0" borderId="0" xfId="0" applyFont="1" applyFill="1"/>
    <xf numFmtId="0" fontId="5" fillId="0" borderId="0" xfId="0" applyFont="1"/>
    <xf numFmtId="0" fontId="2" fillId="0" borderId="0" xfId="0" applyFont="1" applyFill="1"/>
    <xf numFmtId="0" fontId="2" fillId="0" borderId="0" xfId="0" applyFont="1"/>
    <xf numFmtId="0" fontId="2" fillId="0" borderId="0" xfId="0" applyFont="1" applyAlignment="1"/>
    <xf numFmtId="0" fontId="13" fillId="0" borderId="0" xfId="0" applyFont="1" applyAlignment="1"/>
    <xf numFmtId="0" fontId="13" fillId="0" borderId="0" xfId="0" applyFont="1" applyFill="1" applyAlignment="1"/>
    <xf numFmtId="0" fontId="13" fillId="0" borderId="0" xfId="0" applyFont="1"/>
    <xf numFmtId="0" fontId="0" fillId="0" borderId="0" xfId="0" applyAlignment="1">
      <alignment wrapText="1"/>
    </xf>
    <xf numFmtId="17" fontId="0" fillId="0" borderId="0" xfId="0" applyNumberFormat="1" applyFill="1"/>
    <xf numFmtId="0" fontId="0" fillId="0" borderId="0" xfId="0" applyFont="1"/>
    <xf numFmtId="0" fontId="0" fillId="0" borderId="0" xfId="0" applyFont="1" applyFill="1"/>
    <xf numFmtId="0" fontId="5" fillId="0" borderId="0" xfId="0" applyFont="1" applyAlignment="1"/>
    <xf numFmtId="0" fontId="0" fillId="3" borderId="0" xfId="0" applyFill="1" applyAlignment="1"/>
    <xf numFmtId="0" fontId="0" fillId="3" borderId="0" xfId="0" applyFill="1"/>
    <xf numFmtId="0" fontId="5" fillId="0" borderId="0" xfId="0" applyFont="1" applyFill="1" applyAlignment="1"/>
    <xf numFmtId="0" fontId="5" fillId="3" borderId="0" xfId="0" applyFont="1" applyFill="1"/>
    <xf numFmtId="0" fontId="5" fillId="3" borderId="0" xfId="0" applyFont="1" applyFill="1" applyAlignment="1"/>
    <xf numFmtId="0" fontId="0" fillId="0" borderId="0" xfId="0" applyFont="1" applyFill="1" applyAlignment="1"/>
    <xf numFmtId="0" fontId="11" fillId="0" borderId="0" xfId="0" applyFont="1"/>
    <xf numFmtId="0" fontId="11" fillId="2" borderId="0" xfId="0" applyFont="1" applyFill="1" applyAlignment="1"/>
    <xf numFmtId="0" fontId="0" fillId="4" borderId="0" xfId="0" applyFill="1"/>
    <xf numFmtId="0" fontId="0" fillId="4" borderId="0" xfId="0" applyFill="1" applyAlignment="1"/>
    <xf numFmtId="0" fontId="5" fillId="4" borderId="0" xfId="0" applyFont="1" applyFill="1"/>
    <xf numFmtId="0" fontId="5" fillId="4" borderId="0" xfId="0" applyFont="1" applyFill="1" applyAlignment="1"/>
    <xf numFmtId="0" fontId="0" fillId="0" borderId="0" xfId="0" applyAlignment="1">
      <alignment horizontal="left"/>
    </xf>
    <xf numFmtId="0" fontId="11" fillId="0" borderId="0" xfId="0" applyFont="1" applyAlignment="1">
      <alignment horizontal="center"/>
    </xf>
    <xf numFmtId="0" fontId="11" fillId="0" borderId="0" xfId="0" applyFont="1" applyAlignment="1">
      <alignment horizontal="left"/>
    </xf>
    <xf numFmtId="0" fontId="0" fillId="0" borderId="0" xfId="0" applyFill="1" applyAlignment="1">
      <alignment wrapText="1"/>
    </xf>
    <xf numFmtId="0" fontId="17" fillId="0" borderId="0" xfId="0" applyFont="1" applyFill="1"/>
    <xf numFmtId="0" fontId="5" fillId="0" borderId="0" xfId="0" applyFont="1" applyAlignment="1">
      <alignment horizontal="center"/>
    </xf>
    <xf numFmtId="3" fontId="0" fillId="0" borderId="0" xfId="0" applyNumberFormat="1" applyAlignment="1"/>
    <xf numFmtId="0" fontId="5" fillId="0" borderId="0" xfId="0" applyNumberFormat="1" applyFont="1" applyFill="1"/>
    <xf numFmtId="0" fontId="18" fillId="0" borderId="0" xfId="0" applyFont="1" applyFill="1"/>
    <xf numFmtId="0" fontId="5" fillId="2" borderId="0" xfId="0" applyFont="1" applyFill="1" applyAlignment="1"/>
    <xf numFmtId="0" fontId="0" fillId="2" borderId="0" xfId="0" applyFill="1" applyAlignment="1">
      <alignment wrapText="1"/>
    </xf>
    <xf numFmtId="3" fontId="5" fillId="0" borderId="0" xfId="0" applyNumberFormat="1" applyFont="1" applyFill="1" applyAlignment="1"/>
    <xf numFmtId="0" fontId="5" fillId="2" borderId="0" xfId="0" applyFont="1" applyFill="1"/>
    <xf numFmtId="4" fontId="0" fillId="0" borderId="0" xfId="0" applyNumberFormat="1"/>
    <xf numFmtId="3" fontId="0" fillId="2" borderId="0" xfId="0" applyNumberFormat="1"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geohack.toolforge.org/geohack.php?pagename=Lake_Illawarra,_New_South_Wales&amp;params=34_32_30_S_150_51_30_E_type:city_region:AU-NSW" TargetMode="External"/><Relationship Id="rId3" Type="http://schemas.openxmlformats.org/officeDocument/2006/relationships/hyperlink" Target="https://www.sciencedirect.com/author/57219425459/erik-velasco" TargetMode="External"/><Relationship Id="rId7" Type="http://schemas.openxmlformats.org/officeDocument/2006/relationships/hyperlink" Target="https://pt.wikipedia.org/wiki/Bogot%C3%A1" TargetMode="External"/><Relationship Id="rId2" Type="http://schemas.openxmlformats.org/officeDocument/2006/relationships/hyperlink" Target="https://geohack.toolforge.org/geohack.php?pagename=Macajalar_Bay&amp;params=8_35_25.08_N_124_39_12.96_E_region:PH_type:waterbody_source:GNS-enwiki" TargetMode="External"/><Relationship Id="rId1" Type="http://schemas.openxmlformats.org/officeDocument/2006/relationships/hyperlink" Target="https://geohack.toolforge.org/geohack.php?pagename=Taiwan&amp;params=25_04_N_121_31_E_type:city_region:TW" TargetMode="External"/><Relationship Id="rId6" Type="http://schemas.openxmlformats.org/officeDocument/2006/relationships/hyperlink" Target="https://pt.wikipedia.org/wiki/Bogot%C3%A1" TargetMode="External"/><Relationship Id="rId5" Type="http://schemas.openxmlformats.org/officeDocument/2006/relationships/hyperlink" Target="https://geohack.toolforge.org/geohack.php?pagename=Ho_Chi_Minh_City&amp;params=10_46_32_N_106_42_07_E_region:VN_type:city" TargetMode="External"/><Relationship Id="rId10" Type="http://schemas.openxmlformats.org/officeDocument/2006/relationships/printerSettings" Target="../printerSettings/printerSettings1.bin"/><Relationship Id="rId4" Type="http://schemas.openxmlformats.org/officeDocument/2006/relationships/hyperlink" Target="https://geohack.toolforge.org/geohack.php?pagename=Ho_Chi_Minh_City&amp;params=10_46_32_N_106_42_07_E_region:VN_type:city" TargetMode="External"/><Relationship Id="rId9" Type="http://schemas.openxmlformats.org/officeDocument/2006/relationships/hyperlink" Target="https://pt.wikipedia.org/wiki/Lim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author/57219425459/erik-velasc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iencedirect.com/author/57219425459/erik-velasco"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iencedirect.com/author/57219425459/erik-velasco"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iencedirect.com/author/57219425459/erik-velasco"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ciencedirect.com/author/57219425459/erik-velasco"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iencedirect.com/author/57219425459/erik-velasc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iencedirect.com/author/57219425459/erik-velasco"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geohack.toolforge.org/geohack.php?pagename=Lake_Illawarra,_New_South_Wales&amp;params=34_32_30_S_150_51_30_E_type:city_region:AU-NSW" TargetMode="External"/><Relationship Id="rId1" Type="http://schemas.openxmlformats.org/officeDocument/2006/relationships/hyperlink" Target="https://geohack.toolforge.org/geohack.php?pagename=Taiwan&amp;params=25_04_N_121_31_E_type:city_region: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63"/>
  <sheetViews>
    <sheetView workbookViewId="0">
      <selection activeCell="C165" sqref="C165"/>
    </sheetView>
  </sheetViews>
  <sheetFormatPr defaultColWidth="11.453125" defaultRowHeight="14.5" x14ac:dyDescent="0.35"/>
  <cols>
    <col min="4" max="4" width="11.453125" style="3"/>
  </cols>
  <sheetData>
    <row r="1" spans="1:9" x14ac:dyDescent="0.35">
      <c r="A1" t="s">
        <v>0</v>
      </c>
      <c r="B1" t="s">
        <v>1</v>
      </c>
      <c r="C1" t="s">
        <v>2</v>
      </c>
      <c r="D1" s="3" t="s">
        <v>3</v>
      </c>
      <c r="E1" t="s">
        <v>4</v>
      </c>
      <c r="F1" t="s">
        <v>5</v>
      </c>
      <c r="G1" t="s">
        <v>6</v>
      </c>
      <c r="H1" t="s">
        <v>7</v>
      </c>
      <c r="I1" t="s">
        <v>8</v>
      </c>
    </row>
    <row r="2" spans="1:9" hidden="1" x14ac:dyDescent="0.35">
      <c r="A2" t="s">
        <v>9</v>
      </c>
      <c r="B2" t="s">
        <v>10</v>
      </c>
      <c r="C2" t="s">
        <v>11</v>
      </c>
      <c r="D2" s="3" t="s">
        <v>12</v>
      </c>
      <c r="E2" t="s">
        <v>13</v>
      </c>
      <c r="F2">
        <v>2011</v>
      </c>
      <c r="G2" t="s">
        <v>14</v>
      </c>
      <c r="H2" t="s">
        <v>15</v>
      </c>
      <c r="I2" t="s">
        <v>16</v>
      </c>
    </row>
    <row r="3" spans="1:9" hidden="1" x14ac:dyDescent="0.35">
      <c r="A3" t="s">
        <v>9</v>
      </c>
      <c r="B3" t="s">
        <v>10</v>
      </c>
      <c r="C3" t="s">
        <v>17</v>
      </c>
      <c r="D3" s="3" t="s">
        <v>18</v>
      </c>
      <c r="E3" t="s">
        <v>19</v>
      </c>
      <c r="F3">
        <v>2022</v>
      </c>
      <c r="G3" t="s">
        <v>14</v>
      </c>
      <c r="H3" t="s">
        <v>20</v>
      </c>
      <c r="I3" t="s">
        <v>21</v>
      </c>
    </row>
    <row r="4" spans="1:9" hidden="1" x14ac:dyDescent="0.35">
      <c r="A4" t="s">
        <v>9</v>
      </c>
      <c r="B4" t="s">
        <v>10</v>
      </c>
      <c r="C4" t="s">
        <v>22</v>
      </c>
      <c r="D4" s="3" t="s">
        <v>23</v>
      </c>
      <c r="E4" t="s">
        <v>24</v>
      </c>
      <c r="F4">
        <v>2024</v>
      </c>
      <c r="G4" t="s">
        <v>14</v>
      </c>
      <c r="H4" t="s">
        <v>25</v>
      </c>
      <c r="I4" t="s">
        <v>26</v>
      </c>
    </row>
    <row r="5" spans="1:9" hidden="1" x14ac:dyDescent="0.35">
      <c r="A5" t="s">
        <v>9</v>
      </c>
      <c r="B5" t="s">
        <v>10</v>
      </c>
      <c r="C5" t="s">
        <v>27</v>
      </c>
      <c r="D5" s="3" t="s">
        <v>28</v>
      </c>
      <c r="E5" t="s">
        <v>29</v>
      </c>
      <c r="F5">
        <v>2019</v>
      </c>
      <c r="G5" t="s">
        <v>14</v>
      </c>
      <c r="H5" t="s">
        <v>30</v>
      </c>
      <c r="I5" t="s">
        <v>31</v>
      </c>
    </row>
    <row r="6" spans="1:9" x14ac:dyDescent="0.35">
      <c r="A6" t="s">
        <v>9</v>
      </c>
      <c r="B6" t="s">
        <v>9</v>
      </c>
      <c r="C6" t="s">
        <v>32</v>
      </c>
      <c r="D6" t="s">
        <v>33</v>
      </c>
      <c r="E6" t="s">
        <v>34</v>
      </c>
      <c r="F6">
        <v>2025</v>
      </c>
      <c r="G6" t="s">
        <v>14</v>
      </c>
      <c r="H6" t="s">
        <v>35</v>
      </c>
      <c r="I6" t="s">
        <v>36</v>
      </c>
    </row>
    <row r="7" spans="1:9" x14ac:dyDescent="0.35">
      <c r="A7" t="s">
        <v>9</v>
      </c>
      <c r="B7" t="s">
        <v>9</v>
      </c>
      <c r="C7" t="s">
        <v>37</v>
      </c>
      <c r="D7" t="s">
        <v>38</v>
      </c>
      <c r="E7" t="s">
        <v>39</v>
      </c>
      <c r="F7">
        <v>2023</v>
      </c>
      <c r="G7" t="s">
        <v>14</v>
      </c>
      <c r="H7" t="s">
        <v>40</v>
      </c>
      <c r="I7" t="s">
        <v>41</v>
      </c>
    </row>
    <row r="8" spans="1:9" x14ac:dyDescent="0.35">
      <c r="A8" t="s">
        <v>9</v>
      </c>
      <c r="B8" t="s">
        <v>9</v>
      </c>
      <c r="C8" t="s">
        <v>42</v>
      </c>
      <c r="D8" t="s">
        <v>43</v>
      </c>
      <c r="E8" t="s">
        <v>44</v>
      </c>
      <c r="F8">
        <v>2022</v>
      </c>
      <c r="G8" t="s">
        <v>14</v>
      </c>
      <c r="H8" t="s">
        <v>45</v>
      </c>
      <c r="I8" t="s">
        <v>46</v>
      </c>
    </row>
    <row r="9" spans="1:9" x14ac:dyDescent="0.35">
      <c r="A9" t="s">
        <v>9</v>
      </c>
      <c r="B9" t="s">
        <v>9</v>
      </c>
      <c r="C9" t="s">
        <v>47</v>
      </c>
      <c r="D9" t="s">
        <v>48</v>
      </c>
      <c r="E9" t="s">
        <v>49</v>
      </c>
      <c r="F9">
        <v>2012</v>
      </c>
      <c r="G9" t="s">
        <v>14</v>
      </c>
      <c r="H9" t="s">
        <v>50</v>
      </c>
      <c r="I9" t="s">
        <v>51</v>
      </c>
    </row>
    <row r="10" spans="1:9" x14ac:dyDescent="0.35">
      <c r="A10" t="s">
        <v>9</v>
      </c>
      <c r="B10" t="s">
        <v>9</v>
      </c>
      <c r="C10" t="s">
        <v>52</v>
      </c>
      <c r="D10" t="s">
        <v>53</v>
      </c>
      <c r="E10" t="s">
        <v>54</v>
      </c>
      <c r="F10">
        <v>2016</v>
      </c>
      <c r="G10" t="s">
        <v>14</v>
      </c>
      <c r="H10" t="s">
        <v>55</v>
      </c>
      <c r="I10" t="s">
        <v>56</v>
      </c>
    </row>
    <row r="11" spans="1:9" x14ac:dyDescent="0.35">
      <c r="A11" t="s">
        <v>9</v>
      </c>
      <c r="B11" t="s">
        <v>9</v>
      </c>
      <c r="C11" t="s">
        <v>57</v>
      </c>
      <c r="D11" t="s">
        <v>58</v>
      </c>
      <c r="E11" t="s">
        <v>59</v>
      </c>
      <c r="F11">
        <v>2024</v>
      </c>
      <c r="G11" t="s">
        <v>14</v>
      </c>
      <c r="H11" t="s">
        <v>60</v>
      </c>
      <c r="I11" t="s">
        <v>61</v>
      </c>
    </row>
    <row r="12" spans="1:9" x14ac:dyDescent="0.35">
      <c r="A12" t="s">
        <v>9</v>
      </c>
      <c r="B12" t="s">
        <v>9</v>
      </c>
      <c r="C12" t="s">
        <v>62</v>
      </c>
      <c r="D12" t="s">
        <v>63</v>
      </c>
      <c r="E12" t="s">
        <v>64</v>
      </c>
      <c r="F12">
        <v>2023</v>
      </c>
      <c r="G12" t="s">
        <v>14</v>
      </c>
      <c r="H12" t="s">
        <v>65</v>
      </c>
      <c r="I12" t="s">
        <v>66</v>
      </c>
    </row>
    <row r="13" spans="1:9" x14ac:dyDescent="0.35">
      <c r="A13" t="s">
        <v>9</v>
      </c>
      <c r="B13" t="s">
        <v>9</v>
      </c>
      <c r="C13" t="s">
        <v>67</v>
      </c>
      <c r="D13" t="s">
        <v>68</v>
      </c>
      <c r="E13" t="s">
        <v>69</v>
      </c>
      <c r="F13">
        <v>2024</v>
      </c>
      <c r="G13" t="s">
        <v>14</v>
      </c>
      <c r="H13" t="s">
        <v>70</v>
      </c>
      <c r="I13" t="s">
        <v>71</v>
      </c>
    </row>
    <row r="14" spans="1:9" x14ac:dyDescent="0.35">
      <c r="A14" t="s">
        <v>9</v>
      </c>
      <c r="B14" t="s">
        <v>9</v>
      </c>
      <c r="C14" t="s">
        <v>2358</v>
      </c>
      <c r="D14" t="s">
        <v>72</v>
      </c>
      <c r="G14" t="s">
        <v>73</v>
      </c>
    </row>
    <row r="15" spans="1:9" hidden="1" x14ac:dyDescent="0.35">
      <c r="A15" t="s">
        <v>10</v>
      </c>
      <c r="B15" t="s">
        <v>10</v>
      </c>
      <c r="D15" s="3" t="s">
        <v>74</v>
      </c>
      <c r="F15">
        <v>2010</v>
      </c>
      <c r="G15" t="s">
        <v>75</v>
      </c>
    </row>
    <row r="16" spans="1:9" hidden="1" x14ac:dyDescent="0.35">
      <c r="A16" t="s">
        <v>9</v>
      </c>
      <c r="B16" t="s">
        <v>10</v>
      </c>
      <c r="D16" s="3" t="s">
        <v>76</v>
      </c>
      <c r="E16" t="s">
        <v>77</v>
      </c>
      <c r="F16">
        <v>2011</v>
      </c>
      <c r="G16" t="s">
        <v>78</v>
      </c>
      <c r="H16" t="s">
        <v>79</v>
      </c>
      <c r="I16" t="s">
        <v>80</v>
      </c>
    </row>
    <row r="17" spans="1:9" x14ac:dyDescent="0.35">
      <c r="A17" t="s">
        <v>9</v>
      </c>
      <c r="B17" t="s">
        <v>9</v>
      </c>
      <c r="C17" t="s">
        <v>81</v>
      </c>
      <c r="D17" t="s">
        <v>82</v>
      </c>
      <c r="E17" t="s">
        <v>83</v>
      </c>
      <c r="F17">
        <v>2024</v>
      </c>
      <c r="G17" t="s">
        <v>14</v>
      </c>
      <c r="H17" t="s">
        <v>84</v>
      </c>
      <c r="I17" t="s">
        <v>85</v>
      </c>
    </row>
    <row r="18" spans="1:9" hidden="1" x14ac:dyDescent="0.35">
      <c r="A18" t="s">
        <v>9</v>
      </c>
      <c r="B18" t="s">
        <v>10</v>
      </c>
      <c r="C18" t="s">
        <v>86</v>
      </c>
      <c r="D18" s="3" t="s">
        <v>87</v>
      </c>
      <c r="E18" t="s">
        <v>88</v>
      </c>
      <c r="F18">
        <v>2022</v>
      </c>
      <c r="G18" t="s">
        <v>14</v>
      </c>
      <c r="H18" t="s">
        <v>89</v>
      </c>
      <c r="I18" t="s">
        <v>90</v>
      </c>
    </row>
    <row r="19" spans="1:9" hidden="1" x14ac:dyDescent="0.35">
      <c r="A19" t="s">
        <v>10</v>
      </c>
      <c r="B19" t="s">
        <v>10</v>
      </c>
      <c r="D19" s="3" t="s">
        <v>91</v>
      </c>
      <c r="F19">
        <v>2019</v>
      </c>
      <c r="G19" t="s">
        <v>75</v>
      </c>
    </row>
    <row r="20" spans="1:9" x14ac:dyDescent="0.35">
      <c r="A20" t="s">
        <v>9</v>
      </c>
      <c r="B20" t="s">
        <v>9</v>
      </c>
      <c r="C20" t="s">
        <v>2359</v>
      </c>
      <c r="D20" t="s">
        <v>92</v>
      </c>
      <c r="F20">
        <v>2020</v>
      </c>
      <c r="G20" t="s">
        <v>75</v>
      </c>
    </row>
    <row r="21" spans="1:9" x14ac:dyDescent="0.35">
      <c r="A21" t="s">
        <v>9</v>
      </c>
      <c r="B21" t="s">
        <v>9</v>
      </c>
      <c r="C21" t="s">
        <v>93</v>
      </c>
      <c r="D21" t="s">
        <v>94</v>
      </c>
      <c r="E21" t="s">
        <v>95</v>
      </c>
      <c r="F21">
        <v>2022</v>
      </c>
      <c r="G21" t="s">
        <v>14</v>
      </c>
      <c r="H21" t="s">
        <v>96</v>
      </c>
      <c r="I21" t="s">
        <v>97</v>
      </c>
    </row>
    <row r="22" spans="1:9" x14ac:dyDescent="0.35">
      <c r="A22" t="s">
        <v>9</v>
      </c>
      <c r="B22" t="s">
        <v>9</v>
      </c>
      <c r="C22" t="s">
        <v>2360</v>
      </c>
      <c r="D22" t="s">
        <v>98</v>
      </c>
      <c r="F22">
        <v>2018</v>
      </c>
      <c r="G22" t="s">
        <v>75</v>
      </c>
    </row>
    <row r="23" spans="1:9" hidden="1" x14ac:dyDescent="0.35">
      <c r="A23" t="s">
        <v>9</v>
      </c>
      <c r="B23" t="s">
        <v>10</v>
      </c>
      <c r="C23" t="s">
        <v>99</v>
      </c>
      <c r="D23" s="3" t="s">
        <v>100</v>
      </c>
      <c r="E23" t="s">
        <v>101</v>
      </c>
      <c r="F23">
        <v>2019</v>
      </c>
      <c r="G23" t="s">
        <v>14</v>
      </c>
      <c r="H23" t="s">
        <v>102</v>
      </c>
      <c r="I23" t="s">
        <v>103</v>
      </c>
    </row>
    <row r="24" spans="1:9" hidden="1" x14ac:dyDescent="0.35">
      <c r="A24" t="s">
        <v>9</v>
      </c>
      <c r="B24" t="s">
        <v>10</v>
      </c>
      <c r="C24" t="s">
        <v>104</v>
      </c>
      <c r="D24" s="3" t="s">
        <v>105</v>
      </c>
      <c r="E24" t="s">
        <v>106</v>
      </c>
      <c r="F24">
        <v>2013</v>
      </c>
      <c r="G24" t="s">
        <v>14</v>
      </c>
      <c r="H24" t="s">
        <v>107</v>
      </c>
      <c r="I24" t="s">
        <v>108</v>
      </c>
    </row>
    <row r="25" spans="1:9" hidden="1" x14ac:dyDescent="0.35">
      <c r="A25" t="s">
        <v>10</v>
      </c>
      <c r="B25" t="s">
        <v>10</v>
      </c>
      <c r="D25" s="3" t="s">
        <v>109</v>
      </c>
      <c r="F25">
        <v>2018</v>
      </c>
      <c r="G25" t="s">
        <v>75</v>
      </c>
    </row>
    <row r="26" spans="1:9" x14ac:dyDescent="0.35">
      <c r="A26" t="s">
        <v>9</v>
      </c>
      <c r="B26" t="s">
        <v>9</v>
      </c>
      <c r="C26" t="s">
        <v>110</v>
      </c>
      <c r="D26" t="s">
        <v>111</v>
      </c>
      <c r="E26" t="s">
        <v>112</v>
      </c>
      <c r="F26">
        <v>2018</v>
      </c>
      <c r="G26" t="s">
        <v>78</v>
      </c>
      <c r="H26" t="s">
        <v>113</v>
      </c>
      <c r="I26" t="s">
        <v>114</v>
      </c>
    </row>
    <row r="27" spans="1:9" hidden="1" x14ac:dyDescent="0.35">
      <c r="A27" t="s">
        <v>9</v>
      </c>
      <c r="B27" t="s">
        <v>10</v>
      </c>
      <c r="C27" t="s">
        <v>115</v>
      </c>
      <c r="D27" s="3" t="s">
        <v>116</v>
      </c>
      <c r="E27" t="s">
        <v>117</v>
      </c>
      <c r="F27">
        <v>2013</v>
      </c>
      <c r="G27" t="s">
        <v>14</v>
      </c>
      <c r="H27" t="s">
        <v>118</v>
      </c>
      <c r="I27" t="s">
        <v>119</v>
      </c>
    </row>
    <row r="28" spans="1:9" x14ac:dyDescent="0.35">
      <c r="A28" t="s">
        <v>9</v>
      </c>
      <c r="B28" t="s">
        <v>9</v>
      </c>
      <c r="C28" t="s">
        <v>120</v>
      </c>
      <c r="D28" t="s">
        <v>121</v>
      </c>
      <c r="E28" t="s">
        <v>122</v>
      </c>
      <c r="F28">
        <v>2025</v>
      </c>
      <c r="G28" t="s">
        <v>14</v>
      </c>
      <c r="H28" t="s">
        <v>123</v>
      </c>
      <c r="I28" t="s">
        <v>124</v>
      </c>
    </row>
    <row r="29" spans="1:9" x14ac:dyDescent="0.35">
      <c r="A29" t="s">
        <v>9</v>
      </c>
      <c r="B29" t="s">
        <v>9</v>
      </c>
      <c r="C29" t="s">
        <v>125</v>
      </c>
      <c r="D29" t="s">
        <v>126</v>
      </c>
      <c r="E29" t="s">
        <v>127</v>
      </c>
      <c r="F29">
        <v>2023</v>
      </c>
      <c r="G29" t="s">
        <v>14</v>
      </c>
      <c r="H29" t="s">
        <v>128</v>
      </c>
      <c r="I29" t="s">
        <v>129</v>
      </c>
    </row>
    <row r="30" spans="1:9" x14ac:dyDescent="0.35">
      <c r="A30" t="s">
        <v>9</v>
      </c>
      <c r="B30" t="s">
        <v>9</v>
      </c>
      <c r="C30" t="s">
        <v>130</v>
      </c>
      <c r="D30" t="s">
        <v>131</v>
      </c>
      <c r="E30" t="s">
        <v>132</v>
      </c>
      <c r="F30">
        <v>2021</v>
      </c>
      <c r="G30" t="s">
        <v>14</v>
      </c>
      <c r="H30" t="s">
        <v>133</v>
      </c>
      <c r="I30" t="s">
        <v>134</v>
      </c>
    </row>
    <row r="31" spans="1:9" x14ac:dyDescent="0.35">
      <c r="A31" t="s">
        <v>9</v>
      </c>
      <c r="B31" t="s">
        <v>9</v>
      </c>
      <c r="C31" t="s">
        <v>135</v>
      </c>
      <c r="D31" t="s">
        <v>136</v>
      </c>
      <c r="E31" t="s">
        <v>137</v>
      </c>
      <c r="F31">
        <v>2024</v>
      </c>
      <c r="G31" t="s">
        <v>14</v>
      </c>
      <c r="H31" t="s">
        <v>138</v>
      </c>
      <c r="I31" t="s">
        <v>139</v>
      </c>
    </row>
    <row r="32" spans="1:9" hidden="1" x14ac:dyDescent="0.35">
      <c r="A32" t="s">
        <v>9</v>
      </c>
      <c r="B32" t="s">
        <v>10</v>
      </c>
      <c r="C32" t="s">
        <v>140</v>
      </c>
      <c r="D32" s="3" t="s">
        <v>141</v>
      </c>
      <c r="E32" t="s">
        <v>142</v>
      </c>
      <c r="F32">
        <v>2024</v>
      </c>
      <c r="G32" t="s">
        <v>14</v>
      </c>
      <c r="H32" t="s">
        <v>143</v>
      </c>
      <c r="I32" t="s">
        <v>144</v>
      </c>
    </row>
    <row r="33" spans="1:9" hidden="1" x14ac:dyDescent="0.35">
      <c r="A33" t="s">
        <v>10</v>
      </c>
      <c r="B33" t="s">
        <v>10</v>
      </c>
      <c r="D33" s="3" t="s">
        <v>145</v>
      </c>
      <c r="F33">
        <v>2010</v>
      </c>
      <c r="G33" t="s">
        <v>75</v>
      </c>
    </row>
    <row r="34" spans="1:9" hidden="1" x14ac:dyDescent="0.35">
      <c r="A34" t="s">
        <v>10</v>
      </c>
      <c r="B34" t="s">
        <v>10</v>
      </c>
      <c r="D34" s="3" t="s">
        <v>146</v>
      </c>
      <c r="F34">
        <v>2020</v>
      </c>
      <c r="G34" t="s">
        <v>75</v>
      </c>
    </row>
    <row r="35" spans="1:9" x14ac:dyDescent="0.35">
      <c r="A35" t="s">
        <v>9</v>
      </c>
      <c r="B35" t="s">
        <v>9</v>
      </c>
      <c r="C35" t="s">
        <v>147</v>
      </c>
      <c r="D35" t="s">
        <v>148</v>
      </c>
      <c r="E35" t="s">
        <v>149</v>
      </c>
      <c r="F35">
        <v>2022</v>
      </c>
      <c r="G35" t="s">
        <v>14</v>
      </c>
      <c r="H35" t="s">
        <v>150</v>
      </c>
      <c r="I35" t="s">
        <v>151</v>
      </c>
    </row>
    <row r="36" spans="1:9" x14ac:dyDescent="0.35">
      <c r="A36" t="s">
        <v>9</v>
      </c>
      <c r="B36" t="s">
        <v>9</v>
      </c>
      <c r="C36" t="s">
        <v>152</v>
      </c>
      <c r="D36" t="s">
        <v>153</v>
      </c>
      <c r="E36" t="s">
        <v>154</v>
      </c>
      <c r="F36">
        <v>2015</v>
      </c>
      <c r="G36" t="s">
        <v>14</v>
      </c>
      <c r="H36" t="s">
        <v>155</v>
      </c>
      <c r="I36" t="s">
        <v>156</v>
      </c>
    </row>
    <row r="37" spans="1:9" x14ac:dyDescent="0.35">
      <c r="A37" t="s">
        <v>9</v>
      </c>
      <c r="B37" t="s">
        <v>9</v>
      </c>
      <c r="C37" t="s">
        <v>157</v>
      </c>
      <c r="D37" t="s">
        <v>158</v>
      </c>
      <c r="E37" t="s">
        <v>159</v>
      </c>
      <c r="F37">
        <v>2020</v>
      </c>
      <c r="G37" t="s">
        <v>14</v>
      </c>
      <c r="H37" t="s">
        <v>160</v>
      </c>
      <c r="I37" t="s">
        <v>161</v>
      </c>
    </row>
    <row r="38" spans="1:9" x14ac:dyDescent="0.35">
      <c r="A38" t="s">
        <v>9</v>
      </c>
      <c r="B38" t="s">
        <v>9</v>
      </c>
      <c r="C38" t="s">
        <v>162</v>
      </c>
      <c r="D38" t="s">
        <v>163</v>
      </c>
      <c r="E38" t="s">
        <v>164</v>
      </c>
      <c r="F38">
        <v>2023</v>
      </c>
      <c r="G38" t="s">
        <v>14</v>
      </c>
      <c r="H38" t="s">
        <v>165</v>
      </c>
      <c r="I38" t="s">
        <v>166</v>
      </c>
    </row>
    <row r="39" spans="1:9" x14ac:dyDescent="0.35">
      <c r="A39" t="s">
        <v>9</v>
      </c>
      <c r="B39" t="s">
        <v>9</v>
      </c>
      <c r="C39" t="s">
        <v>167</v>
      </c>
      <c r="D39" t="s">
        <v>168</v>
      </c>
      <c r="E39" t="s">
        <v>169</v>
      </c>
      <c r="F39">
        <v>2023</v>
      </c>
      <c r="G39" t="s">
        <v>14</v>
      </c>
      <c r="H39" t="s">
        <v>170</v>
      </c>
      <c r="I39" t="s">
        <v>171</v>
      </c>
    </row>
    <row r="40" spans="1:9" x14ac:dyDescent="0.35">
      <c r="A40" t="s">
        <v>9</v>
      </c>
      <c r="B40" t="s">
        <v>9</v>
      </c>
      <c r="C40" t="s">
        <v>172</v>
      </c>
      <c r="D40" t="s">
        <v>173</v>
      </c>
      <c r="E40" t="s">
        <v>174</v>
      </c>
      <c r="F40">
        <v>2024</v>
      </c>
      <c r="G40" t="s">
        <v>78</v>
      </c>
      <c r="H40" t="s">
        <v>175</v>
      </c>
      <c r="I40" t="s">
        <v>176</v>
      </c>
    </row>
    <row r="41" spans="1:9" x14ac:dyDescent="0.35">
      <c r="A41" t="s">
        <v>9</v>
      </c>
      <c r="B41" t="s">
        <v>9</v>
      </c>
      <c r="C41" t="s">
        <v>177</v>
      </c>
      <c r="D41" t="s">
        <v>178</v>
      </c>
      <c r="E41" t="s">
        <v>179</v>
      </c>
      <c r="F41">
        <v>2022</v>
      </c>
      <c r="G41" t="s">
        <v>14</v>
      </c>
      <c r="H41" t="s">
        <v>180</v>
      </c>
      <c r="I41" t="s">
        <v>181</v>
      </c>
    </row>
    <row r="42" spans="1:9" x14ac:dyDescent="0.35">
      <c r="A42" t="s">
        <v>9</v>
      </c>
      <c r="B42" t="s">
        <v>9</v>
      </c>
      <c r="C42" t="s">
        <v>763</v>
      </c>
      <c r="D42" t="s">
        <v>182</v>
      </c>
      <c r="F42">
        <v>2019</v>
      </c>
      <c r="G42" t="s">
        <v>75</v>
      </c>
    </row>
    <row r="43" spans="1:9" x14ac:dyDescent="0.35">
      <c r="A43" t="s">
        <v>9</v>
      </c>
      <c r="B43" t="s">
        <v>9</v>
      </c>
      <c r="C43" t="s">
        <v>2361</v>
      </c>
      <c r="D43" t="s">
        <v>183</v>
      </c>
      <c r="F43">
        <v>2019</v>
      </c>
      <c r="G43" t="s">
        <v>75</v>
      </c>
    </row>
    <row r="44" spans="1:9" x14ac:dyDescent="0.35">
      <c r="A44" t="s">
        <v>9</v>
      </c>
      <c r="B44" t="s">
        <v>9</v>
      </c>
      <c r="C44" t="s">
        <v>184</v>
      </c>
      <c r="D44" t="s">
        <v>185</v>
      </c>
      <c r="E44" t="s">
        <v>186</v>
      </c>
      <c r="F44">
        <v>2023</v>
      </c>
      <c r="G44" t="s">
        <v>14</v>
      </c>
      <c r="H44" t="s">
        <v>187</v>
      </c>
      <c r="I44" t="s">
        <v>188</v>
      </c>
    </row>
    <row r="45" spans="1:9" hidden="1" x14ac:dyDescent="0.35">
      <c r="A45" t="s">
        <v>9</v>
      </c>
      <c r="B45" t="s">
        <v>10</v>
      </c>
      <c r="C45" t="s">
        <v>189</v>
      </c>
      <c r="D45" s="3" t="s">
        <v>190</v>
      </c>
      <c r="E45" t="s">
        <v>191</v>
      </c>
      <c r="F45">
        <v>2015</v>
      </c>
      <c r="G45" t="s">
        <v>192</v>
      </c>
      <c r="H45" t="s">
        <v>193</v>
      </c>
    </row>
    <row r="46" spans="1:9" hidden="1" x14ac:dyDescent="0.35">
      <c r="A46" t="s">
        <v>9</v>
      </c>
      <c r="B46" t="s">
        <v>10</v>
      </c>
      <c r="C46" t="s">
        <v>194</v>
      </c>
      <c r="D46" s="3" t="s">
        <v>195</v>
      </c>
      <c r="E46" t="s">
        <v>196</v>
      </c>
      <c r="F46">
        <v>2024</v>
      </c>
      <c r="G46" t="s">
        <v>14</v>
      </c>
      <c r="H46" t="s">
        <v>197</v>
      </c>
      <c r="I46" t="s">
        <v>198</v>
      </c>
    </row>
    <row r="47" spans="1:9" x14ac:dyDescent="0.35">
      <c r="A47" t="s">
        <v>9</v>
      </c>
      <c r="B47" t="s">
        <v>9</v>
      </c>
      <c r="C47" t="s">
        <v>199</v>
      </c>
      <c r="D47" t="s">
        <v>200</v>
      </c>
      <c r="E47" t="s">
        <v>201</v>
      </c>
      <c r="F47">
        <v>2018</v>
      </c>
      <c r="G47" t="s">
        <v>78</v>
      </c>
      <c r="H47" t="s">
        <v>202</v>
      </c>
      <c r="I47" t="s">
        <v>203</v>
      </c>
    </row>
    <row r="48" spans="1:9" hidden="1" x14ac:dyDescent="0.35">
      <c r="A48" t="s">
        <v>9</v>
      </c>
      <c r="B48" t="s">
        <v>10</v>
      </c>
      <c r="C48" t="s">
        <v>204</v>
      </c>
      <c r="D48" s="3" t="s">
        <v>205</v>
      </c>
      <c r="E48" t="s">
        <v>206</v>
      </c>
      <c r="F48">
        <v>2019</v>
      </c>
      <c r="G48" t="s">
        <v>14</v>
      </c>
      <c r="H48" t="s">
        <v>207</v>
      </c>
      <c r="I48" t="s">
        <v>208</v>
      </c>
    </row>
    <row r="49" spans="1:9" x14ac:dyDescent="0.35">
      <c r="A49" t="s">
        <v>9</v>
      </c>
      <c r="B49" t="s">
        <v>9</v>
      </c>
      <c r="C49" t="s">
        <v>209</v>
      </c>
      <c r="D49" t="s">
        <v>210</v>
      </c>
      <c r="E49" t="s">
        <v>211</v>
      </c>
      <c r="F49">
        <v>2024</v>
      </c>
      <c r="G49" t="s">
        <v>14</v>
      </c>
      <c r="H49" t="s">
        <v>212</v>
      </c>
      <c r="I49" t="s">
        <v>213</v>
      </c>
    </row>
    <row r="50" spans="1:9" hidden="1" x14ac:dyDescent="0.35">
      <c r="A50" t="s">
        <v>9</v>
      </c>
      <c r="B50" t="s">
        <v>10</v>
      </c>
      <c r="C50" t="s">
        <v>214</v>
      </c>
      <c r="D50" s="3" t="s">
        <v>215</v>
      </c>
      <c r="E50" t="s">
        <v>216</v>
      </c>
      <c r="F50">
        <v>2025</v>
      </c>
      <c r="G50" t="s">
        <v>14</v>
      </c>
      <c r="H50" t="s">
        <v>217</v>
      </c>
      <c r="I50" t="s">
        <v>218</v>
      </c>
    </row>
    <row r="51" spans="1:9" hidden="1" x14ac:dyDescent="0.35">
      <c r="A51" t="s">
        <v>9</v>
      </c>
      <c r="B51" t="s">
        <v>10</v>
      </c>
      <c r="C51" t="s">
        <v>219</v>
      </c>
      <c r="D51" s="3" t="s">
        <v>220</v>
      </c>
      <c r="E51" t="s">
        <v>221</v>
      </c>
      <c r="F51">
        <v>2024</v>
      </c>
      <c r="G51" t="s">
        <v>14</v>
      </c>
      <c r="H51" t="s">
        <v>222</v>
      </c>
      <c r="I51" t="s">
        <v>223</v>
      </c>
    </row>
    <row r="52" spans="1:9" hidden="1" x14ac:dyDescent="0.35">
      <c r="A52" t="s">
        <v>9</v>
      </c>
      <c r="B52" t="s">
        <v>10</v>
      </c>
      <c r="C52" t="s">
        <v>224</v>
      </c>
      <c r="D52" s="3" t="s">
        <v>225</v>
      </c>
      <c r="E52" t="s">
        <v>226</v>
      </c>
      <c r="F52">
        <v>2019</v>
      </c>
      <c r="G52" t="s">
        <v>14</v>
      </c>
      <c r="H52" t="s">
        <v>227</v>
      </c>
      <c r="I52" t="s">
        <v>228</v>
      </c>
    </row>
    <row r="53" spans="1:9" hidden="1" x14ac:dyDescent="0.35">
      <c r="A53" t="s">
        <v>9</v>
      </c>
      <c r="B53" t="s">
        <v>10</v>
      </c>
      <c r="C53" t="s">
        <v>229</v>
      </c>
      <c r="D53" s="3" t="s">
        <v>230</v>
      </c>
      <c r="E53" t="s">
        <v>231</v>
      </c>
      <c r="F53">
        <v>2019</v>
      </c>
      <c r="G53" t="s">
        <v>14</v>
      </c>
      <c r="H53" t="s">
        <v>232</v>
      </c>
      <c r="I53" t="s">
        <v>233</v>
      </c>
    </row>
    <row r="54" spans="1:9" x14ac:dyDescent="0.35">
      <c r="A54" t="s">
        <v>9</v>
      </c>
      <c r="B54" t="s">
        <v>9</v>
      </c>
      <c r="C54" t="s">
        <v>234</v>
      </c>
      <c r="D54" t="s">
        <v>235</v>
      </c>
      <c r="E54" t="s">
        <v>236</v>
      </c>
      <c r="F54">
        <v>2021</v>
      </c>
      <c r="G54" t="s">
        <v>14</v>
      </c>
      <c r="H54" t="s">
        <v>237</v>
      </c>
      <c r="I54" t="s">
        <v>238</v>
      </c>
    </row>
    <row r="55" spans="1:9" hidden="1" x14ac:dyDescent="0.35">
      <c r="A55" t="s">
        <v>9</v>
      </c>
      <c r="B55" t="s">
        <v>10</v>
      </c>
      <c r="D55" s="3" t="s">
        <v>239</v>
      </c>
      <c r="E55" t="s">
        <v>240</v>
      </c>
      <c r="F55">
        <v>2007</v>
      </c>
      <c r="G55" t="s">
        <v>78</v>
      </c>
      <c r="H55" t="s">
        <v>241</v>
      </c>
      <c r="I55" t="s">
        <v>242</v>
      </c>
    </row>
    <row r="56" spans="1:9" hidden="1" x14ac:dyDescent="0.35">
      <c r="A56" t="s">
        <v>9</v>
      </c>
      <c r="B56" t="s">
        <v>10</v>
      </c>
      <c r="C56" t="s">
        <v>243</v>
      </c>
      <c r="D56" s="3" t="s">
        <v>244</v>
      </c>
      <c r="E56" t="s">
        <v>245</v>
      </c>
      <c r="F56">
        <v>2010</v>
      </c>
      <c r="G56" t="s">
        <v>14</v>
      </c>
      <c r="H56" t="s">
        <v>246</v>
      </c>
      <c r="I56" t="s">
        <v>247</v>
      </c>
    </row>
    <row r="57" spans="1:9" hidden="1" x14ac:dyDescent="0.35">
      <c r="A57" t="s">
        <v>10</v>
      </c>
      <c r="B57" t="s">
        <v>10</v>
      </c>
      <c r="D57" s="3" t="s">
        <v>248</v>
      </c>
      <c r="F57">
        <v>2013</v>
      </c>
      <c r="G57" t="s">
        <v>75</v>
      </c>
    </row>
    <row r="58" spans="1:9" hidden="1" x14ac:dyDescent="0.35">
      <c r="A58" t="s">
        <v>9</v>
      </c>
      <c r="B58" t="s">
        <v>10</v>
      </c>
      <c r="C58" t="s">
        <v>249</v>
      </c>
      <c r="D58" s="3" t="s">
        <v>250</v>
      </c>
      <c r="E58" t="s">
        <v>251</v>
      </c>
      <c r="F58">
        <v>2019</v>
      </c>
      <c r="G58" t="s">
        <v>192</v>
      </c>
      <c r="H58" t="s">
        <v>252</v>
      </c>
    </row>
    <row r="59" spans="1:9" x14ac:dyDescent="0.35">
      <c r="A59" t="s">
        <v>9</v>
      </c>
      <c r="B59" t="s">
        <v>9</v>
      </c>
      <c r="C59" t="s">
        <v>253</v>
      </c>
      <c r="D59" t="s">
        <v>254</v>
      </c>
      <c r="E59" t="s">
        <v>255</v>
      </c>
      <c r="F59">
        <v>2017</v>
      </c>
      <c r="G59" t="s">
        <v>14</v>
      </c>
      <c r="H59" t="s">
        <v>256</v>
      </c>
      <c r="I59" t="s">
        <v>257</v>
      </c>
    </row>
    <row r="60" spans="1:9" x14ac:dyDescent="0.35">
      <c r="A60" t="s">
        <v>9</v>
      </c>
      <c r="B60" t="s">
        <v>9</v>
      </c>
      <c r="C60" t="s">
        <v>258</v>
      </c>
      <c r="D60" t="s">
        <v>259</v>
      </c>
      <c r="E60" t="s">
        <v>260</v>
      </c>
      <c r="F60">
        <v>2021</v>
      </c>
      <c r="G60" t="s">
        <v>192</v>
      </c>
      <c r="H60" t="s">
        <v>261</v>
      </c>
    </row>
    <row r="61" spans="1:9" x14ac:dyDescent="0.35">
      <c r="A61" t="s">
        <v>9</v>
      </c>
      <c r="B61" t="s">
        <v>9</v>
      </c>
      <c r="C61" t="s">
        <v>262</v>
      </c>
      <c r="D61" t="s">
        <v>263</v>
      </c>
      <c r="E61" t="s">
        <v>264</v>
      </c>
      <c r="F61">
        <v>2009</v>
      </c>
      <c r="G61" t="s">
        <v>14</v>
      </c>
      <c r="H61" t="s">
        <v>265</v>
      </c>
      <c r="I61" t="s">
        <v>266</v>
      </c>
    </row>
    <row r="62" spans="1:9" x14ac:dyDescent="0.35">
      <c r="A62" t="s">
        <v>9</v>
      </c>
      <c r="B62" t="s">
        <v>9</v>
      </c>
      <c r="C62" t="s">
        <v>267</v>
      </c>
      <c r="D62" t="s">
        <v>268</v>
      </c>
      <c r="E62" t="s">
        <v>269</v>
      </c>
      <c r="F62">
        <v>2024</v>
      </c>
      <c r="G62" t="s">
        <v>14</v>
      </c>
      <c r="H62" t="s">
        <v>270</v>
      </c>
      <c r="I62" t="s">
        <v>271</v>
      </c>
    </row>
    <row r="63" spans="1:9" x14ac:dyDescent="0.35">
      <c r="A63" t="s">
        <v>9</v>
      </c>
      <c r="B63" t="s">
        <v>9</v>
      </c>
      <c r="C63" t="s">
        <v>272</v>
      </c>
      <c r="D63" t="s">
        <v>273</v>
      </c>
      <c r="E63" t="s">
        <v>274</v>
      </c>
      <c r="F63">
        <v>2023</v>
      </c>
      <c r="G63" t="s">
        <v>14</v>
      </c>
      <c r="H63" t="s">
        <v>275</v>
      </c>
      <c r="I63" t="s">
        <v>276</v>
      </c>
    </row>
    <row r="64" spans="1:9" hidden="1" x14ac:dyDescent="0.35">
      <c r="A64" t="s">
        <v>9</v>
      </c>
      <c r="B64" t="s">
        <v>10</v>
      </c>
      <c r="C64" t="s">
        <v>277</v>
      </c>
      <c r="D64" s="3" t="s">
        <v>278</v>
      </c>
      <c r="E64" t="s">
        <v>279</v>
      </c>
      <c r="F64">
        <v>2023</v>
      </c>
      <c r="G64" t="s">
        <v>14</v>
      </c>
      <c r="H64" t="s">
        <v>280</v>
      </c>
      <c r="I64" t="s">
        <v>281</v>
      </c>
    </row>
    <row r="65" spans="1:9" x14ac:dyDescent="0.35">
      <c r="A65" t="s">
        <v>9</v>
      </c>
      <c r="B65" t="s">
        <v>9</v>
      </c>
      <c r="C65" t="s">
        <v>282</v>
      </c>
      <c r="D65" t="s">
        <v>283</v>
      </c>
      <c r="E65" t="s">
        <v>284</v>
      </c>
      <c r="F65">
        <v>2017</v>
      </c>
      <c r="G65" t="s">
        <v>192</v>
      </c>
      <c r="H65" t="s">
        <v>285</v>
      </c>
    </row>
    <row r="66" spans="1:9" hidden="1" x14ac:dyDescent="0.35">
      <c r="A66" t="s">
        <v>9</v>
      </c>
      <c r="B66" t="s">
        <v>10</v>
      </c>
      <c r="C66" t="s">
        <v>286</v>
      </c>
      <c r="D66" s="3" t="s">
        <v>287</v>
      </c>
      <c r="E66" t="s">
        <v>288</v>
      </c>
      <c r="F66">
        <v>2012</v>
      </c>
      <c r="G66" t="s">
        <v>14</v>
      </c>
      <c r="H66" t="s">
        <v>289</v>
      </c>
      <c r="I66" t="s">
        <v>290</v>
      </c>
    </row>
    <row r="67" spans="1:9" x14ac:dyDescent="0.35">
      <c r="A67" t="s">
        <v>9</v>
      </c>
      <c r="B67" t="s">
        <v>9</v>
      </c>
      <c r="C67" t="s">
        <v>291</v>
      </c>
      <c r="D67" t="s">
        <v>292</v>
      </c>
      <c r="E67" t="s">
        <v>293</v>
      </c>
      <c r="F67">
        <v>2023</v>
      </c>
      <c r="G67" t="s">
        <v>14</v>
      </c>
      <c r="H67" t="s">
        <v>294</v>
      </c>
      <c r="I67" t="s">
        <v>295</v>
      </c>
    </row>
    <row r="68" spans="1:9" hidden="1" x14ac:dyDescent="0.35">
      <c r="A68" t="s">
        <v>9</v>
      </c>
      <c r="B68" t="s">
        <v>10</v>
      </c>
      <c r="C68" t="s">
        <v>296</v>
      </c>
      <c r="D68" s="3" t="s">
        <v>297</v>
      </c>
      <c r="E68" t="s">
        <v>298</v>
      </c>
      <c r="F68">
        <v>2025</v>
      </c>
      <c r="G68" t="s">
        <v>14</v>
      </c>
      <c r="H68" t="s">
        <v>299</v>
      </c>
      <c r="I68" t="s">
        <v>300</v>
      </c>
    </row>
    <row r="69" spans="1:9" hidden="1" x14ac:dyDescent="0.35">
      <c r="A69" t="s">
        <v>9</v>
      </c>
      <c r="B69" t="s">
        <v>10</v>
      </c>
      <c r="C69" t="s">
        <v>301</v>
      </c>
      <c r="D69" s="3" t="s">
        <v>302</v>
      </c>
      <c r="E69" t="s">
        <v>303</v>
      </c>
      <c r="F69">
        <v>2018</v>
      </c>
      <c r="G69" t="s">
        <v>14</v>
      </c>
      <c r="H69" t="s">
        <v>304</v>
      </c>
      <c r="I69" t="s">
        <v>305</v>
      </c>
    </row>
    <row r="70" spans="1:9" hidden="1" x14ac:dyDescent="0.35">
      <c r="A70" t="s">
        <v>9</v>
      </c>
      <c r="B70" t="s">
        <v>10</v>
      </c>
      <c r="C70" t="s">
        <v>306</v>
      </c>
      <c r="D70" s="3" t="s">
        <v>307</v>
      </c>
      <c r="E70" t="s">
        <v>308</v>
      </c>
      <c r="F70">
        <v>2018</v>
      </c>
      <c r="G70" t="s">
        <v>78</v>
      </c>
      <c r="H70" t="s">
        <v>309</v>
      </c>
      <c r="I70" t="s">
        <v>310</v>
      </c>
    </row>
    <row r="71" spans="1:9" hidden="1" x14ac:dyDescent="0.35">
      <c r="A71" t="s">
        <v>9</v>
      </c>
      <c r="B71" t="s">
        <v>10</v>
      </c>
      <c r="C71" t="s">
        <v>311</v>
      </c>
      <c r="D71" s="3" t="s">
        <v>312</v>
      </c>
      <c r="E71" t="s">
        <v>313</v>
      </c>
      <c r="F71">
        <v>2024</v>
      </c>
      <c r="G71" t="s">
        <v>192</v>
      </c>
      <c r="H71" t="s">
        <v>314</v>
      </c>
    </row>
    <row r="72" spans="1:9" hidden="1" x14ac:dyDescent="0.35">
      <c r="A72" t="s">
        <v>9</v>
      </c>
      <c r="B72" t="s">
        <v>10</v>
      </c>
      <c r="C72" t="s">
        <v>315</v>
      </c>
      <c r="D72" s="3" t="s">
        <v>316</v>
      </c>
      <c r="E72" t="s">
        <v>317</v>
      </c>
      <c r="F72">
        <v>2022</v>
      </c>
      <c r="G72" t="s">
        <v>14</v>
      </c>
      <c r="H72" t="s">
        <v>318</v>
      </c>
      <c r="I72" t="s">
        <v>319</v>
      </c>
    </row>
    <row r="73" spans="1:9" hidden="1" x14ac:dyDescent="0.35">
      <c r="A73" t="s">
        <v>9</v>
      </c>
      <c r="B73" t="s">
        <v>10</v>
      </c>
      <c r="C73" t="s">
        <v>320</v>
      </c>
      <c r="D73" s="3" t="s">
        <v>321</v>
      </c>
      <c r="E73" t="s">
        <v>322</v>
      </c>
      <c r="F73">
        <v>2016</v>
      </c>
      <c r="G73" t="s">
        <v>14</v>
      </c>
      <c r="H73" t="s">
        <v>323</v>
      </c>
      <c r="I73" t="s">
        <v>324</v>
      </c>
    </row>
    <row r="74" spans="1:9" hidden="1" x14ac:dyDescent="0.35">
      <c r="A74" t="s">
        <v>9</v>
      </c>
      <c r="B74" t="s">
        <v>10</v>
      </c>
      <c r="C74" t="s">
        <v>325</v>
      </c>
      <c r="D74" s="3" t="s">
        <v>326</v>
      </c>
      <c r="E74" t="s">
        <v>327</v>
      </c>
      <c r="F74">
        <v>2020</v>
      </c>
      <c r="G74" t="s">
        <v>14</v>
      </c>
      <c r="H74" t="s">
        <v>20</v>
      </c>
      <c r="I74" t="s">
        <v>328</v>
      </c>
    </row>
    <row r="75" spans="1:9" x14ac:dyDescent="0.35">
      <c r="A75" t="s">
        <v>9</v>
      </c>
      <c r="B75" t="s">
        <v>9</v>
      </c>
      <c r="C75" t="s">
        <v>329</v>
      </c>
      <c r="D75" t="s">
        <v>330</v>
      </c>
      <c r="E75" t="s">
        <v>331</v>
      </c>
      <c r="F75">
        <v>2016</v>
      </c>
      <c r="G75" t="s">
        <v>14</v>
      </c>
      <c r="H75" t="s">
        <v>332</v>
      </c>
      <c r="I75" t="s">
        <v>333</v>
      </c>
    </row>
    <row r="76" spans="1:9" x14ac:dyDescent="0.35">
      <c r="A76" t="s">
        <v>9</v>
      </c>
      <c r="B76" t="s">
        <v>9</v>
      </c>
      <c r="C76" t="s">
        <v>334</v>
      </c>
      <c r="D76" t="s">
        <v>335</v>
      </c>
      <c r="E76" t="s">
        <v>336</v>
      </c>
      <c r="F76">
        <v>2022</v>
      </c>
      <c r="G76" t="s">
        <v>14</v>
      </c>
      <c r="H76" t="s">
        <v>337</v>
      </c>
      <c r="I76" t="s">
        <v>338</v>
      </c>
    </row>
    <row r="77" spans="1:9" hidden="1" x14ac:dyDescent="0.35">
      <c r="A77" t="s">
        <v>9</v>
      </c>
      <c r="B77" t="s">
        <v>10</v>
      </c>
      <c r="C77" t="s">
        <v>339</v>
      </c>
      <c r="D77" s="3" t="s">
        <v>340</v>
      </c>
      <c r="E77" t="s">
        <v>341</v>
      </c>
      <c r="F77">
        <v>2018</v>
      </c>
      <c r="G77" t="s">
        <v>14</v>
      </c>
      <c r="H77" t="s">
        <v>342</v>
      </c>
      <c r="I77" t="s">
        <v>343</v>
      </c>
    </row>
    <row r="78" spans="1:9" hidden="1" x14ac:dyDescent="0.35">
      <c r="A78" t="s">
        <v>9</v>
      </c>
      <c r="B78" t="s">
        <v>10</v>
      </c>
      <c r="C78" t="s">
        <v>344</v>
      </c>
      <c r="D78" s="3" t="s">
        <v>345</v>
      </c>
      <c r="E78" t="s">
        <v>346</v>
      </c>
      <c r="F78">
        <v>2019</v>
      </c>
      <c r="G78" t="s">
        <v>78</v>
      </c>
      <c r="H78" t="s">
        <v>347</v>
      </c>
      <c r="I78" t="s">
        <v>348</v>
      </c>
    </row>
    <row r="79" spans="1:9" hidden="1" x14ac:dyDescent="0.35">
      <c r="A79" t="s">
        <v>10</v>
      </c>
      <c r="B79" t="s">
        <v>10</v>
      </c>
      <c r="D79" s="3" t="s">
        <v>349</v>
      </c>
      <c r="G79" t="s">
        <v>73</v>
      </c>
    </row>
    <row r="80" spans="1:9" hidden="1" x14ac:dyDescent="0.35">
      <c r="A80" t="s">
        <v>9</v>
      </c>
      <c r="B80" t="s">
        <v>10</v>
      </c>
      <c r="C80" t="s">
        <v>350</v>
      </c>
      <c r="D80" s="3" t="s">
        <v>351</v>
      </c>
      <c r="E80" t="s">
        <v>352</v>
      </c>
      <c r="F80">
        <v>2024</v>
      </c>
      <c r="G80" t="s">
        <v>14</v>
      </c>
      <c r="H80" t="s">
        <v>353</v>
      </c>
      <c r="I80" t="s">
        <v>354</v>
      </c>
    </row>
    <row r="81" spans="1:9" hidden="1" x14ac:dyDescent="0.35">
      <c r="A81" t="s">
        <v>9</v>
      </c>
      <c r="B81" t="s">
        <v>10</v>
      </c>
      <c r="C81" t="s">
        <v>355</v>
      </c>
      <c r="D81" s="3" t="s">
        <v>356</v>
      </c>
      <c r="E81" t="s">
        <v>357</v>
      </c>
      <c r="F81">
        <v>2021</v>
      </c>
      <c r="G81" t="s">
        <v>192</v>
      </c>
      <c r="H81" t="s">
        <v>358</v>
      </c>
    </row>
    <row r="82" spans="1:9" x14ac:dyDescent="0.35">
      <c r="A82" t="s">
        <v>9</v>
      </c>
      <c r="B82" t="s">
        <v>9</v>
      </c>
      <c r="C82" t="s">
        <v>359</v>
      </c>
      <c r="D82" t="s">
        <v>360</v>
      </c>
      <c r="E82" t="s">
        <v>361</v>
      </c>
      <c r="F82">
        <v>2018</v>
      </c>
      <c r="G82" t="s">
        <v>192</v>
      </c>
      <c r="H82" t="s">
        <v>362</v>
      </c>
    </row>
    <row r="83" spans="1:9" x14ac:dyDescent="0.35">
      <c r="A83" t="s">
        <v>9</v>
      </c>
      <c r="B83" t="s">
        <v>9</v>
      </c>
      <c r="C83" t="s">
        <v>363</v>
      </c>
      <c r="D83" t="s">
        <v>364</v>
      </c>
      <c r="E83" t="s">
        <v>365</v>
      </c>
      <c r="F83">
        <v>2021</v>
      </c>
      <c r="G83" t="s">
        <v>14</v>
      </c>
      <c r="H83" t="s">
        <v>366</v>
      </c>
      <c r="I83" t="s">
        <v>367</v>
      </c>
    </row>
    <row r="84" spans="1:9" x14ac:dyDescent="0.35">
      <c r="A84" t="s">
        <v>9</v>
      </c>
      <c r="B84" t="s">
        <v>9</v>
      </c>
      <c r="C84" t="s">
        <v>368</v>
      </c>
      <c r="D84" t="s">
        <v>369</v>
      </c>
      <c r="E84" t="s">
        <v>370</v>
      </c>
      <c r="F84">
        <v>2024</v>
      </c>
      <c r="G84" t="s">
        <v>14</v>
      </c>
      <c r="H84" t="s">
        <v>371</v>
      </c>
      <c r="I84" t="s">
        <v>372</v>
      </c>
    </row>
    <row r="85" spans="1:9" x14ac:dyDescent="0.35">
      <c r="A85" t="s">
        <v>9</v>
      </c>
      <c r="B85" t="s">
        <v>9</v>
      </c>
      <c r="C85" t="s">
        <v>373</v>
      </c>
      <c r="D85" t="s">
        <v>374</v>
      </c>
      <c r="E85" t="s">
        <v>375</v>
      </c>
      <c r="F85">
        <v>2010</v>
      </c>
      <c r="G85" t="s">
        <v>14</v>
      </c>
      <c r="H85" t="s">
        <v>376</v>
      </c>
      <c r="I85" t="s">
        <v>377</v>
      </c>
    </row>
    <row r="86" spans="1:9" hidden="1" x14ac:dyDescent="0.35">
      <c r="A86" t="s">
        <v>10</v>
      </c>
      <c r="B86" t="s">
        <v>10</v>
      </c>
      <c r="D86" s="3" t="s">
        <v>378</v>
      </c>
      <c r="F86">
        <v>2020</v>
      </c>
      <c r="G86" t="s">
        <v>75</v>
      </c>
    </row>
    <row r="87" spans="1:9" hidden="1" x14ac:dyDescent="0.35">
      <c r="A87" t="s">
        <v>9</v>
      </c>
      <c r="B87" t="s">
        <v>10</v>
      </c>
      <c r="D87" s="3" t="s">
        <v>379</v>
      </c>
      <c r="E87" t="s">
        <v>380</v>
      </c>
      <c r="F87">
        <v>2022</v>
      </c>
      <c r="G87" t="s">
        <v>78</v>
      </c>
      <c r="H87" t="s">
        <v>381</v>
      </c>
      <c r="I87" t="s">
        <v>382</v>
      </c>
    </row>
    <row r="88" spans="1:9" hidden="1" x14ac:dyDescent="0.35">
      <c r="A88" t="s">
        <v>9</v>
      </c>
      <c r="B88" t="s">
        <v>10</v>
      </c>
      <c r="C88" t="s">
        <v>383</v>
      </c>
      <c r="D88" s="3" t="s">
        <v>384</v>
      </c>
      <c r="E88" t="s">
        <v>385</v>
      </c>
      <c r="F88">
        <v>2023</v>
      </c>
      <c r="G88" t="s">
        <v>14</v>
      </c>
      <c r="H88" t="s">
        <v>386</v>
      </c>
      <c r="I88" t="s">
        <v>387</v>
      </c>
    </row>
    <row r="89" spans="1:9" hidden="1" x14ac:dyDescent="0.35">
      <c r="A89" t="s">
        <v>9</v>
      </c>
      <c r="B89" t="s">
        <v>10</v>
      </c>
      <c r="C89" t="s">
        <v>388</v>
      </c>
      <c r="D89" s="3" t="s">
        <v>389</v>
      </c>
      <c r="E89" t="s">
        <v>390</v>
      </c>
      <c r="F89">
        <v>2024</v>
      </c>
      <c r="G89" t="s">
        <v>78</v>
      </c>
      <c r="H89" t="s">
        <v>391</v>
      </c>
      <c r="I89" t="s">
        <v>392</v>
      </c>
    </row>
    <row r="90" spans="1:9" x14ac:dyDescent="0.35">
      <c r="A90" t="s">
        <v>9</v>
      </c>
      <c r="B90" t="s">
        <v>9</v>
      </c>
      <c r="C90" t="s">
        <v>393</v>
      </c>
      <c r="D90" t="s">
        <v>394</v>
      </c>
      <c r="E90" t="s">
        <v>395</v>
      </c>
      <c r="F90">
        <v>2019</v>
      </c>
      <c r="G90" t="s">
        <v>14</v>
      </c>
      <c r="H90" t="s">
        <v>396</v>
      </c>
      <c r="I90" t="s">
        <v>397</v>
      </c>
    </row>
    <row r="91" spans="1:9" x14ac:dyDescent="0.35">
      <c r="A91" t="s">
        <v>9</v>
      </c>
      <c r="B91" t="s">
        <v>9</v>
      </c>
      <c r="C91" t="s">
        <v>398</v>
      </c>
      <c r="D91" t="s">
        <v>399</v>
      </c>
      <c r="E91" t="s">
        <v>400</v>
      </c>
      <c r="F91">
        <v>2023</v>
      </c>
      <c r="G91" t="s">
        <v>14</v>
      </c>
      <c r="H91" t="s">
        <v>401</v>
      </c>
      <c r="I91" t="s">
        <v>402</v>
      </c>
    </row>
    <row r="92" spans="1:9" hidden="1" x14ac:dyDescent="0.35">
      <c r="A92" t="s">
        <v>9</v>
      </c>
      <c r="B92" t="s">
        <v>10</v>
      </c>
      <c r="C92" t="s">
        <v>403</v>
      </c>
      <c r="D92" s="3" t="s">
        <v>404</v>
      </c>
      <c r="E92" t="s">
        <v>405</v>
      </c>
      <c r="F92">
        <v>2024</v>
      </c>
      <c r="G92" t="s">
        <v>14</v>
      </c>
      <c r="H92" t="s">
        <v>406</v>
      </c>
      <c r="I92" t="s">
        <v>407</v>
      </c>
    </row>
    <row r="93" spans="1:9" hidden="1" x14ac:dyDescent="0.35">
      <c r="A93" t="s">
        <v>9</v>
      </c>
      <c r="B93" t="s">
        <v>10</v>
      </c>
      <c r="C93" t="s">
        <v>408</v>
      </c>
      <c r="D93" s="3" t="s">
        <v>409</v>
      </c>
      <c r="E93" t="s">
        <v>410</v>
      </c>
      <c r="F93">
        <v>2020</v>
      </c>
      <c r="G93" t="s">
        <v>14</v>
      </c>
      <c r="H93" t="s">
        <v>411</v>
      </c>
      <c r="I93" t="s">
        <v>412</v>
      </c>
    </row>
    <row r="94" spans="1:9" x14ac:dyDescent="0.35">
      <c r="A94" t="s">
        <v>9</v>
      </c>
      <c r="B94" t="s">
        <v>9</v>
      </c>
      <c r="C94" t="s">
        <v>413</v>
      </c>
      <c r="D94" t="s">
        <v>414</v>
      </c>
      <c r="E94" t="s">
        <v>415</v>
      </c>
      <c r="F94">
        <v>2018</v>
      </c>
      <c r="G94" t="s">
        <v>78</v>
      </c>
      <c r="H94" t="s">
        <v>416</v>
      </c>
      <c r="I94" t="s">
        <v>417</v>
      </c>
    </row>
    <row r="95" spans="1:9" hidden="1" x14ac:dyDescent="0.35">
      <c r="A95" t="s">
        <v>9</v>
      </c>
      <c r="B95" t="s">
        <v>10</v>
      </c>
      <c r="C95" t="s">
        <v>418</v>
      </c>
      <c r="D95" s="3" t="s">
        <v>419</v>
      </c>
      <c r="E95" t="s">
        <v>420</v>
      </c>
      <c r="F95">
        <v>2009</v>
      </c>
      <c r="G95" t="s">
        <v>14</v>
      </c>
      <c r="H95" t="s">
        <v>421</v>
      </c>
      <c r="I95" t="s">
        <v>422</v>
      </c>
    </row>
    <row r="96" spans="1:9" hidden="1" x14ac:dyDescent="0.35">
      <c r="A96" t="s">
        <v>9</v>
      </c>
      <c r="B96" t="s">
        <v>10</v>
      </c>
      <c r="C96" t="s">
        <v>423</v>
      </c>
      <c r="D96" s="3" t="s">
        <v>424</v>
      </c>
      <c r="E96" t="s">
        <v>425</v>
      </c>
      <c r="F96">
        <v>2021</v>
      </c>
      <c r="G96" t="s">
        <v>14</v>
      </c>
      <c r="H96" t="s">
        <v>426</v>
      </c>
      <c r="I96" t="s">
        <v>427</v>
      </c>
    </row>
    <row r="97" spans="1:9" hidden="1" x14ac:dyDescent="0.35">
      <c r="A97" t="s">
        <v>9</v>
      </c>
      <c r="B97" t="s">
        <v>10</v>
      </c>
      <c r="C97" t="s">
        <v>428</v>
      </c>
      <c r="D97" s="3" t="s">
        <v>429</v>
      </c>
      <c r="E97" t="s">
        <v>430</v>
      </c>
      <c r="F97">
        <v>2023</v>
      </c>
      <c r="G97" t="s">
        <v>14</v>
      </c>
      <c r="H97" t="s">
        <v>431</v>
      </c>
      <c r="I97" t="s">
        <v>432</v>
      </c>
    </row>
    <row r="98" spans="1:9" x14ac:dyDescent="0.35">
      <c r="A98" t="s">
        <v>9</v>
      </c>
      <c r="B98" t="s">
        <v>9</v>
      </c>
      <c r="C98" t="s">
        <v>433</v>
      </c>
      <c r="D98" t="s">
        <v>434</v>
      </c>
      <c r="E98" t="s">
        <v>435</v>
      </c>
      <c r="F98">
        <v>2019</v>
      </c>
      <c r="G98" t="s">
        <v>14</v>
      </c>
      <c r="H98" t="s">
        <v>436</v>
      </c>
      <c r="I98" t="s">
        <v>437</v>
      </c>
    </row>
    <row r="99" spans="1:9" hidden="1" x14ac:dyDescent="0.35">
      <c r="A99" t="s">
        <v>9</v>
      </c>
      <c r="B99" t="s">
        <v>10</v>
      </c>
      <c r="D99" s="3" t="s">
        <v>438</v>
      </c>
      <c r="E99" t="s">
        <v>439</v>
      </c>
      <c r="F99">
        <v>2014</v>
      </c>
      <c r="G99" t="s">
        <v>192</v>
      </c>
      <c r="H99" t="s">
        <v>440</v>
      </c>
    </row>
    <row r="100" spans="1:9" hidden="1" x14ac:dyDescent="0.35">
      <c r="A100" t="s">
        <v>9</v>
      </c>
      <c r="B100" t="s">
        <v>10</v>
      </c>
      <c r="C100" t="s">
        <v>441</v>
      </c>
      <c r="D100" s="3" t="s">
        <v>442</v>
      </c>
      <c r="E100" t="s">
        <v>443</v>
      </c>
      <c r="F100">
        <v>2024</v>
      </c>
      <c r="G100" t="s">
        <v>14</v>
      </c>
      <c r="H100" t="s">
        <v>444</v>
      </c>
      <c r="I100" t="s">
        <v>445</v>
      </c>
    </row>
    <row r="101" spans="1:9" hidden="1" x14ac:dyDescent="0.35">
      <c r="A101" t="s">
        <v>9</v>
      </c>
      <c r="B101" t="s">
        <v>10</v>
      </c>
      <c r="C101" t="s">
        <v>446</v>
      </c>
      <c r="D101" s="3" t="s">
        <v>447</v>
      </c>
      <c r="E101" t="s">
        <v>448</v>
      </c>
      <c r="F101">
        <v>2023</v>
      </c>
      <c r="G101" t="s">
        <v>14</v>
      </c>
      <c r="H101" t="s">
        <v>449</v>
      </c>
      <c r="I101" t="s">
        <v>450</v>
      </c>
    </row>
    <row r="102" spans="1:9" hidden="1" x14ac:dyDescent="0.35">
      <c r="A102" t="s">
        <v>9</v>
      </c>
      <c r="B102" t="s">
        <v>10</v>
      </c>
      <c r="C102" t="s">
        <v>451</v>
      </c>
      <c r="D102" s="3" t="s">
        <v>452</v>
      </c>
      <c r="E102" t="s">
        <v>453</v>
      </c>
      <c r="F102">
        <v>2023</v>
      </c>
      <c r="G102" t="s">
        <v>14</v>
      </c>
      <c r="H102" t="s">
        <v>454</v>
      </c>
      <c r="I102" t="s">
        <v>455</v>
      </c>
    </row>
    <row r="103" spans="1:9" x14ac:dyDescent="0.35">
      <c r="A103" t="s">
        <v>9</v>
      </c>
      <c r="B103" t="s">
        <v>9</v>
      </c>
      <c r="C103" t="s">
        <v>456</v>
      </c>
      <c r="D103" t="s">
        <v>457</v>
      </c>
      <c r="E103" t="s">
        <v>458</v>
      </c>
      <c r="F103">
        <v>2021</v>
      </c>
      <c r="G103" t="s">
        <v>14</v>
      </c>
      <c r="H103" t="s">
        <v>459</v>
      </c>
      <c r="I103" t="s">
        <v>460</v>
      </c>
    </row>
    <row r="104" spans="1:9" hidden="1" x14ac:dyDescent="0.35">
      <c r="A104" t="s">
        <v>9</v>
      </c>
      <c r="B104" t="s">
        <v>10</v>
      </c>
      <c r="C104" t="s">
        <v>461</v>
      </c>
      <c r="D104" s="3" t="s">
        <v>462</v>
      </c>
      <c r="E104" t="s">
        <v>463</v>
      </c>
      <c r="F104">
        <v>2023</v>
      </c>
      <c r="G104" t="s">
        <v>14</v>
      </c>
      <c r="H104" t="s">
        <v>464</v>
      </c>
      <c r="I104" t="s">
        <v>465</v>
      </c>
    </row>
    <row r="105" spans="1:9" x14ac:dyDescent="0.35">
      <c r="A105" t="s">
        <v>9</v>
      </c>
      <c r="B105" t="s">
        <v>9</v>
      </c>
      <c r="C105" t="s">
        <v>763</v>
      </c>
      <c r="D105" t="s">
        <v>466</v>
      </c>
      <c r="E105" t="s">
        <v>467</v>
      </c>
      <c r="F105">
        <v>2016</v>
      </c>
      <c r="G105" t="s">
        <v>78</v>
      </c>
      <c r="H105" t="s">
        <v>468</v>
      </c>
      <c r="I105" t="s">
        <v>469</v>
      </c>
    </row>
    <row r="106" spans="1:9" hidden="1" x14ac:dyDescent="0.35">
      <c r="A106" t="s">
        <v>9</v>
      </c>
      <c r="B106" t="s">
        <v>10</v>
      </c>
      <c r="C106" t="s">
        <v>470</v>
      </c>
      <c r="D106" s="3" t="s">
        <v>471</v>
      </c>
      <c r="E106" t="s">
        <v>472</v>
      </c>
      <c r="F106">
        <v>2023</v>
      </c>
      <c r="G106" t="s">
        <v>14</v>
      </c>
      <c r="H106" t="s">
        <v>473</v>
      </c>
      <c r="I106" t="s">
        <v>474</v>
      </c>
    </row>
    <row r="107" spans="1:9" x14ac:dyDescent="0.35">
      <c r="A107" t="s">
        <v>9</v>
      </c>
      <c r="B107" t="s">
        <v>9</v>
      </c>
      <c r="C107" t="s">
        <v>475</v>
      </c>
      <c r="D107" t="s">
        <v>476</v>
      </c>
      <c r="E107" t="s">
        <v>477</v>
      </c>
      <c r="F107">
        <v>2023</v>
      </c>
      <c r="G107" t="s">
        <v>14</v>
      </c>
      <c r="H107" t="s">
        <v>478</v>
      </c>
      <c r="I107" t="s">
        <v>479</v>
      </c>
    </row>
    <row r="108" spans="1:9" x14ac:dyDescent="0.35">
      <c r="A108" t="s">
        <v>9</v>
      </c>
      <c r="B108" t="s">
        <v>9</v>
      </c>
      <c r="C108" t="s">
        <v>480</v>
      </c>
      <c r="D108" t="s">
        <v>481</v>
      </c>
      <c r="E108" t="s">
        <v>482</v>
      </c>
      <c r="F108">
        <v>2022</v>
      </c>
      <c r="G108" t="s">
        <v>14</v>
      </c>
      <c r="H108" t="s">
        <v>483</v>
      </c>
      <c r="I108" t="s">
        <v>484</v>
      </c>
    </row>
    <row r="109" spans="1:9" x14ac:dyDescent="0.35">
      <c r="A109" t="s">
        <v>9</v>
      </c>
      <c r="B109" t="s">
        <v>9</v>
      </c>
      <c r="C109" t="s">
        <v>485</v>
      </c>
      <c r="D109" t="s">
        <v>486</v>
      </c>
      <c r="E109" t="s">
        <v>487</v>
      </c>
      <c r="F109">
        <v>2018</v>
      </c>
      <c r="G109" t="s">
        <v>14</v>
      </c>
      <c r="H109" t="s">
        <v>488</v>
      </c>
      <c r="I109" t="s">
        <v>489</v>
      </c>
    </row>
    <row r="110" spans="1:9" hidden="1" x14ac:dyDescent="0.35">
      <c r="A110" t="s">
        <v>9</v>
      </c>
      <c r="B110" t="s">
        <v>10</v>
      </c>
      <c r="D110" s="3" t="s">
        <v>490</v>
      </c>
      <c r="E110" t="s">
        <v>491</v>
      </c>
      <c r="F110">
        <v>2011</v>
      </c>
      <c r="G110" t="s">
        <v>78</v>
      </c>
      <c r="H110" t="s">
        <v>492</v>
      </c>
      <c r="I110" t="s">
        <v>493</v>
      </c>
    </row>
    <row r="111" spans="1:9" x14ac:dyDescent="0.35">
      <c r="A111" t="s">
        <v>9</v>
      </c>
      <c r="B111" t="s">
        <v>9</v>
      </c>
      <c r="C111" t="s">
        <v>494</v>
      </c>
      <c r="D111" t="s">
        <v>495</v>
      </c>
      <c r="E111" t="s">
        <v>496</v>
      </c>
      <c r="F111">
        <v>2019</v>
      </c>
      <c r="G111" t="s">
        <v>14</v>
      </c>
      <c r="H111" t="s">
        <v>497</v>
      </c>
      <c r="I111" t="s">
        <v>498</v>
      </c>
    </row>
    <row r="112" spans="1:9" hidden="1" x14ac:dyDescent="0.35">
      <c r="A112" t="s">
        <v>9</v>
      </c>
      <c r="B112" t="s">
        <v>10</v>
      </c>
      <c r="C112" t="s">
        <v>499</v>
      </c>
      <c r="D112" s="3" t="s">
        <v>500</v>
      </c>
      <c r="E112" t="s">
        <v>501</v>
      </c>
      <c r="F112">
        <v>2020</v>
      </c>
      <c r="G112" t="s">
        <v>14</v>
      </c>
      <c r="H112" t="s">
        <v>502</v>
      </c>
      <c r="I112" t="s">
        <v>503</v>
      </c>
    </row>
    <row r="113" spans="1:9" x14ac:dyDescent="0.35">
      <c r="A113" t="s">
        <v>9</v>
      </c>
      <c r="B113" t="s">
        <v>9</v>
      </c>
      <c r="C113" t="s">
        <v>504</v>
      </c>
      <c r="D113" t="s">
        <v>505</v>
      </c>
      <c r="E113" t="s">
        <v>506</v>
      </c>
      <c r="F113">
        <v>2023</v>
      </c>
      <c r="G113" t="s">
        <v>14</v>
      </c>
      <c r="H113" t="s">
        <v>507</v>
      </c>
      <c r="I113" t="s">
        <v>508</v>
      </c>
    </row>
    <row r="114" spans="1:9" x14ac:dyDescent="0.35">
      <c r="A114" t="s">
        <v>9</v>
      </c>
      <c r="B114" t="s">
        <v>9</v>
      </c>
      <c r="C114" t="s">
        <v>2362</v>
      </c>
      <c r="D114" t="s">
        <v>509</v>
      </c>
      <c r="F114">
        <v>2020</v>
      </c>
      <c r="G114" t="s">
        <v>75</v>
      </c>
    </row>
    <row r="115" spans="1:9" hidden="1" x14ac:dyDescent="0.35">
      <c r="A115" t="s">
        <v>9</v>
      </c>
      <c r="B115" t="s">
        <v>10</v>
      </c>
      <c r="C115" t="s">
        <v>510</v>
      </c>
      <c r="D115" s="3" t="s">
        <v>511</v>
      </c>
      <c r="E115" t="s">
        <v>512</v>
      </c>
      <c r="F115">
        <v>2024</v>
      </c>
      <c r="G115" t="s">
        <v>14</v>
      </c>
      <c r="H115" t="s">
        <v>513</v>
      </c>
      <c r="I115" t="s">
        <v>514</v>
      </c>
    </row>
    <row r="116" spans="1:9" x14ac:dyDescent="0.35">
      <c r="A116" t="s">
        <v>9</v>
      </c>
      <c r="B116" t="s">
        <v>9</v>
      </c>
      <c r="C116" t="s">
        <v>515</v>
      </c>
      <c r="D116" t="s">
        <v>516</v>
      </c>
      <c r="E116" t="s">
        <v>517</v>
      </c>
      <c r="F116">
        <v>2021</v>
      </c>
      <c r="G116" t="s">
        <v>14</v>
      </c>
      <c r="H116" t="s">
        <v>518</v>
      </c>
      <c r="I116" t="s">
        <v>519</v>
      </c>
    </row>
    <row r="117" spans="1:9" x14ac:dyDescent="0.35">
      <c r="A117" t="s">
        <v>9</v>
      </c>
      <c r="B117" t="s">
        <v>9</v>
      </c>
      <c r="C117" t="s">
        <v>520</v>
      </c>
      <c r="D117" t="s">
        <v>521</v>
      </c>
      <c r="E117" t="s">
        <v>522</v>
      </c>
      <c r="F117">
        <v>2014</v>
      </c>
      <c r="G117" t="s">
        <v>14</v>
      </c>
      <c r="H117" t="s">
        <v>523</v>
      </c>
      <c r="I117" t="s">
        <v>524</v>
      </c>
    </row>
    <row r="118" spans="1:9" hidden="1" x14ac:dyDescent="0.35">
      <c r="A118" t="s">
        <v>9</v>
      </c>
      <c r="B118" t="s">
        <v>10</v>
      </c>
      <c r="C118" t="s">
        <v>525</v>
      </c>
      <c r="D118" s="3" t="s">
        <v>526</v>
      </c>
      <c r="E118" t="s">
        <v>527</v>
      </c>
      <c r="F118">
        <v>2022</v>
      </c>
      <c r="G118" t="s">
        <v>78</v>
      </c>
      <c r="H118" t="s">
        <v>528</v>
      </c>
      <c r="I118" t="s">
        <v>529</v>
      </c>
    </row>
    <row r="119" spans="1:9" x14ac:dyDescent="0.35">
      <c r="A119" t="s">
        <v>9</v>
      </c>
      <c r="B119" t="s">
        <v>9</v>
      </c>
      <c r="C119" t="s">
        <v>530</v>
      </c>
      <c r="D119" t="s">
        <v>531</v>
      </c>
      <c r="E119" t="s">
        <v>532</v>
      </c>
      <c r="F119">
        <v>2009</v>
      </c>
      <c r="G119" t="s">
        <v>192</v>
      </c>
      <c r="H119" t="s">
        <v>533</v>
      </c>
    </row>
    <row r="120" spans="1:9" x14ac:dyDescent="0.35">
      <c r="A120" t="s">
        <v>9</v>
      </c>
      <c r="B120" t="s">
        <v>9</v>
      </c>
      <c r="C120" t="s">
        <v>534</v>
      </c>
      <c r="D120" t="s">
        <v>535</v>
      </c>
      <c r="E120" t="s">
        <v>536</v>
      </c>
      <c r="F120">
        <v>2025</v>
      </c>
      <c r="G120" t="s">
        <v>14</v>
      </c>
      <c r="H120" t="s">
        <v>537</v>
      </c>
      <c r="I120" t="s">
        <v>538</v>
      </c>
    </row>
    <row r="121" spans="1:9" hidden="1" x14ac:dyDescent="0.35">
      <c r="A121" t="s">
        <v>9</v>
      </c>
      <c r="B121" t="s">
        <v>10</v>
      </c>
      <c r="C121" t="s">
        <v>539</v>
      </c>
      <c r="D121" s="3" t="s">
        <v>540</v>
      </c>
      <c r="E121" t="s">
        <v>541</v>
      </c>
      <c r="F121">
        <v>2017</v>
      </c>
      <c r="G121" t="s">
        <v>192</v>
      </c>
      <c r="H121" t="s">
        <v>542</v>
      </c>
    </row>
    <row r="122" spans="1:9" x14ac:dyDescent="0.35">
      <c r="A122" t="s">
        <v>9</v>
      </c>
      <c r="B122" t="s">
        <v>9</v>
      </c>
      <c r="C122" t="s">
        <v>543</v>
      </c>
      <c r="D122" t="s">
        <v>544</v>
      </c>
      <c r="E122" t="s">
        <v>545</v>
      </c>
      <c r="F122">
        <v>2014</v>
      </c>
      <c r="G122" t="s">
        <v>14</v>
      </c>
      <c r="H122" t="s">
        <v>546</v>
      </c>
      <c r="I122" t="s">
        <v>547</v>
      </c>
    </row>
    <row r="123" spans="1:9" x14ac:dyDescent="0.35">
      <c r="A123" t="s">
        <v>9</v>
      </c>
      <c r="B123" t="s">
        <v>9</v>
      </c>
      <c r="C123" t="s">
        <v>548</v>
      </c>
      <c r="D123" t="s">
        <v>549</v>
      </c>
      <c r="E123" t="s">
        <v>550</v>
      </c>
      <c r="F123">
        <v>2022</v>
      </c>
      <c r="G123" t="s">
        <v>14</v>
      </c>
      <c r="H123" t="s">
        <v>551</v>
      </c>
      <c r="I123" t="s">
        <v>552</v>
      </c>
    </row>
    <row r="124" spans="1:9" x14ac:dyDescent="0.35">
      <c r="A124" t="s">
        <v>9</v>
      </c>
      <c r="B124" t="s">
        <v>9</v>
      </c>
      <c r="C124" t="s">
        <v>553</v>
      </c>
      <c r="D124" t="s">
        <v>554</v>
      </c>
      <c r="E124" t="s">
        <v>555</v>
      </c>
      <c r="F124">
        <v>2018</v>
      </c>
      <c r="G124" t="s">
        <v>14</v>
      </c>
      <c r="H124" t="s">
        <v>556</v>
      </c>
      <c r="I124" t="s">
        <v>557</v>
      </c>
    </row>
    <row r="125" spans="1:9" hidden="1" x14ac:dyDescent="0.35">
      <c r="A125" t="s">
        <v>9</v>
      </c>
      <c r="B125" t="s">
        <v>10</v>
      </c>
      <c r="C125" t="s">
        <v>558</v>
      </c>
      <c r="D125" s="3" t="s">
        <v>559</v>
      </c>
      <c r="E125" t="s">
        <v>560</v>
      </c>
      <c r="F125">
        <v>2024</v>
      </c>
      <c r="G125" t="s">
        <v>78</v>
      </c>
      <c r="H125" t="s">
        <v>561</v>
      </c>
      <c r="I125" t="s">
        <v>562</v>
      </c>
    </row>
    <row r="126" spans="1:9" x14ac:dyDescent="0.35">
      <c r="A126" t="s">
        <v>9</v>
      </c>
      <c r="B126" t="s">
        <v>9</v>
      </c>
      <c r="C126" t="s">
        <v>563</v>
      </c>
      <c r="D126" t="s">
        <v>564</v>
      </c>
      <c r="E126" t="s">
        <v>565</v>
      </c>
      <c r="F126">
        <v>2022</v>
      </c>
      <c r="G126" t="s">
        <v>14</v>
      </c>
      <c r="H126" t="s">
        <v>566</v>
      </c>
      <c r="I126" t="s">
        <v>567</v>
      </c>
    </row>
    <row r="127" spans="1:9" hidden="1" x14ac:dyDescent="0.35">
      <c r="A127" t="s">
        <v>9</v>
      </c>
      <c r="B127" t="s">
        <v>10</v>
      </c>
      <c r="C127" t="s">
        <v>568</v>
      </c>
      <c r="D127" s="3" t="s">
        <v>569</v>
      </c>
      <c r="E127" t="s">
        <v>570</v>
      </c>
      <c r="F127">
        <v>2024</v>
      </c>
      <c r="G127" t="s">
        <v>14</v>
      </c>
      <c r="H127" t="s">
        <v>571</v>
      </c>
      <c r="I127" t="s">
        <v>572</v>
      </c>
    </row>
    <row r="128" spans="1:9" hidden="1" x14ac:dyDescent="0.35">
      <c r="A128" t="s">
        <v>9</v>
      </c>
      <c r="B128" t="s">
        <v>10</v>
      </c>
      <c r="D128" s="3" t="s">
        <v>573</v>
      </c>
      <c r="E128" t="s">
        <v>574</v>
      </c>
      <c r="F128">
        <v>2010</v>
      </c>
      <c r="G128" t="s">
        <v>78</v>
      </c>
      <c r="H128" t="s">
        <v>575</v>
      </c>
      <c r="I128" t="s">
        <v>576</v>
      </c>
    </row>
    <row r="129" spans="1:9" x14ac:dyDescent="0.35">
      <c r="A129" t="s">
        <v>9</v>
      </c>
      <c r="B129" t="s">
        <v>9</v>
      </c>
      <c r="C129" t="s">
        <v>577</v>
      </c>
      <c r="D129" t="s">
        <v>578</v>
      </c>
      <c r="E129" t="s">
        <v>579</v>
      </c>
      <c r="F129">
        <v>2024</v>
      </c>
      <c r="G129" t="s">
        <v>14</v>
      </c>
      <c r="H129" t="s">
        <v>580</v>
      </c>
      <c r="I129" t="s">
        <v>581</v>
      </c>
    </row>
    <row r="130" spans="1:9" hidden="1" x14ac:dyDescent="0.35">
      <c r="A130" t="s">
        <v>9</v>
      </c>
      <c r="B130" t="s">
        <v>10</v>
      </c>
      <c r="C130" t="s">
        <v>582</v>
      </c>
      <c r="D130" s="3" t="s">
        <v>583</v>
      </c>
      <c r="E130" t="s">
        <v>584</v>
      </c>
      <c r="F130">
        <v>2020</v>
      </c>
      <c r="G130" t="s">
        <v>14</v>
      </c>
      <c r="H130" t="s">
        <v>585</v>
      </c>
      <c r="I130" t="s">
        <v>586</v>
      </c>
    </row>
    <row r="131" spans="1:9" hidden="1" x14ac:dyDescent="0.35">
      <c r="A131" t="s">
        <v>9</v>
      </c>
      <c r="B131" t="s">
        <v>10</v>
      </c>
      <c r="C131" t="s">
        <v>587</v>
      </c>
      <c r="D131" s="3" t="s">
        <v>588</v>
      </c>
      <c r="E131" t="s">
        <v>589</v>
      </c>
      <c r="F131">
        <v>2015</v>
      </c>
      <c r="G131" t="s">
        <v>14</v>
      </c>
      <c r="H131" t="s">
        <v>590</v>
      </c>
      <c r="I131" t="s">
        <v>591</v>
      </c>
    </row>
    <row r="132" spans="1:9" x14ac:dyDescent="0.35">
      <c r="A132" t="s">
        <v>9</v>
      </c>
      <c r="B132" t="s">
        <v>9</v>
      </c>
      <c r="C132" t="s">
        <v>592</v>
      </c>
      <c r="D132" t="s">
        <v>593</v>
      </c>
      <c r="E132" t="s">
        <v>594</v>
      </c>
      <c r="F132">
        <v>2025</v>
      </c>
      <c r="G132" t="s">
        <v>14</v>
      </c>
      <c r="H132" t="s">
        <v>595</v>
      </c>
      <c r="I132" t="s">
        <v>596</v>
      </c>
    </row>
    <row r="133" spans="1:9" hidden="1" x14ac:dyDescent="0.35">
      <c r="A133" t="s">
        <v>9</v>
      </c>
      <c r="B133" t="s">
        <v>10</v>
      </c>
      <c r="C133" t="s">
        <v>597</v>
      </c>
      <c r="D133" s="3" t="s">
        <v>598</v>
      </c>
      <c r="E133" t="s">
        <v>599</v>
      </c>
      <c r="F133">
        <v>2008</v>
      </c>
      <c r="G133" t="s">
        <v>14</v>
      </c>
      <c r="H133" t="s">
        <v>600</v>
      </c>
      <c r="I133" t="s">
        <v>601</v>
      </c>
    </row>
    <row r="134" spans="1:9" hidden="1" x14ac:dyDescent="0.35">
      <c r="A134" t="s">
        <v>9</v>
      </c>
      <c r="B134" t="s">
        <v>10</v>
      </c>
      <c r="C134" t="s">
        <v>602</v>
      </c>
      <c r="D134" s="3" t="s">
        <v>603</v>
      </c>
      <c r="E134" t="s">
        <v>604</v>
      </c>
      <c r="F134">
        <v>2016</v>
      </c>
      <c r="G134" t="s">
        <v>14</v>
      </c>
      <c r="H134" t="s">
        <v>605</v>
      </c>
      <c r="I134" t="s">
        <v>606</v>
      </c>
    </row>
    <row r="135" spans="1:9" x14ac:dyDescent="0.35">
      <c r="A135" t="s">
        <v>9</v>
      </c>
      <c r="B135" t="s">
        <v>9</v>
      </c>
      <c r="C135" t="s">
        <v>2363</v>
      </c>
      <c r="D135" t="s">
        <v>607</v>
      </c>
      <c r="F135">
        <v>2013</v>
      </c>
      <c r="G135" t="s">
        <v>75</v>
      </c>
    </row>
    <row r="136" spans="1:9" hidden="1" x14ac:dyDescent="0.35">
      <c r="A136" t="s">
        <v>9</v>
      </c>
      <c r="B136" t="s">
        <v>10</v>
      </c>
      <c r="C136" t="s">
        <v>608</v>
      </c>
      <c r="D136" s="3" t="s">
        <v>609</v>
      </c>
      <c r="E136" t="s">
        <v>610</v>
      </c>
      <c r="F136">
        <v>2024</v>
      </c>
      <c r="G136" t="s">
        <v>14</v>
      </c>
      <c r="H136" t="s">
        <v>611</v>
      </c>
      <c r="I136" t="s">
        <v>612</v>
      </c>
    </row>
    <row r="137" spans="1:9" hidden="1" x14ac:dyDescent="0.35">
      <c r="A137" t="s">
        <v>9</v>
      </c>
      <c r="B137" t="s">
        <v>10</v>
      </c>
      <c r="C137" t="s">
        <v>613</v>
      </c>
      <c r="D137" s="3" t="s">
        <v>614</v>
      </c>
      <c r="E137" t="s">
        <v>615</v>
      </c>
      <c r="F137">
        <v>2017</v>
      </c>
      <c r="G137" t="s">
        <v>14</v>
      </c>
      <c r="H137" t="s">
        <v>616</v>
      </c>
      <c r="I137" t="s">
        <v>617</v>
      </c>
    </row>
    <row r="138" spans="1:9" hidden="1" x14ac:dyDescent="0.35">
      <c r="A138" t="s">
        <v>9</v>
      </c>
      <c r="B138" t="s">
        <v>10</v>
      </c>
      <c r="C138" t="s">
        <v>618</v>
      </c>
      <c r="D138" s="3" t="s">
        <v>619</v>
      </c>
      <c r="E138" t="s">
        <v>620</v>
      </c>
      <c r="F138">
        <v>2023</v>
      </c>
      <c r="G138" t="s">
        <v>14</v>
      </c>
      <c r="H138" t="s">
        <v>621</v>
      </c>
      <c r="I138" t="s">
        <v>622</v>
      </c>
    </row>
    <row r="139" spans="1:9" x14ac:dyDescent="0.35">
      <c r="A139" t="s">
        <v>9</v>
      </c>
      <c r="B139" t="s">
        <v>9</v>
      </c>
      <c r="C139" t="s">
        <v>623</v>
      </c>
      <c r="D139" t="s">
        <v>624</v>
      </c>
      <c r="E139" t="s">
        <v>625</v>
      </c>
      <c r="F139">
        <v>2020</v>
      </c>
      <c r="G139" t="s">
        <v>14</v>
      </c>
      <c r="H139" t="s">
        <v>626</v>
      </c>
      <c r="I139" t="s">
        <v>627</v>
      </c>
    </row>
    <row r="140" spans="1:9" hidden="1" x14ac:dyDescent="0.35">
      <c r="A140" t="s">
        <v>9</v>
      </c>
      <c r="B140" t="s">
        <v>10</v>
      </c>
      <c r="C140" t="s">
        <v>628</v>
      </c>
      <c r="D140" s="3" t="s">
        <v>629</v>
      </c>
      <c r="E140" t="s">
        <v>630</v>
      </c>
      <c r="F140">
        <v>2023</v>
      </c>
      <c r="G140" t="s">
        <v>14</v>
      </c>
      <c r="H140" t="s">
        <v>631</v>
      </c>
      <c r="I140" t="s">
        <v>632</v>
      </c>
    </row>
    <row r="141" spans="1:9" hidden="1" x14ac:dyDescent="0.35">
      <c r="A141" t="s">
        <v>9</v>
      </c>
      <c r="B141" t="s">
        <v>10</v>
      </c>
      <c r="C141" t="s">
        <v>633</v>
      </c>
      <c r="D141" s="3" t="s">
        <v>634</v>
      </c>
      <c r="E141" t="s">
        <v>635</v>
      </c>
      <c r="F141">
        <v>2017</v>
      </c>
      <c r="G141" t="s">
        <v>14</v>
      </c>
      <c r="H141" t="s">
        <v>636</v>
      </c>
      <c r="I141" t="s">
        <v>637</v>
      </c>
    </row>
    <row r="142" spans="1:9" hidden="1" x14ac:dyDescent="0.35">
      <c r="B142" t="s">
        <v>10</v>
      </c>
      <c r="D142" s="3" t="s">
        <v>638</v>
      </c>
      <c r="G142" t="s">
        <v>73</v>
      </c>
    </row>
    <row r="143" spans="1:9" x14ac:dyDescent="0.35">
      <c r="A143" t="s">
        <v>9</v>
      </c>
      <c r="B143" t="s">
        <v>9</v>
      </c>
      <c r="C143" t="s">
        <v>2364</v>
      </c>
      <c r="D143" t="s">
        <v>639</v>
      </c>
      <c r="F143">
        <v>2020</v>
      </c>
      <c r="G143" t="s">
        <v>75</v>
      </c>
    </row>
    <row r="144" spans="1:9" x14ac:dyDescent="0.35">
      <c r="A144" t="s">
        <v>9</v>
      </c>
      <c r="B144" t="s">
        <v>9</v>
      </c>
      <c r="C144" t="s">
        <v>2365</v>
      </c>
      <c r="D144" t="s">
        <v>640</v>
      </c>
      <c r="F144">
        <v>2020</v>
      </c>
      <c r="G144" t="s">
        <v>75</v>
      </c>
    </row>
    <row r="145" spans="1:9" hidden="1" x14ac:dyDescent="0.35">
      <c r="A145" t="s">
        <v>9</v>
      </c>
      <c r="B145" t="s">
        <v>10</v>
      </c>
      <c r="C145" t="s">
        <v>641</v>
      </c>
      <c r="D145" s="3" t="s">
        <v>642</v>
      </c>
      <c r="E145" t="s">
        <v>643</v>
      </c>
      <c r="F145">
        <v>2025</v>
      </c>
      <c r="G145" t="s">
        <v>14</v>
      </c>
      <c r="H145" t="s">
        <v>551</v>
      </c>
      <c r="I145" t="s">
        <v>644</v>
      </c>
    </row>
    <row r="146" spans="1:9" x14ac:dyDescent="0.35">
      <c r="A146" t="s">
        <v>9</v>
      </c>
      <c r="B146" t="s">
        <v>9</v>
      </c>
      <c r="C146" t="s">
        <v>645</v>
      </c>
      <c r="D146" t="s">
        <v>646</v>
      </c>
      <c r="E146" t="s">
        <v>647</v>
      </c>
      <c r="F146">
        <v>2021</v>
      </c>
      <c r="G146" t="s">
        <v>14</v>
      </c>
      <c r="H146" t="s">
        <v>648</v>
      </c>
      <c r="I146" t="s">
        <v>649</v>
      </c>
    </row>
    <row r="147" spans="1:9" x14ac:dyDescent="0.35">
      <c r="A147" t="s">
        <v>9</v>
      </c>
      <c r="B147" t="s">
        <v>9</v>
      </c>
      <c r="C147" t="s">
        <v>650</v>
      </c>
      <c r="D147" t="s">
        <v>651</v>
      </c>
      <c r="E147" t="s">
        <v>652</v>
      </c>
      <c r="F147">
        <v>2021</v>
      </c>
      <c r="G147" t="s">
        <v>14</v>
      </c>
      <c r="H147" t="s">
        <v>653</v>
      </c>
      <c r="I147" t="s">
        <v>654</v>
      </c>
    </row>
    <row r="148" spans="1:9" x14ac:dyDescent="0.35">
      <c r="A148" t="s">
        <v>9</v>
      </c>
      <c r="B148" t="s">
        <v>9</v>
      </c>
      <c r="C148" t="s">
        <v>763</v>
      </c>
      <c r="D148" t="s">
        <v>655</v>
      </c>
      <c r="E148" t="s">
        <v>656</v>
      </c>
      <c r="F148">
        <v>2023</v>
      </c>
      <c r="G148" t="s">
        <v>14</v>
      </c>
      <c r="H148" t="s">
        <v>657</v>
      </c>
      <c r="I148" t="s">
        <v>658</v>
      </c>
    </row>
    <row r="149" spans="1:9" hidden="1" x14ac:dyDescent="0.35">
      <c r="A149" t="s">
        <v>10</v>
      </c>
      <c r="B149" t="s">
        <v>10</v>
      </c>
      <c r="D149" s="3" t="s">
        <v>659</v>
      </c>
      <c r="F149">
        <v>2017</v>
      </c>
      <c r="G149" t="s">
        <v>75</v>
      </c>
    </row>
    <row r="150" spans="1:9" x14ac:dyDescent="0.35">
      <c r="A150" t="s">
        <v>9</v>
      </c>
      <c r="B150" t="s">
        <v>9</v>
      </c>
      <c r="C150" t="s">
        <v>2366</v>
      </c>
      <c r="D150" t="s">
        <v>660</v>
      </c>
      <c r="F150">
        <v>2017</v>
      </c>
      <c r="G150" t="s">
        <v>75</v>
      </c>
    </row>
    <row r="151" spans="1:9" hidden="1" x14ac:dyDescent="0.35">
      <c r="A151" t="s">
        <v>9</v>
      </c>
      <c r="B151" t="s">
        <v>10</v>
      </c>
      <c r="C151" t="s">
        <v>661</v>
      </c>
      <c r="D151" s="3" t="s">
        <v>662</v>
      </c>
      <c r="E151" t="s">
        <v>663</v>
      </c>
      <c r="F151">
        <v>2024</v>
      </c>
      <c r="G151" t="s">
        <v>14</v>
      </c>
      <c r="H151" t="s">
        <v>664</v>
      </c>
      <c r="I151" t="s">
        <v>665</v>
      </c>
    </row>
    <row r="152" spans="1:9" hidden="1" x14ac:dyDescent="0.35">
      <c r="A152" t="s">
        <v>9</v>
      </c>
      <c r="B152" t="s">
        <v>10</v>
      </c>
      <c r="C152" t="s">
        <v>666</v>
      </c>
      <c r="D152" s="3" t="s">
        <v>667</v>
      </c>
      <c r="E152" t="s">
        <v>668</v>
      </c>
      <c r="F152">
        <v>2021</v>
      </c>
      <c r="G152" t="s">
        <v>14</v>
      </c>
      <c r="H152" t="s">
        <v>669</v>
      </c>
      <c r="I152" t="s">
        <v>670</v>
      </c>
    </row>
    <row r="153" spans="1:9" hidden="1" x14ac:dyDescent="0.35">
      <c r="A153" t="s">
        <v>9</v>
      </c>
      <c r="B153" t="s">
        <v>10</v>
      </c>
      <c r="C153" t="s">
        <v>671</v>
      </c>
      <c r="D153" s="3" t="s">
        <v>672</v>
      </c>
      <c r="E153" t="s">
        <v>673</v>
      </c>
      <c r="F153">
        <v>2017</v>
      </c>
      <c r="G153" t="s">
        <v>14</v>
      </c>
      <c r="H153" t="s">
        <v>674</v>
      </c>
      <c r="I153" t="s">
        <v>675</v>
      </c>
    </row>
    <row r="154" spans="1:9" x14ac:dyDescent="0.35">
      <c r="A154" t="s">
        <v>9</v>
      </c>
      <c r="B154" t="s">
        <v>9</v>
      </c>
      <c r="C154" t="s">
        <v>676</v>
      </c>
      <c r="D154" t="s">
        <v>677</v>
      </c>
      <c r="E154" t="s">
        <v>678</v>
      </c>
      <c r="F154">
        <v>2021</v>
      </c>
      <c r="G154" t="s">
        <v>14</v>
      </c>
      <c r="H154" t="s">
        <v>679</v>
      </c>
      <c r="I154" t="s">
        <v>680</v>
      </c>
    </row>
    <row r="155" spans="1:9" hidden="1" x14ac:dyDescent="0.35">
      <c r="A155" t="s">
        <v>9</v>
      </c>
      <c r="B155" t="s">
        <v>10</v>
      </c>
      <c r="C155" t="s">
        <v>681</v>
      </c>
      <c r="D155" s="3" t="s">
        <v>682</v>
      </c>
      <c r="E155" t="s">
        <v>683</v>
      </c>
      <c r="F155">
        <v>2015</v>
      </c>
      <c r="G155" t="s">
        <v>14</v>
      </c>
      <c r="H155" t="s">
        <v>684</v>
      </c>
      <c r="I155" t="s">
        <v>685</v>
      </c>
    </row>
    <row r="156" spans="1:9" hidden="1" x14ac:dyDescent="0.35">
      <c r="A156" t="s">
        <v>9</v>
      </c>
      <c r="B156" t="s">
        <v>10</v>
      </c>
      <c r="C156" t="s">
        <v>686</v>
      </c>
      <c r="D156" s="3" t="s">
        <v>687</v>
      </c>
      <c r="E156" t="s">
        <v>688</v>
      </c>
      <c r="F156">
        <v>2020</v>
      </c>
      <c r="G156" t="s">
        <v>14</v>
      </c>
      <c r="H156" t="s">
        <v>689</v>
      </c>
      <c r="I156" t="s">
        <v>690</v>
      </c>
    </row>
    <row r="157" spans="1:9" hidden="1" x14ac:dyDescent="0.35">
      <c r="A157" t="s">
        <v>9</v>
      </c>
      <c r="B157" t="s">
        <v>10</v>
      </c>
      <c r="C157" t="s">
        <v>691</v>
      </c>
      <c r="D157" s="3" t="s">
        <v>692</v>
      </c>
      <c r="E157" t="s">
        <v>693</v>
      </c>
      <c r="F157">
        <v>2018</v>
      </c>
      <c r="G157" t="s">
        <v>14</v>
      </c>
      <c r="H157" t="s">
        <v>694</v>
      </c>
      <c r="I157" t="s">
        <v>695</v>
      </c>
    </row>
    <row r="158" spans="1:9" x14ac:dyDescent="0.35">
      <c r="A158" t="s">
        <v>9</v>
      </c>
      <c r="B158" t="s">
        <v>9</v>
      </c>
      <c r="C158" t="s">
        <v>696</v>
      </c>
      <c r="D158" t="s">
        <v>697</v>
      </c>
      <c r="E158" t="s">
        <v>698</v>
      </c>
      <c r="F158">
        <v>2020</v>
      </c>
      <c r="G158" t="s">
        <v>14</v>
      </c>
      <c r="H158" t="s">
        <v>699</v>
      </c>
      <c r="I158" t="s">
        <v>700</v>
      </c>
    </row>
    <row r="159" spans="1:9" hidden="1" x14ac:dyDescent="0.35">
      <c r="A159" t="s">
        <v>9</v>
      </c>
      <c r="B159" t="s">
        <v>10</v>
      </c>
      <c r="C159" t="s">
        <v>701</v>
      </c>
      <c r="D159" s="3" t="s">
        <v>702</v>
      </c>
      <c r="E159" t="s">
        <v>703</v>
      </c>
      <c r="F159">
        <v>2022</v>
      </c>
      <c r="G159" t="s">
        <v>14</v>
      </c>
      <c r="H159" t="s">
        <v>704</v>
      </c>
      <c r="I159" t="s">
        <v>705</v>
      </c>
    </row>
    <row r="160" spans="1:9" x14ac:dyDescent="0.35">
      <c r="A160" t="s">
        <v>9</v>
      </c>
      <c r="B160" t="s">
        <v>9</v>
      </c>
      <c r="C160" t="s">
        <v>706</v>
      </c>
      <c r="D160" t="s">
        <v>707</v>
      </c>
      <c r="E160" t="s">
        <v>708</v>
      </c>
      <c r="F160">
        <v>2019</v>
      </c>
      <c r="G160" t="s">
        <v>14</v>
      </c>
      <c r="H160" t="s">
        <v>709</v>
      </c>
      <c r="I160" t="s">
        <v>710</v>
      </c>
    </row>
    <row r="161" spans="1:9" x14ac:dyDescent="0.35">
      <c r="A161" t="s">
        <v>9</v>
      </c>
      <c r="B161" t="s">
        <v>9</v>
      </c>
      <c r="C161" t="s">
        <v>711</v>
      </c>
      <c r="D161" t="s">
        <v>712</v>
      </c>
      <c r="E161" t="s">
        <v>713</v>
      </c>
      <c r="F161">
        <v>2025</v>
      </c>
      <c r="G161" t="s">
        <v>14</v>
      </c>
      <c r="H161" t="s">
        <v>714</v>
      </c>
      <c r="I161" t="s">
        <v>715</v>
      </c>
    </row>
    <row r="162" spans="1:9" hidden="1" x14ac:dyDescent="0.35">
      <c r="A162" t="s">
        <v>9</v>
      </c>
      <c r="B162" t="s">
        <v>10</v>
      </c>
      <c r="C162" t="s">
        <v>716</v>
      </c>
      <c r="D162" s="3" t="s">
        <v>717</v>
      </c>
      <c r="E162" t="s">
        <v>718</v>
      </c>
      <c r="F162">
        <v>2019</v>
      </c>
      <c r="G162" t="s">
        <v>14</v>
      </c>
      <c r="H162" t="s">
        <v>719</v>
      </c>
      <c r="I162" t="s">
        <v>720</v>
      </c>
    </row>
    <row r="163" spans="1:9" x14ac:dyDescent="0.35">
      <c r="A163" t="s">
        <v>9</v>
      </c>
      <c r="B163" t="s">
        <v>9</v>
      </c>
      <c r="C163" t="s">
        <v>2367</v>
      </c>
      <c r="D163" s="8" t="s">
        <v>1759</v>
      </c>
      <c r="F163">
        <v>2016</v>
      </c>
      <c r="G163" t="s">
        <v>78</v>
      </c>
      <c r="H163" s="8" t="s">
        <v>1760</v>
      </c>
    </row>
  </sheetData>
  <autoFilter ref="A1:I163" xr:uid="{00000000-0001-0000-0000-000000000000}">
    <filterColumn colId="1">
      <filters>
        <filter val="Y"/>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01D7C-83EC-452E-972A-D12CFDD765C4}">
  <dimension ref="A1:AF84"/>
  <sheetViews>
    <sheetView workbookViewId="0">
      <pane ySplit="1" topLeftCell="A2" activePane="bottomLeft" state="frozen"/>
      <selection pane="bottomLeft" activeCell="E82" sqref="E82"/>
    </sheetView>
  </sheetViews>
  <sheetFormatPr defaultRowHeight="14.5" x14ac:dyDescent="0.35"/>
  <cols>
    <col min="6" max="6" width="8.7265625" style="3"/>
    <col min="10" max="10" width="10.54296875" bestFit="1" customWidth="1"/>
    <col min="28" max="28" width="8.7265625" style="3"/>
  </cols>
  <sheetData>
    <row r="1" spans="1:32" s="1" customFormat="1"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733</v>
      </c>
      <c r="O1" s="2" t="s">
        <v>734</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2004</v>
      </c>
    </row>
    <row r="2" spans="1:32" s="3" customFormat="1" x14ac:dyDescent="0.35">
      <c r="A2" s="3">
        <v>1</v>
      </c>
      <c r="B2" s="3" t="s">
        <v>33</v>
      </c>
      <c r="C2" s="3" t="s">
        <v>35</v>
      </c>
      <c r="D2" s="3" t="s">
        <v>751</v>
      </c>
      <c r="E2" s="3">
        <v>2025</v>
      </c>
      <c r="F2" s="3" t="s">
        <v>752</v>
      </c>
      <c r="G2" s="3" t="s">
        <v>753</v>
      </c>
      <c r="H2" s="3" t="s">
        <v>754</v>
      </c>
      <c r="I2" s="3">
        <v>13.017842</v>
      </c>
      <c r="J2" s="3">
        <v>80.268242000000001</v>
      </c>
      <c r="K2" s="3" t="s">
        <v>755</v>
      </c>
      <c r="L2" s="3" t="s">
        <v>756</v>
      </c>
      <c r="M2" s="3" t="s">
        <v>757</v>
      </c>
      <c r="N2" s="3" t="s">
        <v>758</v>
      </c>
      <c r="O2" s="15"/>
      <c r="P2" s="3" t="s">
        <v>759</v>
      </c>
      <c r="Q2" s="3" t="s">
        <v>760</v>
      </c>
      <c r="R2" s="3" t="s">
        <v>761</v>
      </c>
      <c r="S2" s="3" t="s">
        <v>762</v>
      </c>
      <c r="T2" s="3" t="s">
        <v>763</v>
      </c>
      <c r="U2" s="3" t="s">
        <v>764</v>
      </c>
      <c r="V2" s="3" t="s">
        <v>765</v>
      </c>
      <c r="W2" s="3" t="s">
        <v>766</v>
      </c>
      <c r="X2" s="3" t="s">
        <v>762</v>
      </c>
      <c r="Y2" s="3" t="s">
        <v>767</v>
      </c>
      <c r="Z2" s="3" t="s">
        <v>768</v>
      </c>
      <c r="AA2" s="3" t="s">
        <v>769</v>
      </c>
      <c r="AB2" s="3" t="s">
        <v>770</v>
      </c>
      <c r="AC2" s="3" t="s">
        <v>771</v>
      </c>
      <c r="AD2" s="3" t="s">
        <v>772</v>
      </c>
      <c r="AE2" s="3" t="s">
        <v>773</v>
      </c>
      <c r="AF2" s="3" t="s">
        <v>774</v>
      </c>
    </row>
    <row r="3" spans="1:32" s="3" customFormat="1" x14ac:dyDescent="0.35">
      <c r="A3" s="3">
        <v>2</v>
      </c>
      <c r="B3" s="3" t="s">
        <v>38</v>
      </c>
      <c r="C3" s="3" t="s">
        <v>40</v>
      </c>
      <c r="D3" s="3" t="s">
        <v>751</v>
      </c>
      <c r="E3" s="3">
        <v>2023</v>
      </c>
      <c r="F3" s="3" t="s">
        <v>775</v>
      </c>
      <c r="G3" s="3" t="s">
        <v>753</v>
      </c>
      <c r="H3" s="3" t="s">
        <v>776</v>
      </c>
      <c r="I3" s="3" t="s">
        <v>777</v>
      </c>
      <c r="J3" s="3" t="s">
        <v>778</v>
      </c>
      <c r="K3" s="3" t="s">
        <v>779</v>
      </c>
      <c r="L3" s="3" t="s">
        <v>780</v>
      </c>
      <c r="M3" s="3" t="s">
        <v>781</v>
      </c>
      <c r="N3" s="3" t="s">
        <v>782</v>
      </c>
      <c r="O3" s="3" t="s">
        <v>783</v>
      </c>
      <c r="P3" s="3" t="s">
        <v>784</v>
      </c>
      <c r="Q3" s="3" t="s">
        <v>785</v>
      </c>
      <c r="R3" s="3" t="s">
        <v>786</v>
      </c>
      <c r="S3" s="3" t="s">
        <v>787</v>
      </c>
      <c r="T3" s="3" t="s">
        <v>763</v>
      </c>
      <c r="U3" s="3" t="s">
        <v>764</v>
      </c>
      <c r="V3" s="3" t="s">
        <v>788</v>
      </c>
      <c r="W3" s="3" t="s">
        <v>766</v>
      </c>
      <c r="X3" s="3" t="s">
        <v>787</v>
      </c>
      <c r="Y3" s="3" t="s">
        <v>763</v>
      </c>
      <c r="Z3" s="3" t="s">
        <v>789</v>
      </c>
      <c r="AA3" s="3" t="s">
        <v>790</v>
      </c>
      <c r="AB3" s="3" t="s">
        <v>791</v>
      </c>
      <c r="AC3" s="3" t="s">
        <v>763</v>
      </c>
      <c r="AD3" s="3" t="s">
        <v>763</v>
      </c>
      <c r="AE3" s="3" t="s">
        <v>792</v>
      </c>
      <c r="AF3" s="3" t="s">
        <v>793</v>
      </c>
    </row>
    <row r="4" spans="1:32" s="3" customFormat="1" x14ac:dyDescent="0.35">
      <c r="A4" s="3">
        <v>3</v>
      </c>
      <c r="B4" s="3" t="s">
        <v>43</v>
      </c>
      <c r="C4" s="3" t="s">
        <v>45</v>
      </c>
      <c r="D4" s="3" t="s">
        <v>751</v>
      </c>
      <c r="E4" s="3">
        <v>2022</v>
      </c>
      <c r="F4" s="3" t="s">
        <v>794</v>
      </c>
      <c r="G4" s="3" t="s">
        <v>795</v>
      </c>
      <c r="H4" s="3" t="s">
        <v>754</v>
      </c>
      <c r="I4" s="3" t="s">
        <v>796</v>
      </c>
      <c r="J4" s="3" t="s">
        <v>797</v>
      </c>
      <c r="K4" s="3" t="s">
        <v>798</v>
      </c>
      <c r="L4" s="3" t="s">
        <v>799</v>
      </c>
      <c r="M4" s="15"/>
      <c r="N4" s="15"/>
      <c r="O4" s="15"/>
      <c r="P4" s="3" t="s">
        <v>763</v>
      </c>
      <c r="Q4" s="15"/>
      <c r="R4" s="3" t="s">
        <v>800</v>
      </c>
      <c r="S4" s="3" t="s">
        <v>762</v>
      </c>
      <c r="T4" s="3" t="s">
        <v>763</v>
      </c>
      <c r="U4" s="3" t="s">
        <v>801</v>
      </c>
      <c r="V4" s="3" t="s">
        <v>802</v>
      </c>
      <c r="W4" s="3" t="s">
        <v>766</v>
      </c>
      <c r="X4" s="3" t="s">
        <v>762</v>
      </c>
      <c r="Y4" s="3" t="s">
        <v>763</v>
      </c>
      <c r="Z4" s="3" t="s">
        <v>789</v>
      </c>
      <c r="AA4" s="3" t="s">
        <v>803</v>
      </c>
      <c r="AB4" s="3" t="s">
        <v>804</v>
      </c>
      <c r="AC4" s="3" t="s">
        <v>805</v>
      </c>
      <c r="AD4" s="3" t="s">
        <v>763</v>
      </c>
      <c r="AE4" s="3" t="s">
        <v>763</v>
      </c>
      <c r="AF4" s="3" t="s">
        <v>763</v>
      </c>
    </row>
    <row r="5" spans="1:32" s="3" customFormat="1" x14ac:dyDescent="0.35">
      <c r="A5" s="3">
        <v>4</v>
      </c>
      <c r="B5" s="3" t="s">
        <v>48</v>
      </c>
      <c r="C5" s="3" t="s">
        <v>50</v>
      </c>
      <c r="D5" s="3" t="s">
        <v>751</v>
      </c>
      <c r="E5" s="4">
        <v>2012</v>
      </c>
      <c r="F5" s="3" t="s">
        <v>806</v>
      </c>
      <c r="G5" s="3" t="s">
        <v>753</v>
      </c>
      <c r="H5" s="3" t="s">
        <v>754</v>
      </c>
      <c r="I5" s="12" t="s">
        <v>807</v>
      </c>
      <c r="J5" s="3" t="s">
        <v>808</v>
      </c>
      <c r="K5" s="3" t="s">
        <v>809</v>
      </c>
      <c r="L5" s="3" t="s">
        <v>756</v>
      </c>
      <c r="M5" s="3" t="s">
        <v>810</v>
      </c>
      <c r="N5" s="3" t="s">
        <v>811</v>
      </c>
      <c r="O5" s="15"/>
      <c r="P5" s="15"/>
      <c r="Q5" s="15"/>
      <c r="R5" s="3" t="s">
        <v>812</v>
      </c>
      <c r="S5" s="3" t="s">
        <v>787</v>
      </c>
      <c r="T5" s="3" t="s">
        <v>813</v>
      </c>
      <c r="U5" s="3" t="s">
        <v>814</v>
      </c>
      <c r="V5" s="3" t="s">
        <v>815</v>
      </c>
      <c r="W5" s="3" t="s">
        <v>766</v>
      </c>
      <c r="X5" s="3" t="s">
        <v>787</v>
      </c>
      <c r="Y5" s="3" t="s">
        <v>763</v>
      </c>
      <c r="Z5" s="3" t="s">
        <v>789</v>
      </c>
      <c r="AA5" s="3" t="s">
        <v>816</v>
      </c>
      <c r="AB5" s="3" t="s">
        <v>817</v>
      </c>
      <c r="AC5" s="3" t="s">
        <v>818</v>
      </c>
      <c r="AD5" s="3" t="s">
        <v>763</v>
      </c>
      <c r="AE5" s="3" t="s">
        <v>819</v>
      </c>
      <c r="AF5" s="3" t="s">
        <v>820</v>
      </c>
    </row>
    <row r="6" spans="1:32" s="3" customFormat="1" x14ac:dyDescent="0.35">
      <c r="A6" s="3">
        <v>5</v>
      </c>
      <c r="B6" s="3" t="s">
        <v>53</v>
      </c>
      <c r="C6" s="3" t="s">
        <v>55</v>
      </c>
      <c r="D6" s="3" t="s">
        <v>751</v>
      </c>
      <c r="E6" s="3">
        <v>2016</v>
      </c>
      <c r="F6" s="3" t="s">
        <v>821</v>
      </c>
      <c r="G6" s="3" t="s">
        <v>753</v>
      </c>
      <c r="H6" s="3" t="s">
        <v>754</v>
      </c>
      <c r="I6" s="3" t="s">
        <v>1751</v>
      </c>
      <c r="J6" s="3" t="s">
        <v>1752</v>
      </c>
      <c r="K6" s="3" t="s">
        <v>822</v>
      </c>
      <c r="L6" s="3" t="s">
        <v>823</v>
      </c>
      <c r="M6" s="15"/>
      <c r="N6" s="15"/>
      <c r="O6" s="15"/>
      <c r="P6" s="3" t="s">
        <v>824</v>
      </c>
      <c r="Q6" s="3" t="s">
        <v>1614</v>
      </c>
      <c r="R6" s="3" t="s">
        <v>786</v>
      </c>
      <c r="S6" s="3" t="s">
        <v>787</v>
      </c>
      <c r="T6" s="3" t="s">
        <v>763</v>
      </c>
      <c r="U6" s="3" t="s">
        <v>825</v>
      </c>
      <c r="V6" s="7" t="s">
        <v>1779</v>
      </c>
      <c r="W6" s="3" t="s">
        <v>766</v>
      </c>
      <c r="X6" s="3" t="s">
        <v>826</v>
      </c>
      <c r="Y6" s="3" t="s">
        <v>763</v>
      </c>
      <c r="Z6" s="3" t="s">
        <v>789</v>
      </c>
      <c r="AA6" s="3" t="s">
        <v>827</v>
      </c>
      <c r="AB6" s="3" t="s">
        <v>1780</v>
      </c>
      <c r="AC6" s="3" t="s">
        <v>763</v>
      </c>
      <c r="AD6" s="3" t="s">
        <v>763</v>
      </c>
      <c r="AE6" s="3" t="s">
        <v>828</v>
      </c>
      <c r="AF6" s="5" t="s">
        <v>829</v>
      </c>
    </row>
    <row r="7" spans="1:32" s="3" customFormat="1" x14ac:dyDescent="0.35">
      <c r="A7" s="3">
        <v>6</v>
      </c>
      <c r="B7" s="3" t="s">
        <v>58</v>
      </c>
      <c r="C7" s="3" t="s">
        <v>60</v>
      </c>
      <c r="D7" s="3" t="s">
        <v>751</v>
      </c>
      <c r="E7" s="3">
        <v>2024</v>
      </c>
      <c r="F7" s="3" t="s">
        <v>830</v>
      </c>
      <c r="G7" s="3" t="s">
        <v>753</v>
      </c>
      <c r="H7" s="3" t="s">
        <v>776</v>
      </c>
      <c r="I7" s="3">
        <v>-6.8858057710537199</v>
      </c>
      <c r="J7" s="3">
        <v>107.61136542001</v>
      </c>
      <c r="K7" s="3" t="s">
        <v>831</v>
      </c>
      <c r="L7" s="3" t="s">
        <v>832</v>
      </c>
      <c r="M7" s="15"/>
      <c r="N7" s="15"/>
      <c r="O7" s="15"/>
      <c r="P7" s="3" t="s">
        <v>759</v>
      </c>
      <c r="Q7" s="15"/>
      <c r="R7" s="3" t="s">
        <v>833</v>
      </c>
      <c r="S7" s="3" t="s">
        <v>762</v>
      </c>
      <c r="T7" s="3" t="s">
        <v>834</v>
      </c>
      <c r="U7" s="3" t="s">
        <v>835</v>
      </c>
      <c r="V7" s="3" t="s">
        <v>836</v>
      </c>
      <c r="W7" s="3" t="s">
        <v>766</v>
      </c>
      <c r="X7" s="3" t="s">
        <v>762</v>
      </c>
      <c r="Y7" s="3" t="s">
        <v>837</v>
      </c>
      <c r="Z7" s="3" t="s">
        <v>789</v>
      </c>
      <c r="AA7" s="3" t="s">
        <v>838</v>
      </c>
      <c r="AB7" s="3" t="s">
        <v>763</v>
      </c>
      <c r="AC7" s="3" t="s">
        <v>839</v>
      </c>
      <c r="AD7" s="3" t="s">
        <v>763</v>
      </c>
      <c r="AE7" s="3" t="s">
        <v>840</v>
      </c>
      <c r="AF7" s="3" t="s">
        <v>841</v>
      </c>
    </row>
    <row r="8" spans="1:32" s="3" customFormat="1" x14ac:dyDescent="0.35">
      <c r="A8" s="3">
        <v>7</v>
      </c>
      <c r="B8" s="3" t="s">
        <v>63</v>
      </c>
      <c r="C8" s="3" t="s">
        <v>65</v>
      </c>
      <c r="D8" s="3" t="s">
        <v>751</v>
      </c>
      <c r="E8" s="3">
        <v>2023</v>
      </c>
      <c r="F8" s="3" t="s">
        <v>842</v>
      </c>
      <c r="G8" s="3" t="s">
        <v>753</v>
      </c>
      <c r="H8" s="3" t="s">
        <v>776</v>
      </c>
      <c r="I8" s="3" t="s">
        <v>843</v>
      </c>
      <c r="J8" s="3" t="s">
        <v>844</v>
      </c>
      <c r="K8" s="3" t="s">
        <v>845</v>
      </c>
      <c r="L8" s="3" t="s">
        <v>846</v>
      </c>
      <c r="M8" s="3" t="s">
        <v>847</v>
      </c>
      <c r="N8" s="3" t="s">
        <v>848</v>
      </c>
      <c r="O8" s="3" t="s">
        <v>849</v>
      </c>
      <c r="P8" s="3" t="s">
        <v>763</v>
      </c>
      <c r="Q8" s="3" t="s">
        <v>850</v>
      </c>
      <c r="R8" s="3" t="s">
        <v>833</v>
      </c>
      <c r="S8" s="3" t="s">
        <v>787</v>
      </c>
      <c r="T8" s="3" t="s">
        <v>851</v>
      </c>
      <c r="U8" s="3" t="s">
        <v>852</v>
      </c>
      <c r="V8" s="3" t="s">
        <v>763</v>
      </c>
      <c r="W8" s="3" t="s">
        <v>766</v>
      </c>
      <c r="X8" s="3" t="s">
        <v>787</v>
      </c>
      <c r="Y8" s="3" t="s">
        <v>853</v>
      </c>
      <c r="Z8" s="3" t="s">
        <v>789</v>
      </c>
      <c r="AA8" s="3" t="s">
        <v>854</v>
      </c>
      <c r="AB8" s="3" t="s">
        <v>763</v>
      </c>
      <c r="AC8" s="3" t="s">
        <v>855</v>
      </c>
      <c r="AD8" s="3" t="s">
        <v>763</v>
      </c>
      <c r="AE8" s="3" t="s">
        <v>763</v>
      </c>
      <c r="AF8" s="3" t="s">
        <v>856</v>
      </c>
    </row>
    <row r="9" spans="1:32" s="3" customFormat="1" x14ac:dyDescent="0.35">
      <c r="A9" s="3">
        <v>8</v>
      </c>
      <c r="B9" s="3" t="s">
        <v>857</v>
      </c>
      <c r="C9" s="3" t="s">
        <v>858</v>
      </c>
      <c r="D9" s="3" t="s">
        <v>859</v>
      </c>
      <c r="E9" s="3">
        <v>2014</v>
      </c>
      <c r="F9" s="3" t="s">
        <v>860</v>
      </c>
      <c r="G9" s="3" t="s">
        <v>753</v>
      </c>
      <c r="H9" s="3" t="s">
        <v>776</v>
      </c>
      <c r="I9" s="3" t="s">
        <v>861</v>
      </c>
      <c r="J9" s="3" t="s">
        <v>862</v>
      </c>
      <c r="K9" s="3" t="s">
        <v>863</v>
      </c>
      <c r="L9" s="3" t="s">
        <v>846</v>
      </c>
      <c r="M9" s="15"/>
      <c r="N9" s="15"/>
      <c r="O9" s="15"/>
      <c r="P9" s="3" t="s">
        <v>763</v>
      </c>
      <c r="Q9" s="3" t="s">
        <v>850</v>
      </c>
      <c r="R9" s="3" t="s">
        <v>864</v>
      </c>
      <c r="S9" s="3" t="s">
        <v>787</v>
      </c>
      <c r="T9" s="3" t="s">
        <v>865</v>
      </c>
      <c r="U9" s="3" t="s">
        <v>866</v>
      </c>
      <c r="V9" s="3" t="s">
        <v>763</v>
      </c>
      <c r="W9" s="3" t="s">
        <v>766</v>
      </c>
      <c r="X9" s="3" t="s">
        <v>787</v>
      </c>
      <c r="Y9" s="3" t="s">
        <v>867</v>
      </c>
      <c r="Z9" s="3" t="s">
        <v>868</v>
      </c>
      <c r="AA9" s="3" t="s">
        <v>763</v>
      </c>
      <c r="AB9" s="3" t="s">
        <v>763</v>
      </c>
      <c r="AC9" s="3" t="s">
        <v>869</v>
      </c>
      <c r="AD9" s="3" t="s">
        <v>763</v>
      </c>
      <c r="AE9" s="3" t="s">
        <v>870</v>
      </c>
      <c r="AF9" s="3" t="s">
        <v>763</v>
      </c>
    </row>
    <row r="10" spans="1:32" s="3" customFormat="1" x14ac:dyDescent="0.35">
      <c r="A10" s="3">
        <v>9</v>
      </c>
      <c r="B10" s="3" t="s">
        <v>871</v>
      </c>
      <c r="C10" s="3" t="s">
        <v>872</v>
      </c>
      <c r="D10" s="3" t="s">
        <v>873</v>
      </c>
      <c r="E10" s="3">
        <v>2018</v>
      </c>
      <c r="F10" s="3" t="s">
        <v>874</v>
      </c>
      <c r="G10" s="3" t="s">
        <v>753</v>
      </c>
      <c r="H10" s="3" t="s">
        <v>754</v>
      </c>
      <c r="I10" s="3" t="s">
        <v>875</v>
      </c>
      <c r="J10" s="3" t="s">
        <v>876</v>
      </c>
      <c r="K10" s="3" t="s">
        <v>877</v>
      </c>
      <c r="L10" s="3" t="s">
        <v>878</v>
      </c>
      <c r="M10" s="15"/>
      <c r="N10" s="3" t="s">
        <v>879</v>
      </c>
      <c r="O10" s="3" t="s">
        <v>880</v>
      </c>
      <c r="P10" s="3" t="s">
        <v>881</v>
      </c>
      <c r="Q10" s="15"/>
      <c r="R10" s="3" t="s">
        <v>786</v>
      </c>
      <c r="S10" s="3" t="s">
        <v>787</v>
      </c>
      <c r="T10" s="3" t="s">
        <v>834</v>
      </c>
      <c r="U10" s="3" t="s">
        <v>764</v>
      </c>
      <c r="V10" s="3" t="s">
        <v>882</v>
      </c>
      <c r="W10" s="3" t="s">
        <v>766</v>
      </c>
      <c r="X10" s="3" t="s">
        <v>826</v>
      </c>
      <c r="Y10" s="3" t="s">
        <v>763</v>
      </c>
      <c r="Z10" s="3" t="s">
        <v>768</v>
      </c>
      <c r="AA10" s="3" t="s">
        <v>883</v>
      </c>
      <c r="AB10" s="3" t="s">
        <v>884</v>
      </c>
      <c r="AC10" s="6" t="s">
        <v>885</v>
      </c>
      <c r="AD10" s="3" t="s">
        <v>763</v>
      </c>
      <c r="AE10" s="3" t="s">
        <v>886</v>
      </c>
      <c r="AF10" s="3" t="s">
        <v>887</v>
      </c>
    </row>
    <row r="11" spans="1:32" s="3" customFormat="1" x14ac:dyDescent="0.35">
      <c r="A11" s="3">
        <v>10</v>
      </c>
      <c r="B11" s="3" t="s">
        <v>888</v>
      </c>
      <c r="C11" s="3" t="s">
        <v>889</v>
      </c>
      <c r="D11" s="3" t="s">
        <v>873</v>
      </c>
      <c r="E11" s="3">
        <v>2022</v>
      </c>
      <c r="F11" s="3" t="s">
        <v>890</v>
      </c>
      <c r="G11" s="3" t="s">
        <v>753</v>
      </c>
      <c r="H11" s="3" t="s">
        <v>754</v>
      </c>
      <c r="I11" s="3" t="s">
        <v>891</v>
      </c>
      <c r="J11" s="3" t="s">
        <v>892</v>
      </c>
      <c r="K11" s="3" t="s">
        <v>893</v>
      </c>
      <c r="L11" s="3" t="s">
        <v>894</v>
      </c>
      <c r="M11" s="3" t="s">
        <v>895</v>
      </c>
      <c r="N11" s="3" t="s">
        <v>896</v>
      </c>
      <c r="O11" s="3" t="s">
        <v>897</v>
      </c>
      <c r="P11" s="3" t="s">
        <v>759</v>
      </c>
      <c r="Q11" s="15"/>
      <c r="R11" s="3" t="s">
        <v>761</v>
      </c>
      <c r="S11" s="3" t="s">
        <v>762</v>
      </c>
      <c r="T11" s="3" t="s">
        <v>834</v>
      </c>
      <c r="U11" s="3" t="s">
        <v>764</v>
      </c>
      <c r="V11" s="3" t="s">
        <v>898</v>
      </c>
      <c r="W11" s="3" t="s">
        <v>766</v>
      </c>
      <c r="X11" s="3" t="s">
        <v>762</v>
      </c>
      <c r="Y11" s="3" t="s">
        <v>763</v>
      </c>
      <c r="Z11" s="3" t="s">
        <v>899</v>
      </c>
      <c r="AA11" s="3" t="s">
        <v>900</v>
      </c>
      <c r="AB11" s="3" t="s">
        <v>901</v>
      </c>
      <c r="AC11" s="3" t="s">
        <v>902</v>
      </c>
      <c r="AD11" s="3" t="s">
        <v>763</v>
      </c>
      <c r="AE11" s="3" t="s">
        <v>903</v>
      </c>
      <c r="AF11" s="3" t="s">
        <v>904</v>
      </c>
    </row>
    <row r="12" spans="1:32" s="3" customFormat="1" x14ac:dyDescent="0.35">
      <c r="A12" s="3">
        <v>11</v>
      </c>
      <c r="B12" s="3" t="s">
        <v>905</v>
      </c>
      <c r="C12" s="3" t="s">
        <v>906</v>
      </c>
      <c r="D12" s="3" t="s">
        <v>873</v>
      </c>
      <c r="E12" s="3">
        <v>2023</v>
      </c>
      <c r="F12" s="3" t="s">
        <v>907</v>
      </c>
      <c r="G12" s="3" t="s">
        <v>753</v>
      </c>
      <c r="H12" s="3" t="s">
        <v>754</v>
      </c>
      <c r="I12" s="3" t="s">
        <v>908</v>
      </c>
      <c r="J12" s="3" t="s">
        <v>909</v>
      </c>
      <c r="K12" s="20" t="s">
        <v>1774</v>
      </c>
      <c r="L12" s="3" t="s">
        <v>894</v>
      </c>
      <c r="M12" s="3" t="s">
        <v>910</v>
      </c>
      <c r="N12" s="3" t="s">
        <v>911</v>
      </c>
      <c r="O12" s="3" t="s">
        <v>912</v>
      </c>
      <c r="P12" s="3" t="s">
        <v>913</v>
      </c>
      <c r="Q12" s="3" t="s">
        <v>1775</v>
      </c>
      <c r="R12" s="3" t="s">
        <v>833</v>
      </c>
      <c r="S12" s="3" t="s">
        <v>787</v>
      </c>
      <c r="T12" s="3" t="s">
        <v>865</v>
      </c>
      <c r="U12" s="3" t="s">
        <v>915</v>
      </c>
      <c r="V12" s="7" t="s">
        <v>1776</v>
      </c>
      <c r="W12" s="3" t="s">
        <v>766</v>
      </c>
      <c r="X12" s="3" t="s">
        <v>787</v>
      </c>
      <c r="Y12" s="3" t="s">
        <v>916</v>
      </c>
      <c r="Z12" s="3" t="s">
        <v>768</v>
      </c>
      <c r="AA12" s="3" t="s">
        <v>1773</v>
      </c>
      <c r="AB12" s="3" t="s">
        <v>763</v>
      </c>
      <c r="AC12" s="7" t="s">
        <v>1772</v>
      </c>
      <c r="AD12" s="3" t="s">
        <v>763</v>
      </c>
      <c r="AE12" s="7" t="s">
        <v>1771</v>
      </c>
      <c r="AF12" s="3" t="s">
        <v>917</v>
      </c>
    </row>
    <row r="13" spans="1:32" s="3" customFormat="1" x14ac:dyDescent="0.35">
      <c r="A13" s="3">
        <v>12</v>
      </c>
      <c r="B13" s="3" t="s">
        <v>82</v>
      </c>
      <c r="C13" s="3" t="s">
        <v>84</v>
      </c>
      <c r="D13" s="3" t="s">
        <v>751</v>
      </c>
      <c r="E13" s="3">
        <v>2024</v>
      </c>
      <c r="F13" s="3">
        <v>2023</v>
      </c>
      <c r="G13" s="3" t="s">
        <v>795</v>
      </c>
      <c r="H13" s="3" t="s">
        <v>754</v>
      </c>
      <c r="I13" s="3" t="s">
        <v>918</v>
      </c>
      <c r="J13" s="3" t="s">
        <v>919</v>
      </c>
      <c r="K13" s="3" t="s">
        <v>920</v>
      </c>
      <c r="L13" s="3" t="s">
        <v>756</v>
      </c>
      <c r="M13" s="3" t="s">
        <v>921</v>
      </c>
      <c r="N13" s="3" t="s">
        <v>922</v>
      </c>
      <c r="O13" s="3" t="s">
        <v>923</v>
      </c>
      <c r="P13" s="3" t="s">
        <v>763</v>
      </c>
      <c r="Q13" s="15"/>
      <c r="R13" s="3" t="s">
        <v>924</v>
      </c>
      <c r="S13" s="3" t="s">
        <v>787</v>
      </c>
      <c r="T13" s="3" t="s">
        <v>865</v>
      </c>
      <c r="U13" s="3" t="s">
        <v>925</v>
      </c>
      <c r="V13" s="3" t="s">
        <v>926</v>
      </c>
      <c r="W13" s="3" t="s">
        <v>766</v>
      </c>
      <c r="X13" s="3" t="s">
        <v>787</v>
      </c>
      <c r="Y13" s="3" t="s">
        <v>927</v>
      </c>
      <c r="Z13" s="3" t="s">
        <v>899</v>
      </c>
      <c r="AA13" s="3" t="s">
        <v>928</v>
      </c>
      <c r="AB13" s="3" t="s">
        <v>763</v>
      </c>
      <c r="AC13" s="3" t="s">
        <v>929</v>
      </c>
      <c r="AD13" s="3" t="s">
        <v>930</v>
      </c>
      <c r="AE13" s="3" t="s">
        <v>931</v>
      </c>
      <c r="AF13" s="3" t="s">
        <v>763</v>
      </c>
    </row>
    <row r="14" spans="1:32" s="3" customFormat="1" x14ac:dyDescent="0.35">
      <c r="A14" s="3">
        <v>13</v>
      </c>
      <c r="B14" s="3" t="s">
        <v>932</v>
      </c>
      <c r="C14" s="3" t="s">
        <v>933</v>
      </c>
      <c r="D14" s="3" t="s">
        <v>751</v>
      </c>
      <c r="E14" s="3">
        <v>2023</v>
      </c>
      <c r="F14" s="3" t="s">
        <v>763</v>
      </c>
      <c r="G14" s="3" t="s">
        <v>753</v>
      </c>
      <c r="H14" s="3" t="s">
        <v>754</v>
      </c>
      <c r="I14" s="3">
        <v>9.8820949999999996</v>
      </c>
      <c r="J14" s="3">
        <v>78.081536999999997</v>
      </c>
      <c r="K14" s="3" t="s">
        <v>934</v>
      </c>
      <c r="L14" s="3" t="s">
        <v>756</v>
      </c>
      <c r="M14" s="15"/>
      <c r="N14" s="15"/>
      <c r="O14" s="15"/>
      <c r="P14" s="3" t="s">
        <v>763</v>
      </c>
      <c r="Q14" s="15"/>
      <c r="R14" s="3" t="s">
        <v>935</v>
      </c>
      <c r="S14" s="3" t="s">
        <v>762</v>
      </c>
      <c r="T14" s="3" t="s">
        <v>865</v>
      </c>
      <c r="U14" s="3" t="s">
        <v>936</v>
      </c>
      <c r="V14" s="3" t="s">
        <v>937</v>
      </c>
      <c r="W14" s="3" t="s">
        <v>766</v>
      </c>
      <c r="X14" s="3" t="s">
        <v>762</v>
      </c>
      <c r="Y14" s="3" t="s">
        <v>763</v>
      </c>
      <c r="Z14" s="3" t="s">
        <v>768</v>
      </c>
      <c r="AA14" s="3" t="s">
        <v>938</v>
      </c>
      <c r="AB14" s="3" t="s">
        <v>763</v>
      </c>
      <c r="AC14" s="3" t="s">
        <v>939</v>
      </c>
      <c r="AD14" s="3" t="s">
        <v>940</v>
      </c>
      <c r="AE14" s="3" t="s">
        <v>941</v>
      </c>
      <c r="AF14" s="3" t="s">
        <v>942</v>
      </c>
    </row>
    <row r="15" spans="1:32" s="3" customFormat="1" x14ac:dyDescent="0.35">
      <c r="A15" s="3">
        <v>14</v>
      </c>
      <c r="B15" s="3" t="s">
        <v>94</v>
      </c>
      <c r="C15" s="3" t="s">
        <v>96</v>
      </c>
      <c r="D15" s="3" t="s">
        <v>751</v>
      </c>
      <c r="E15" s="3">
        <v>2022</v>
      </c>
      <c r="F15" s="3" t="s">
        <v>943</v>
      </c>
      <c r="G15" s="3" t="s">
        <v>795</v>
      </c>
      <c r="H15" s="3" t="s">
        <v>754</v>
      </c>
      <c r="I15" s="12" t="s">
        <v>944</v>
      </c>
      <c r="J15" s="3" t="s">
        <v>945</v>
      </c>
      <c r="K15" s="3" t="s">
        <v>946</v>
      </c>
      <c r="L15" s="3" t="s">
        <v>756</v>
      </c>
      <c r="M15" s="15"/>
      <c r="N15" s="3" t="s">
        <v>947</v>
      </c>
      <c r="O15" s="3" t="s">
        <v>923</v>
      </c>
      <c r="P15" s="3" t="s">
        <v>948</v>
      </c>
      <c r="Q15" s="15"/>
      <c r="R15" s="3" t="s">
        <v>949</v>
      </c>
      <c r="S15" s="3" t="s">
        <v>762</v>
      </c>
      <c r="T15" s="3" t="s">
        <v>834</v>
      </c>
      <c r="U15" s="3" t="s">
        <v>950</v>
      </c>
      <c r="V15" s="3" t="s">
        <v>951</v>
      </c>
      <c r="W15" s="3" t="s">
        <v>766</v>
      </c>
      <c r="X15" s="3" t="s">
        <v>826</v>
      </c>
      <c r="Y15" s="3" t="s">
        <v>952</v>
      </c>
      <c r="Z15" s="3" t="s">
        <v>899</v>
      </c>
      <c r="AA15" s="3" t="s">
        <v>953</v>
      </c>
      <c r="AB15" s="3" t="s">
        <v>954</v>
      </c>
      <c r="AC15" s="3" t="s">
        <v>955</v>
      </c>
      <c r="AD15" s="3" t="s">
        <v>956</v>
      </c>
      <c r="AE15" s="3" t="s">
        <v>957</v>
      </c>
      <c r="AF15" s="3" t="s">
        <v>763</v>
      </c>
    </row>
    <row r="16" spans="1:32" s="3" customFormat="1" x14ac:dyDescent="0.35">
      <c r="A16" s="3">
        <v>15</v>
      </c>
      <c r="B16" s="3" t="s">
        <v>958</v>
      </c>
      <c r="C16" s="3" t="s">
        <v>959</v>
      </c>
      <c r="D16" s="3" t="s">
        <v>751</v>
      </c>
      <c r="E16" s="3">
        <v>2021</v>
      </c>
      <c r="F16" s="3">
        <v>2020</v>
      </c>
      <c r="G16" s="3" t="s">
        <v>753</v>
      </c>
      <c r="H16" s="3" t="s">
        <v>776</v>
      </c>
      <c r="I16" s="3" t="s">
        <v>960</v>
      </c>
      <c r="J16" s="3" t="s">
        <v>961</v>
      </c>
      <c r="K16" s="3" t="s">
        <v>962</v>
      </c>
      <c r="L16" s="3" t="s">
        <v>832</v>
      </c>
      <c r="M16" s="15"/>
      <c r="N16" s="15"/>
      <c r="O16" s="15"/>
      <c r="P16" s="3" t="s">
        <v>763</v>
      </c>
      <c r="Q16" s="15"/>
      <c r="R16" s="3" t="s">
        <v>963</v>
      </c>
      <c r="S16" s="3" t="s">
        <v>787</v>
      </c>
      <c r="T16" s="3" t="s">
        <v>763</v>
      </c>
      <c r="U16" s="3" t="s">
        <v>964</v>
      </c>
      <c r="V16" s="3" t="s">
        <v>965</v>
      </c>
      <c r="W16" s="3" t="s">
        <v>766</v>
      </c>
      <c r="X16" s="3" t="s">
        <v>787</v>
      </c>
      <c r="Y16" s="3" t="s">
        <v>763</v>
      </c>
      <c r="Z16" s="3" t="s">
        <v>789</v>
      </c>
      <c r="AA16" s="3" t="s">
        <v>966</v>
      </c>
      <c r="AB16" s="3" t="s">
        <v>967</v>
      </c>
      <c r="AC16" s="3" t="s">
        <v>968</v>
      </c>
      <c r="AD16" s="3" t="s">
        <v>763</v>
      </c>
      <c r="AE16" s="3" t="s">
        <v>969</v>
      </c>
      <c r="AF16" s="3" t="s">
        <v>763</v>
      </c>
    </row>
    <row r="17" spans="1:32" s="3" customFormat="1" x14ac:dyDescent="0.35">
      <c r="A17" s="3">
        <v>16</v>
      </c>
      <c r="B17" s="3" t="s">
        <v>121</v>
      </c>
      <c r="C17" s="3" t="s">
        <v>123</v>
      </c>
      <c r="D17" s="3" t="s">
        <v>751</v>
      </c>
      <c r="E17" s="3">
        <v>2025</v>
      </c>
      <c r="F17" s="3" t="s">
        <v>970</v>
      </c>
      <c r="G17" s="3" t="s">
        <v>753</v>
      </c>
      <c r="H17" s="3" t="s">
        <v>754</v>
      </c>
      <c r="I17" s="12" t="s">
        <v>971</v>
      </c>
      <c r="J17" s="3" t="s">
        <v>972</v>
      </c>
      <c r="K17" s="3" t="s">
        <v>973</v>
      </c>
      <c r="L17" s="3" t="s">
        <v>756</v>
      </c>
      <c r="M17" s="15"/>
      <c r="N17" s="15"/>
      <c r="O17" s="3" t="s">
        <v>974</v>
      </c>
      <c r="P17" s="3" t="s">
        <v>881</v>
      </c>
      <c r="Q17" s="15"/>
      <c r="R17" s="3" t="s">
        <v>833</v>
      </c>
      <c r="S17" s="3" t="s">
        <v>787</v>
      </c>
      <c r="T17" s="15"/>
      <c r="U17" s="3" t="s">
        <v>975</v>
      </c>
      <c r="V17" s="3" t="s">
        <v>976</v>
      </c>
      <c r="W17" s="3" t="s">
        <v>977</v>
      </c>
      <c r="X17" s="3" t="s">
        <v>787</v>
      </c>
      <c r="Y17" s="3" t="s">
        <v>763</v>
      </c>
      <c r="Z17" s="3" t="s">
        <v>768</v>
      </c>
      <c r="AA17" s="3" t="s">
        <v>763</v>
      </c>
      <c r="AB17" s="3" t="s">
        <v>978</v>
      </c>
      <c r="AC17" s="3" t="s">
        <v>979</v>
      </c>
      <c r="AD17" s="3" t="s">
        <v>763</v>
      </c>
      <c r="AE17" s="3" t="s">
        <v>980</v>
      </c>
      <c r="AF17" s="3" t="s">
        <v>763</v>
      </c>
    </row>
    <row r="18" spans="1:32" s="3" customFormat="1" x14ac:dyDescent="0.35">
      <c r="A18" s="3">
        <v>17</v>
      </c>
      <c r="B18" s="3" t="s">
        <v>168</v>
      </c>
      <c r="C18" s="3" t="s">
        <v>170</v>
      </c>
      <c r="D18" s="3" t="s">
        <v>751</v>
      </c>
      <c r="E18" s="3">
        <v>2023</v>
      </c>
      <c r="F18" s="3" t="s">
        <v>981</v>
      </c>
      <c r="G18" s="3" t="s">
        <v>795</v>
      </c>
      <c r="H18" s="3" t="s">
        <v>754</v>
      </c>
      <c r="I18" s="12" t="s">
        <v>982</v>
      </c>
      <c r="J18" s="3" t="s">
        <v>983</v>
      </c>
      <c r="K18" s="3" t="s">
        <v>984</v>
      </c>
      <c r="L18" s="3" t="s">
        <v>985</v>
      </c>
      <c r="M18" s="15"/>
      <c r="N18" s="15"/>
      <c r="O18" s="15"/>
      <c r="P18" s="3" t="s">
        <v>763</v>
      </c>
      <c r="Q18" s="15"/>
      <c r="R18" s="3" t="s">
        <v>833</v>
      </c>
      <c r="S18" s="3" t="s">
        <v>986</v>
      </c>
      <c r="T18" s="3" t="s">
        <v>987</v>
      </c>
      <c r="U18" s="3" t="s">
        <v>764</v>
      </c>
      <c r="V18" s="3" t="s">
        <v>988</v>
      </c>
      <c r="W18" s="3" t="s">
        <v>766</v>
      </c>
      <c r="X18" s="3" t="s">
        <v>787</v>
      </c>
      <c r="Y18" s="3" t="s">
        <v>989</v>
      </c>
      <c r="Z18" s="3" t="s">
        <v>768</v>
      </c>
      <c r="AA18" s="3" t="s">
        <v>990</v>
      </c>
      <c r="AB18" s="3" t="s">
        <v>991</v>
      </c>
      <c r="AC18" s="3" t="s">
        <v>992</v>
      </c>
      <c r="AD18" s="3" t="s">
        <v>763</v>
      </c>
      <c r="AE18" s="3" t="s">
        <v>993</v>
      </c>
      <c r="AF18" s="3" t="s">
        <v>994</v>
      </c>
    </row>
    <row r="19" spans="1:32" s="3" customFormat="1" x14ac:dyDescent="0.35">
      <c r="A19" s="3">
        <v>18</v>
      </c>
      <c r="B19" s="3" t="s">
        <v>997</v>
      </c>
      <c r="C19" s="3" t="s">
        <v>998</v>
      </c>
      <c r="D19" s="3" t="s">
        <v>751</v>
      </c>
      <c r="E19" s="3">
        <v>2012</v>
      </c>
      <c r="F19" s="3">
        <v>2010</v>
      </c>
      <c r="G19" s="3" t="s">
        <v>753</v>
      </c>
      <c r="H19" s="3" t="s">
        <v>754</v>
      </c>
      <c r="I19" s="12" t="s">
        <v>1006</v>
      </c>
      <c r="J19" s="3" t="s">
        <v>1007</v>
      </c>
      <c r="K19" s="3" t="s">
        <v>1005</v>
      </c>
      <c r="L19" s="3" t="s">
        <v>996</v>
      </c>
      <c r="M19" s="15"/>
      <c r="N19" s="15"/>
      <c r="O19" s="15"/>
      <c r="P19" s="3" t="s">
        <v>763</v>
      </c>
      <c r="Q19" s="15"/>
      <c r="R19" s="3" t="s">
        <v>786</v>
      </c>
      <c r="S19" s="3" t="s">
        <v>914</v>
      </c>
      <c r="T19" s="3" t="s">
        <v>1004</v>
      </c>
      <c r="U19" s="3" t="s">
        <v>764</v>
      </c>
      <c r="V19" s="3" t="s">
        <v>1000</v>
      </c>
      <c r="W19" s="3" t="s">
        <v>766</v>
      </c>
      <c r="X19" s="3" t="s">
        <v>787</v>
      </c>
      <c r="Y19" s="3" t="s">
        <v>1003</v>
      </c>
      <c r="Z19" s="3" t="s">
        <v>768</v>
      </c>
      <c r="AA19" s="3" t="s">
        <v>1001</v>
      </c>
      <c r="AB19" s="3" t="s">
        <v>763</v>
      </c>
      <c r="AC19" s="3" t="s">
        <v>995</v>
      </c>
      <c r="AD19" s="3" t="s">
        <v>763</v>
      </c>
      <c r="AE19" s="3" t="s">
        <v>1002</v>
      </c>
      <c r="AF19" s="3" t="s">
        <v>999</v>
      </c>
    </row>
    <row r="20" spans="1:32" s="3" customFormat="1" x14ac:dyDescent="0.35">
      <c r="A20" s="3">
        <v>19</v>
      </c>
      <c r="B20" s="3" t="s">
        <v>92</v>
      </c>
      <c r="C20" s="3" t="s">
        <v>1008</v>
      </c>
      <c r="D20" s="3" t="s">
        <v>751</v>
      </c>
      <c r="E20" s="3">
        <v>2020</v>
      </c>
      <c r="F20" s="3" t="s">
        <v>1009</v>
      </c>
      <c r="G20" s="3" t="s">
        <v>753</v>
      </c>
      <c r="H20" s="3" t="s">
        <v>754</v>
      </c>
      <c r="I20" s="3" t="s">
        <v>1011</v>
      </c>
      <c r="J20" s="3" t="s">
        <v>1010</v>
      </c>
      <c r="K20" s="3" t="s">
        <v>1012</v>
      </c>
      <c r="L20" s="3" t="s">
        <v>756</v>
      </c>
      <c r="M20" s="3" t="s">
        <v>1243</v>
      </c>
      <c r="N20" s="3" t="s">
        <v>1014</v>
      </c>
      <c r="O20" s="3" t="s">
        <v>1015</v>
      </c>
      <c r="P20" s="3" t="s">
        <v>1016</v>
      </c>
      <c r="Q20" s="15"/>
      <c r="R20" s="3" t="s">
        <v>833</v>
      </c>
      <c r="S20" s="3" t="s">
        <v>787</v>
      </c>
      <c r="T20" s="3" t="s">
        <v>865</v>
      </c>
      <c r="U20" s="3" t="s">
        <v>764</v>
      </c>
      <c r="V20" s="3" t="s">
        <v>1017</v>
      </c>
      <c r="W20" s="3" t="s">
        <v>766</v>
      </c>
      <c r="X20" s="3" t="s">
        <v>787</v>
      </c>
      <c r="Y20" s="3" t="s">
        <v>763</v>
      </c>
      <c r="Z20" s="3" t="s">
        <v>768</v>
      </c>
      <c r="AA20" s="3" t="s">
        <v>1021</v>
      </c>
      <c r="AB20" s="3" t="s">
        <v>763</v>
      </c>
      <c r="AC20" s="3" t="s">
        <v>1013</v>
      </c>
      <c r="AD20" s="3" t="s">
        <v>1022</v>
      </c>
      <c r="AE20" s="3" t="s">
        <v>1018</v>
      </c>
      <c r="AF20" s="3" t="s">
        <v>1020</v>
      </c>
    </row>
    <row r="21" spans="1:32" x14ac:dyDescent="0.35">
      <c r="A21" s="3">
        <v>20</v>
      </c>
      <c r="B21" s="3" t="s">
        <v>98</v>
      </c>
      <c r="C21" s="3" t="s">
        <v>1030</v>
      </c>
      <c r="D21" s="3" t="s">
        <v>751</v>
      </c>
      <c r="E21" s="3">
        <v>2018</v>
      </c>
      <c r="F21" s="3" t="s">
        <v>1023</v>
      </c>
      <c r="G21" s="3" t="s">
        <v>795</v>
      </c>
      <c r="H21" s="3" t="s">
        <v>754</v>
      </c>
      <c r="I21" s="3" t="s">
        <v>1028</v>
      </c>
      <c r="J21" s="3" t="s">
        <v>1029</v>
      </c>
      <c r="K21" s="3" t="s">
        <v>1753</v>
      </c>
      <c r="L21" s="3" t="s">
        <v>756</v>
      </c>
      <c r="M21" s="3" t="s">
        <v>1024</v>
      </c>
      <c r="N21" s="3" t="s">
        <v>1025</v>
      </c>
      <c r="O21" s="3" t="s">
        <v>1026</v>
      </c>
      <c r="P21" s="3" t="s">
        <v>759</v>
      </c>
      <c r="Q21" s="15"/>
      <c r="R21" s="3" t="s">
        <v>1035</v>
      </c>
      <c r="S21" s="3" t="s">
        <v>762</v>
      </c>
      <c r="T21" s="3" t="s">
        <v>1031</v>
      </c>
      <c r="U21" s="3" t="s">
        <v>1036</v>
      </c>
      <c r="V21" s="3" t="s">
        <v>1032</v>
      </c>
      <c r="W21" s="3" t="s">
        <v>766</v>
      </c>
      <c r="X21" s="3" t="s">
        <v>762</v>
      </c>
      <c r="Y21" s="3" t="s">
        <v>763</v>
      </c>
      <c r="Z21" s="3" t="s">
        <v>789</v>
      </c>
      <c r="AA21" s="3" t="s">
        <v>1033</v>
      </c>
      <c r="AB21" s="3" t="s">
        <v>763</v>
      </c>
      <c r="AC21" s="3" t="s">
        <v>1034</v>
      </c>
      <c r="AD21" s="3" t="s">
        <v>763</v>
      </c>
      <c r="AE21" s="3" t="s">
        <v>763</v>
      </c>
      <c r="AF21" s="3" t="s">
        <v>1027</v>
      </c>
    </row>
    <row r="22" spans="1:32" x14ac:dyDescent="0.35">
      <c r="A22" s="3">
        <v>21</v>
      </c>
      <c r="B22" t="s">
        <v>111</v>
      </c>
      <c r="C22" t="s">
        <v>113</v>
      </c>
      <c r="D22" s="3" t="s">
        <v>751</v>
      </c>
      <c r="E22" s="3">
        <v>2018</v>
      </c>
      <c r="F22" s="3">
        <v>2016</v>
      </c>
      <c r="G22" s="3" t="s">
        <v>753</v>
      </c>
      <c r="H22" s="3" t="s">
        <v>776</v>
      </c>
      <c r="I22" s="3" t="s">
        <v>1045</v>
      </c>
      <c r="J22" s="3" t="s">
        <v>1046</v>
      </c>
      <c r="K22" s="3" t="s">
        <v>1037</v>
      </c>
      <c r="L22" s="3" t="s">
        <v>832</v>
      </c>
      <c r="M22" s="15"/>
      <c r="N22" s="15"/>
      <c r="O22" s="15"/>
      <c r="P22" s="3" t="s">
        <v>763</v>
      </c>
      <c r="Q22" s="15"/>
      <c r="R22" s="3" t="s">
        <v>1038</v>
      </c>
      <c r="S22" s="3" t="s">
        <v>787</v>
      </c>
      <c r="T22" s="3" t="s">
        <v>1031</v>
      </c>
      <c r="U22" s="3" t="s">
        <v>1039</v>
      </c>
      <c r="V22" s="3" t="s">
        <v>1043</v>
      </c>
      <c r="W22" s="3" t="s">
        <v>766</v>
      </c>
      <c r="X22" s="3" t="s">
        <v>787</v>
      </c>
      <c r="Y22" s="3" t="s">
        <v>763</v>
      </c>
      <c r="Z22" s="3" t="s">
        <v>789</v>
      </c>
      <c r="AA22" s="3" t="s">
        <v>1041</v>
      </c>
      <c r="AB22" s="3" t="s">
        <v>1040</v>
      </c>
      <c r="AC22" s="3" t="s">
        <v>1042</v>
      </c>
      <c r="AD22" s="3" t="s">
        <v>763</v>
      </c>
      <c r="AE22" s="3" t="s">
        <v>1047</v>
      </c>
      <c r="AF22" s="5" t="s">
        <v>1044</v>
      </c>
    </row>
    <row r="23" spans="1:32" x14ac:dyDescent="0.35">
      <c r="A23" s="3">
        <v>22</v>
      </c>
      <c r="B23" t="s">
        <v>126</v>
      </c>
      <c r="C23" t="s">
        <v>128</v>
      </c>
      <c r="D23" s="3" t="s">
        <v>751</v>
      </c>
      <c r="E23" s="3">
        <v>2023</v>
      </c>
      <c r="F23" s="3">
        <v>2019</v>
      </c>
      <c r="G23" s="3" t="s">
        <v>753</v>
      </c>
      <c r="H23" s="3" t="s">
        <v>776</v>
      </c>
      <c r="I23" s="3" t="s">
        <v>1049</v>
      </c>
      <c r="J23" s="3" t="s">
        <v>1050</v>
      </c>
      <c r="K23" s="3" t="s">
        <v>863</v>
      </c>
      <c r="L23" s="3" t="s">
        <v>846</v>
      </c>
      <c r="M23" s="15"/>
      <c r="N23" s="15"/>
      <c r="O23" s="15"/>
      <c r="P23" s="3" t="s">
        <v>763</v>
      </c>
      <c r="Q23" s="3" t="s">
        <v>850</v>
      </c>
      <c r="R23" s="3" t="s">
        <v>833</v>
      </c>
      <c r="S23" s="3" t="s">
        <v>787</v>
      </c>
      <c r="T23" s="3" t="s">
        <v>865</v>
      </c>
      <c r="U23" s="3" t="s">
        <v>1052</v>
      </c>
      <c r="V23" s="3" t="s">
        <v>1032</v>
      </c>
      <c r="W23" s="3" t="s">
        <v>766</v>
      </c>
      <c r="X23" s="3" t="s">
        <v>787</v>
      </c>
      <c r="Y23" s="3" t="s">
        <v>1053</v>
      </c>
      <c r="Z23" s="3" t="s">
        <v>789</v>
      </c>
      <c r="AA23" s="3" t="s">
        <v>763</v>
      </c>
      <c r="AB23" s="3" t="s">
        <v>763</v>
      </c>
      <c r="AC23" s="3" t="s">
        <v>1048</v>
      </c>
      <c r="AD23" s="3" t="s">
        <v>763</v>
      </c>
      <c r="AE23" s="3" t="s">
        <v>763</v>
      </c>
      <c r="AF23" s="3" t="s">
        <v>1051</v>
      </c>
    </row>
    <row r="24" spans="1:32" x14ac:dyDescent="0.35">
      <c r="A24" s="3">
        <v>23</v>
      </c>
      <c r="B24" t="s">
        <v>131</v>
      </c>
      <c r="C24" t="s">
        <v>133</v>
      </c>
      <c r="D24" s="3" t="s">
        <v>751</v>
      </c>
      <c r="E24" s="3">
        <v>2021</v>
      </c>
      <c r="F24" s="3">
        <v>2019</v>
      </c>
      <c r="G24" s="3" t="s">
        <v>753</v>
      </c>
      <c r="H24" s="3" t="s">
        <v>754</v>
      </c>
      <c r="I24" s="7" t="s">
        <v>1061</v>
      </c>
      <c r="J24" s="7" t="s">
        <v>1062</v>
      </c>
      <c r="K24" s="3" t="s">
        <v>1054</v>
      </c>
      <c r="L24" s="3" t="s">
        <v>799</v>
      </c>
      <c r="M24" s="3" t="s">
        <v>1019</v>
      </c>
      <c r="N24" s="15"/>
      <c r="O24" s="3" t="s">
        <v>1063</v>
      </c>
      <c r="P24" s="3" t="s">
        <v>763</v>
      </c>
      <c r="Q24" s="15"/>
      <c r="R24" s="3" t="s">
        <v>1055</v>
      </c>
      <c r="S24" s="3" t="s">
        <v>787</v>
      </c>
      <c r="T24" s="3" t="s">
        <v>834</v>
      </c>
      <c r="U24" s="3" t="s">
        <v>1059</v>
      </c>
      <c r="V24" s="3" t="s">
        <v>1060</v>
      </c>
      <c r="W24" s="3" t="s">
        <v>1058</v>
      </c>
      <c r="X24" s="3" t="s">
        <v>787</v>
      </c>
      <c r="Y24" s="3" t="s">
        <v>1066</v>
      </c>
      <c r="Z24" s="3" t="s">
        <v>789</v>
      </c>
      <c r="AA24" s="3" t="s">
        <v>763</v>
      </c>
      <c r="AB24" s="3" t="s">
        <v>763</v>
      </c>
      <c r="AC24" s="3" t="s">
        <v>1056</v>
      </c>
      <c r="AD24" s="3" t="s">
        <v>1057</v>
      </c>
      <c r="AE24" s="3" t="s">
        <v>1065</v>
      </c>
      <c r="AF24" s="3" t="s">
        <v>1064</v>
      </c>
    </row>
    <row r="25" spans="1:32" x14ac:dyDescent="0.35">
      <c r="A25" s="3">
        <v>24</v>
      </c>
      <c r="B25" t="s">
        <v>136</v>
      </c>
      <c r="C25" t="s">
        <v>138</v>
      </c>
      <c r="D25" s="3" t="s">
        <v>751</v>
      </c>
      <c r="E25" s="3">
        <v>2024</v>
      </c>
      <c r="F25" s="3" t="s">
        <v>1079</v>
      </c>
      <c r="G25" s="3" t="s">
        <v>753</v>
      </c>
      <c r="H25" s="3" t="s">
        <v>754</v>
      </c>
      <c r="I25" s="7" t="s">
        <v>1077</v>
      </c>
      <c r="J25" s="7" t="s">
        <v>1078</v>
      </c>
      <c r="K25" s="20" t="s">
        <v>1076</v>
      </c>
      <c r="L25" s="3" t="s">
        <v>1068</v>
      </c>
      <c r="M25" s="15"/>
      <c r="N25" s="15"/>
      <c r="O25" s="15"/>
      <c r="P25" s="3" t="s">
        <v>763</v>
      </c>
      <c r="Q25" s="15"/>
      <c r="R25" s="3" t="s">
        <v>1067</v>
      </c>
      <c r="S25" s="3" t="s">
        <v>787</v>
      </c>
      <c r="T25" s="3" t="s">
        <v>1031</v>
      </c>
      <c r="U25" s="3" t="s">
        <v>1070</v>
      </c>
      <c r="V25" s="3" t="s">
        <v>1069</v>
      </c>
      <c r="W25" s="3" t="s">
        <v>766</v>
      </c>
      <c r="X25" s="3" t="s">
        <v>787</v>
      </c>
      <c r="Y25" s="3" t="s">
        <v>1072</v>
      </c>
      <c r="Z25" s="3" t="s">
        <v>768</v>
      </c>
      <c r="AA25" s="3" t="s">
        <v>1071</v>
      </c>
      <c r="AB25" s="3" t="s">
        <v>1073</v>
      </c>
      <c r="AC25" s="3" t="s">
        <v>1075</v>
      </c>
      <c r="AD25" s="3" t="s">
        <v>763</v>
      </c>
      <c r="AE25" s="3" t="s">
        <v>763</v>
      </c>
      <c r="AF25" s="3" t="s">
        <v>1074</v>
      </c>
    </row>
    <row r="26" spans="1:32" x14ac:dyDescent="0.35">
      <c r="A26" s="3">
        <v>25</v>
      </c>
      <c r="B26" t="s">
        <v>148</v>
      </c>
      <c r="C26" t="s">
        <v>150</v>
      </c>
      <c r="D26" s="3" t="s">
        <v>751</v>
      </c>
      <c r="E26" s="3">
        <v>2022</v>
      </c>
      <c r="F26" s="3">
        <v>2021</v>
      </c>
      <c r="G26" s="3" t="s">
        <v>753</v>
      </c>
      <c r="H26" s="3" t="s">
        <v>754</v>
      </c>
      <c r="I26" s="7" t="s">
        <v>1082</v>
      </c>
      <c r="J26" s="7" t="s">
        <v>1083</v>
      </c>
      <c r="K26" s="3" t="s">
        <v>1012</v>
      </c>
      <c r="L26" s="3" t="s">
        <v>756</v>
      </c>
      <c r="M26" s="3" t="s">
        <v>1243</v>
      </c>
      <c r="N26" s="3" t="s">
        <v>1080</v>
      </c>
      <c r="O26" s="3" t="s">
        <v>1086</v>
      </c>
      <c r="P26" s="3" t="s">
        <v>763</v>
      </c>
      <c r="Q26" s="15"/>
      <c r="R26" s="3" t="s">
        <v>786</v>
      </c>
      <c r="S26" s="3" t="s">
        <v>762</v>
      </c>
      <c r="T26" s="3" t="s">
        <v>834</v>
      </c>
      <c r="U26" s="3" t="s">
        <v>1085</v>
      </c>
      <c r="V26" s="3" t="s">
        <v>1081</v>
      </c>
      <c r="W26" s="3" t="s">
        <v>766</v>
      </c>
      <c r="X26" s="3" t="s">
        <v>787</v>
      </c>
      <c r="Y26" s="3" t="s">
        <v>763</v>
      </c>
      <c r="Z26" s="3" t="s">
        <v>768</v>
      </c>
      <c r="AA26" s="3" t="s">
        <v>1089</v>
      </c>
      <c r="AB26" s="3" t="s">
        <v>1088</v>
      </c>
      <c r="AC26" s="3" t="s">
        <v>1084</v>
      </c>
      <c r="AD26" s="3" t="s">
        <v>763</v>
      </c>
      <c r="AE26" s="3" t="s">
        <v>1090</v>
      </c>
      <c r="AF26" s="3" t="s">
        <v>1087</v>
      </c>
    </row>
    <row r="27" spans="1:32" x14ac:dyDescent="0.35">
      <c r="A27" s="3">
        <v>26</v>
      </c>
      <c r="B27" t="s">
        <v>153</v>
      </c>
      <c r="C27" t="s">
        <v>155</v>
      </c>
      <c r="D27" s="3" t="s">
        <v>751</v>
      </c>
      <c r="E27" s="3">
        <v>2015</v>
      </c>
      <c r="F27" s="3">
        <v>2015</v>
      </c>
      <c r="G27" s="3" t="s">
        <v>753</v>
      </c>
      <c r="H27" s="3" t="s">
        <v>754</v>
      </c>
      <c r="I27" s="7" t="s">
        <v>1098</v>
      </c>
      <c r="J27" s="7" t="s">
        <v>1099</v>
      </c>
      <c r="K27" t="s">
        <v>1095</v>
      </c>
      <c r="L27" s="3" t="s">
        <v>799</v>
      </c>
      <c r="M27" s="15"/>
      <c r="N27" s="15"/>
      <c r="O27" s="15"/>
      <c r="P27" s="3" t="s">
        <v>763</v>
      </c>
      <c r="Q27" s="15"/>
      <c r="R27" s="3" t="s">
        <v>1094</v>
      </c>
      <c r="S27" s="3" t="s">
        <v>787</v>
      </c>
      <c r="T27" s="3" t="s">
        <v>1031</v>
      </c>
      <c r="U27" s="3" t="s">
        <v>764</v>
      </c>
      <c r="V27" s="3" t="s">
        <v>1091</v>
      </c>
      <c r="W27" s="3" t="s">
        <v>766</v>
      </c>
      <c r="X27" s="3" t="s">
        <v>787</v>
      </c>
      <c r="Y27" t="s">
        <v>1096</v>
      </c>
      <c r="Z27" s="3" t="s">
        <v>789</v>
      </c>
      <c r="AA27" s="3" t="s">
        <v>763</v>
      </c>
      <c r="AB27" s="3" t="s">
        <v>763</v>
      </c>
      <c r="AC27" s="3" t="s">
        <v>1093</v>
      </c>
      <c r="AD27" s="3" t="s">
        <v>1097</v>
      </c>
      <c r="AE27" s="3" t="s">
        <v>1100</v>
      </c>
      <c r="AF27" s="3" t="s">
        <v>1092</v>
      </c>
    </row>
    <row r="28" spans="1:32" x14ac:dyDescent="0.35">
      <c r="A28" s="3">
        <v>27</v>
      </c>
      <c r="B28" t="s">
        <v>158</v>
      </c>
      <c r="C28" t="s">
        <v>160</v>
      </c>
      <c r="D28" s="3" t="s">
        <v>751</v>
      </c>
      <c r="E28" s="3">
        <v>2020</v>
      </c>
      <c r="F28" s="3" t="s">
        <v>763</v>
      </c>
      <c r="G28" s="3" t="s">
        <v>753</v>
      </c>
      <c r="H28" s="3" t="s">
        <v>754</v>
      </c>
      <c r="I28" s="7" t="s">
        <v>1105</v>
      </c>
      <c r="J28" s="7" t="s">
        <v>1106</v>
      </c>
      <c r="K28" t="s">
        <v>1104</v>
      </c>
      <c r="L28" s="3" t="s">
        <v>1102</v>
      </c>
      <c r="M28" s="15"/>
      <c r="N28" s="15"/>
      <c r="O28" s="15"/>
      <c r="P28" s="3" t="s">
        <v>763</v>
      </c>
      <c r="Q28" s="15"/>
      <c r="R28" s="3" t="s">
        <v>1101</v>
      </c>
      <c r="S28" s="3" t="s">
        <v>787</v>
      </c>
      <c r="T28" s="3" t="s">
        <v>865</v>
      </c>
      <c r="U28" s="3" t="s">
        <v>764</v>
      </c>
      <c r="V28" s="3" t="s">
        <v>1091</v>
      </c>
      <c r="W28" s="3" t="s">
        <v>766</v>
      </c>
      <c r="X28" s="3" t="s">
        <v>787</v>
      </c>
      <c r="Y28" s="3" t="s">
        <v>763</v>
      </c>
      <c r="Z28" s="3" t="s">
        <v>768</v>
      </c>
      <c r="AA28" s="3" t="s">
        <v>1103</v>
      </c>
      <c r="AB28" s="3" t="s">
        <v>1108</v>
      </c>
      <c r="AC28" s="3" t="s">
        <v>1107</v>
      </c>
      <c r="AD28" t="s">
        <v>1110</v>
      </c>
      <c r="AE28" s="3" t="s">
        <v>1111</v>
      </c>
      <c r="AF28" s="3" t="s">
        <v>1109</v>
      </c>
    </row>
    <row r="29" spans="1:32" s="8" customFormat="1" x14ac:dyDescent="0.35">
      <c r="A29" s="7">
        <v>28</v>
      </c>
      <c r="B29" s="8" t="s">
        <v>163</v>
      </c>
      <c r="C29" s="8" t="s">
        <v>165</v>
      </c>
      <c r="D29" s="7" t="s">
        <v>751</v>
      </c>
      <c r="E29" s="7">
        <v>2023</v>
      </c>
      <c r="F29" s="7"/>
      <c r="G29" s="7" t="s">
        <v>753</v>
      </c>
      <c r="H29" s="7" t="s">
        <v>754</v>
      </c>
      <c r="I29" s="7" t="s">
        <v>1115</v>
      </c>
      <c r="J29" s="7" t="s">
        <v>1116</v>
      </c>
      <c r="K29" s="8" t="s">
        <v>1114</v>
      </c>
      <c r="L29" s="7" t="s">
        <v>1112</v>
      </c>
      <c r="M29" s="16"/>
      <c r="N29" s="16"/>
      <c r="O29" s="16"/>
      <c r="P29" s="7" t="s">
        <v>763</v>
      </c>
      <c r="Q29" s="8" t="s">
        <v>1113</v>
      </c>
      <c r="R29" s="7" t="s">
        <v>761</v>
      </c>
      <c r="S29" s="7" t="s">
        <v>914</v>
      </c>
      <c r="T29" s="7" t="s">
        <v>1031</v>
      </c>
      <c r="U29" s="7" t="s">
        <v>764</v>
      </c>
      <c r="V29" s="8" t="s">
        <v>1117</v>
      </c>
      <c r="W29" s="7" t="s">
        <v>766</v>
      </c>
      <c r="X29" s="7" t="s">
        <v>787</v>
      </c>
      <c r="Y29" s="7" t="s">
        <v>763</v>
      </c>
      <c r="Z29" s="7" t="s">
        <v>789</v>
      </c>
      <c r="AA29" s="7" t="s">
        <v>1787</v>
      </c>
      <c r="AB29" s="7" t="s">
        <v>1786</v>
      </c>
      <c r="AC29" s="7" t="s">
        <v>1784</v>
      </c>
      <c r="AD29" s="8" t="s">
        <v>1785</v>
      </c>
      <c r="AE29" s="7" t="s">
        <v>1118</v>
      </c>
      <c r="AF29" s="7" t="s">
        <v>763</v>
      </c>
    </row>
    <row r="30" spans="1:32" x14ac:dyDescent="0.35">
      <c r="A30" s="3">
        <v>29</v>
      </c>
      <c r="B30" t="s">
        <v>173</v>
      </c>
      <c r="C30" t="s">
        <v>175</v>
      </c>
      <c r="D30" s="3" t="s">
        <v>751</v>
      </c>
      <c r="E30" s="3">
        <v>2024</v>
      </c>
      <c r="F30" s="3">
        <v>2020</v>
      </c>
      <c r="G30" s="3" t="s">
        <v>753</v>
      </c>
      <c r="H30" s="3" t="s">
        <v>754</v>
      </c>
      <c r="I30" s="7" t="s">
        <v>1127</v>
      </c>
      <c r="J30" s="7" t="s">
        <v>1128</v>
      </c>
      <c r="K30" t="s">
        <v>1104</v>
      </c>
      <c r="L30" s="3" t="s">
        <v>1102</v>
      </c>
      <c r="M30" s="15"/>
      <c r="N30" t="s">
        <v>1126</v>
      </c>
      <c r="O30" t="s">
        <v>1123</v>
      </c>
      <c r="P30" s="3" t="s">
        <v>763</v>
      </c>
      <c r="Q30" s="15"/>
      <c r="R30" s="3" t="s">
        <v>833</v>
      </c>
      <c r="S30" s="3" t="s">
        <v>762</v>
      </c>
      <c r="T30" s="3" t="s">
        <v>865</v>
      </c>
      <c r="U30" s="3" t="s">
        <v>764</v>
      </c>
      <c r="V30" t="s">
        <v>1122</v>
      </c>
      <c r="W30" s="3" t="s">
        <v>766</v>
      </c>
      <c r="X30" s="3" t="s">
        <v>762</v>
      </c>
      <c r="Y30" s="3" t="s">
        <v>763</v>
      </c>
      <c r="Z30" s="3" t="s">
        <v>768</v>
      </c>
      <c r="AA30" s="3" t="s">
        <v>1121</v>
      </c>
      <c r="AB30" s="3" t="s">
        <v>1120</v>
      </c>
      <c r="AC30" s="3" t="s">
        <v>1124</v>
      </c>
      <c r="AD30" s="3" t="s">
        <v>763</v>
      </c>
      <c r="AE30" s="3" t="s">
        <v>1125</v>
      </c>
      <c r="AF30" t="s">
        <v>1119</v>
      </c>
    </row>
    <row r="31" spans="1:32" x14ac:dyDescent="0.35">
      <c r="A31" s="3">
        <v>30</v>
      </c>
      <c r="B31" t="s">
        <v>178</v>
      </c>
      <c r="C31" t="s">
        <v>180</v>
      </c>
      <c r="D31" s="3" t="s">
        <v>751</v>
      </c>
      <c r="E31" s="3">
        <v>2022</v>
      </c>
      <c r="F31" s="3">
        <v>2020</v>
      </c>
      <c r="G31" s="3" t="s">
        <v>753</v>
      </c>
      <c r="H31" s="3" t="s">
        <v>754</v>
      </c>
      <c r="I31" s="13" t="s">
        <v>1137</v>
      </c>
      <c r="J31" s="7" t="s">
        <v>1138</v>
      </c>
      <c r="K31" t="s">
        <v>1130</v>
      </c>
      <c r="L31" s="3" t="s">
        <v>756</v>
      </c>
      <c r="M31" t="s">
        <v>1129</v>
      </c>
      <c r="N31" t="s">
        <v>1132</v>
      </c>
      <c r="O31" t="s">
        <v>1131</v>
      </c>
      <c r="P31" s="3" t="s">
        <v>763</v>
      </c>
      <c r="Q31" s="15"/>
      <c r="R31" s="3" t="s">
        <v>1133</v>
      </c>
      <c r="S31" s="3" t="s">
        <v>787</v>
      </c>
      <c r="T31" s="3" t="s">
        <v>1031</v>
      </c>
      <c r="U31" s="3" t="s">
        <v>764</v>
      </c>
      <c r="V31" t="s">
        <v>1134</v>
      </c>
      <c r="W31" s="3" t="s">
        <v>766</v>
      </c>
      <c r="X31" s="3" t="s">
        <v>787</v>
      </c>
      <c r="Y31" s="3" t="s">
        <v>763</v>
      </c>
      <c r="Z31" s="3" t="s">
        <v>789</v>
      </c>
      <c r="AA31" t="s">
        <v>1141</v>
      </c>
      <c r="AB31" s="7" t="s">
        <v>1140</v>
      </c>
      <c r="AC31" s="3" t="s">
        <v>1135</v>
      </c>
      <c r="AD31" s="3" t="s">
        <v>763</v>
      </c>
      <c r="AE31" s="8" t="s">
        <v>1139</v>
      </c>
      <c r="AF31" t="s">
        <v>1136</v>
      </c>
    </row>
    <row r="32" spans="1:32" x14ac:dyDescent="0.35">
      <c r="A32" s="3">
        <v>31</v>
      </c>
      <c r="B32" t="s">
        <v>1144</v>
      </c>
      <c r="C32" t="s">
        <v>1145</v>
      </c>
      <c r="D32" s="3" t="s">
        <v>751</v>
      </c>
      <c r="E32" s="3">
        <v>2019</v>
      </c>
      <c r="F32" s="3">
        <v>2018</v>
      </c>
      <c r="G32" s="3" t="s">
        <v>753</v>
      </c>
      <c r="H32" s="3" t="s">
        <v>754</v>
      </c>
      <c r="I32" s="7" t="s">
        <v>1151</v>
      </c>
      <c r="J32" s="7" t="s">
        <v>1152</v>
      </c>
      <c r="K32" t="s">
        <v>1143</v>
      </c>
      <c r="L32" s="3" t="s">
        <v>1112</v>
      </c>
      <c r="M32" t="s">
        <v>1153</v>
      </c>
      <c r="N32" t="s">
        <v>1154</v>
      </c>
      <c r="O32" t="s">
        <v>1155</v>
      </c>
      <c r="P32" s="3" t="s">
        <v>763</v>
      </c>
      <c r="Q32" s="15"/>
      <c r="R32" s="3" t="s">
        <v>786</v>
      </c>
      <c r="S32" s="3" t="s">
        <v>787</v>
      </c>
      <c r="T32" s="3" t="s">
        <v>834</v>
      </c>
      <c r="U32" s="3" t="s">
        <v>1148</v>
      </c>
      <c r="V32" t="s">
        <v>1149</v>
      </c>
      <c r="W32" s="3" t="s">
        <v>766</v>
      </c>
      <c r="X32" s="3" t="s">
        <v>787</v>
      </c>
      <c r="Y32" s="3" t="s">
        <v>1142</v>
      </c>
      <c r="Z32" s="3" t="s">
        <v>789</v>
      </c>
      <c r="AA32" t="s">
        <v>1146</v>
      </c>
      <c r="AB32" s="7" t="s">
        <v>1147</v>
      </c>
      <c r="AC32" t="s">
        <v>1156</v>
      </c>
      <c r="AD32" s="3" t="s">
        <v>763</v>
      </c>
      <c r="AE32" s="7" t="s">
        <v>1157</v>
      </c>
      <c r="AF32" t="s">
        <v>1150</v>
      </c>
    </row>
    <row r="33" spans="1:32" x14ac:dyDescent="0.35">
      <c r="A33" s="3">
        <v>32</v>
      </c>
      <c r="B33" t="s">
        <v>183</v>
      </c>
      <c r="C33" t="s">
        <v>1158</v>
      </c>
      <c r="D33" s="3" t="s">
        <v>751</v>
      </c>
      <c r="E33" s="3">
        <v>2019</v>
      </c>
      <c r="F33" s="3" t="s">
        <v>1163</v>
      </c>
      <c r="G33" s="3" t="s">
        <v>753</v>
      </c>
      <c r="H33" s="3" t="s">
        <v>754</v>
      </c>
      <c r="I33" s="7" t="s">
        <v>1166</v>
      </c>
      <c r="J33" s="7" t="s">
        <v>1167</v>
      </c>
      <c r="K33" t="s">
        <v>1159</v>
      </c>
      <c r="L33" t="s">
        <v>1159</v>
      </c>
      <c r="M33" t="s">
        <v>1019</v>
      </c>
      <c r="N33" t="s">
        <v>1161</v>
      </c>
      <c r="O33" t="s">
        <v>1162</v>
      </c>
      <c r="P33" s="3" t="s">
        <v>948</v>
      </c>
      <c r="Q33" s="15"/>
      <c r="R33" s="3" t="s">
        <v>786</v>
      </c>
      <c r="S33" s="3" t="s">
        <v>762</v>
      </c>
      <c r="T33" s="3" t="s">
        <v>834</v>
      </c>
      <c r="U33" s="3" t="s">
        <v>1164</v>
      </c>
      <c r="V33" t="s">
        <v>1165</v>
      </c>
      <c r="W33" s="3" t="s">
        <v>766</v>
      </c>
      <c r="X33" s="3" t="s">
        <v>826</v>
      </c>
      <c r="Y33" s="3" t="s">
        <v>1170</v>
      </c>
      <c r="Z33" s="3" t="s">
        <v>789</v>
      </c>
      <c r="AA33" s="3" t="s">
        <v>763</v>
      </c>
      <c r="AB33" s="7" t="s">
        <v>1169</v>
      </c>
      <c r="AC33" t="s">
        <v>763</v>
      </c>
      <c r="AD33" s="3" t="s">
        <v>763</v>
      </c>
      <c r="AE33" s="7" t="s">
        <v>1168</v>
      </c>
      <c r="AF33" t="s">
        <v>1136</v>
      </c>
    </row>
    <row r="34" spans="1:32" x14ac:dyDescent="0.35">
      <c r="A34" s="3">
        <v>33</v>
      </c>
      <c r="B34" t="s">
        <v>185</v>
      </c>
      <c r="C34" t="s">
        <v>187</v>
      </c>
      <c r="D34" s="3" t="s">
        <v>751</v>
      </c>
      <c r="E34" s="3">
        <v>2023</v>
      </c>
      <c r="F34" s="3">
        <v>2013</v>
      </c>
      <c r="G34" s="3" t="s">
        <v>753</v>
      </c>
      <c r="H34" s="3" t="s">
        <v>754</v>
      </c>
      <c r="I34" t="s">
        <v>1177</v>
      </c>
      <c r="J34" t="s">
        <v>1178</v>
      </c>
      <c r="K34" t="s">
        <v>1171</v>
      </c>
      <c r="L34" t="s">
        <v>894</v>
      </c>
      <c r="M34" t="s">
        <v>1019</v>
      </c>
      <c r="N34" s="15"/>
      <c r="O34" s="15"/>
      <c r="P34" s="3" t="s">
        <v>763</v>
      </c>
      <c r="Q34" s="15"/>
      <c r="R34" t="s">
        <v>833</v>
      </c>
      <c r="S34" s="3" t="s">
        <v>787</v>
      </c>
      <c r="T34" s="3" t="s">
        <v>865</v>
      </c>
      <c r="U34" s="3" t="s">
        <v>764</v>
      </c>
      <c r="V34" t="s">
        <v>1173</v>
      </c>
      <c r="W34" t="s">
        <v>766</v>
      </c>
      <c r="X34" s="3" t="s">
        <v>787</v>
      </c>
      <c r="Y34" s="3" t="s">
        <v>763</v>
      </c>
      <c r="Z34" s="3" t="s">
        <v>789</v>
      </c>
      <c r="AA34" s="3" t="s">
        <v>1175</v>
      </c>
      <c r="AB34" s="7" t="s">
        <v>1174</v>
      </c>
      <c r="AC34" t="s">
        <v>1172</v>
      </c>
      <c r="AD34" s="3" t="s">
        <v>763</v>
      </c>
      <c r="AE34" t="s">
        <v>1176</v>
      </c>
      <c r="AF34" t="s">
        <v>1160</v>
      </c>
    </row>
    <row r="35" spans="1:32" x14ac:dyDescent="0.35">
      <c r="A35" s="3">
        <v>34</v>
      </c>
      <c r="B35" t="s">
        <v>200</v>
      </c>
      <c r="C35" t="s">
        <v>202</v>
      </c>
      <c r="D35" s="3" t="s">
        <v>751</v>
      </c>
      <c r="E35" s="3">
        <v>2018</v>
      </c>
      <c r="F35" s="3" t="s">
        <v>1181</v>
      </c>
      <c r="G35" s="3" t="s">
        <v>795</v>
      </c>
      <c r="H35" s="3" t="s">
        <v>776</v>
      </c>
      <c r="I35" t="s">
        <v>1179</v>
      </c>
      <c r="J35" t="s">
        <v>1180</v>
      </c>
      <c r="K35" t="s">
        <v>1754</v>
      </c>
      <c r="L35" t="s">
        <v>832</v>
      </c>
      <c r="M35" t="s">
        <v>1019</v>
      </c>
      <c r="N35" s="15"/>
      <c r="O35" t="s">
        <v>1183</v>
      </c>
      <c r="P35" t="s">
        <v>763</v>
      </c>
      <c r="Q35" s="15"/>
      <c r="R35" t="s">
        <v>1187</v>
      </c>
      <c r="S35" s="3" t="s">
        <v>787</v>
      </c>
      <c r="T35" s="3" t="s">
        <v>1184</v>
      </c>
      <c r="U35" s="3" t="s">
        <v>1182</v>
      </c>
      <c r="V35" s="3" t="s">
        <v>1185</v>
      </c>
      <c r="W35" s="3" t="s">
        <v>1188</v>
      </c>
      <c r="X35" s="3" t="s">
        <v>787</v>
      </c>
      <c r="Y35" s="3" t="s">
        <v>1189</v>
      </c>
      <c r="Z35" s="3" t="s">
        <v>789</v>
      </c>
      <c r="AA35" s="3" t="s">
        <v>763</v>
      </c>
      <c r="AB35" s="7" t="s">
        <v>763</v>
      </c>
      <c r="AC35" s="8" t="s">
        <v>1186</v>
      </c>
      <c r="AD35" s="7" t="s">
        <v>763</v>
      </c>
      <c r="AE35" t="s">
        <v>763</v>
      </c>
      <c r="AF35" t="s">
        <v>763</v>
      </c>
    </row>
    <row r="36" spans="1:32" x14ac:dyDescent="0.35">
      <c r="A36" s="3">
        <v>35</v>
      </c>
      <c r="B36" t="s">
        <v>210</v>
      </c>
      <c r="C36" t="s">
        <v>212</v>
      </c>
      <c r="D36" s="3" t="s">
        <v>751</v>
      </c>
      <c r="E36" s="3">
        <v>2024</v>
      </c>
      <c r="F36" s="3" t="s">
        <v>1198</v>
      </c>
      <c r="G36" s="3" t="s">
        <v>753</v>
      </c>
      <c r="H36" s="3" t="s">
        <v>754</v>
      </c>
      <c r="I36" t="s">
        <v>1191</v>
      </c>
      <c r="J36" t="s">
        <v>1192</v>
      </c>
      <c r="K36" t="s">
        <v>1193</v>
      </c>
      <c r="L36" s="3" t="s">
        <v>1102</v>
      </c>
      <c r="M36" s="3" t="s">
        <v>1019</v>
      </c>
      <c r="N36" s="3" t="s">
        <v>1199</v>
      </c>
      <c r="O36" s="3" t="s">
        <v>1200</v>
      </c>
      <c r="P36" s="3" t="s">
        <v>1201</v>
      </c>
      <c r="Q36" s="15"/>
      <c r="R36" t="s">
        <v>833</v>
      </c>
      <c r="S36" s="3" t="s">
        <v>787</v>
      </c>
      <c r="T36" t="s">
        <v>1190</v>
      </c>
      <c r="U36" s="3" t="s">
        <v>764</v>
      </c>
      <c r="V36" s="3" t="s">
        <v>1195</v>
      </c>
      <c r="W36" s="3" t="s">
        <v>766</v>
      </c>
      <c r="X36" s="3" t="s">
        <v>787</v>
      </c>
      <c r="Y36" s="3" t="s">
        <v>763</v>
      </c>
      <c r="Z36" s="3" t="s">
        <v>768</v>
      </c>
      <c r="AA36" s="7" t="s">
        <v>1196</v>
      </c>
      <c r="AB36" s="7" t="s">
        <v>763</v>
      </c>
      <c r="AC36" s="8" t="s">
        <v>1194</v>
      </c>
      <c r="AD36" s="7" t="s">
        <v>763</v>
      </c>
      <c r="AE36" s="7" t="s">
        <v>1197</v>
      </c>
      <c r="AF36" s="7" t="s">
        <v>763</v>
      </c>
    </row>
    <row r="37" spans="1:32" x14ac:dyDescent="0.35">
      <c r="A37" s="3">
        <v>36</v>
      </c>
      <c r="B37" t="s">
        <v>235</v>
      </c>
      <c r="C37" t="s">
        <v>237</v>
      </c>
      <c r="D37" s="3" t="s">
        <v>751</v>
      </c>
      <c r="E37" s="3">
        <v>2021</v>
      </c>
      <c r="F37" s="3" t="s">
        <v>1203</v>
      </c>
      <c r="G37" s="3" t="s">
        <v>753</v>
      </c>
      <c r="H37" s="3" t="s">
        <v>754</v>
      </c>
      <c r="I37" t="s">
        <v>1206</v>
      </c>
      <c r="J37" t="s">
        <v>1207</v>
      </c>
      <c r="K37" t="s">
        <v>1204</v>
      </c>
      <c r="L37" s="3" t="s">
        <v>1202</v>
      </c>
      <c r="M37" t="s">
        <v>1208</v>
      </c>
      <c r="N37" s="15"/>
      <c r="O37" s="15"/>
      <c r="P37" s="15"/>
      <c r="Q37" t="s">
        <v>760</v>
      </c>
      <c r="R37" t="s">
        <v>1210</v>
      </c>
      <c r="S37" s="3" t="s">
        <v>787</v>
      </c>
      <c r="T37" t="s">
        <v>1211</v>
      </c>
      <c r="U37" s="3" t="s">
        <v>1205</v>
      </c>
      <c r="V37" s="3" t="s">
        <v>1185</v>
      </c>
      <c r="W37" s="3" t="s">
        <v>1188</v>
      </c>
      <c r="X37" s="3" t="s">
        <v>787</v>
      </c>
      <c r="Y37" s="3" t="s">
        <v>1209</v>
      </c>
      <c r="Z37" s="3" t="s">
        <v>789</v>
      </c>
      <c r="AA37" s="7" t="s">
        <v>763</v>
      </c>
      <c r="AB37" s="7" t="s">
        <v>763</v>
      </c>
      <c r="AC37" s="8" t="s">
        <v>1212</v>
      </c>
      <c r="AD37" s="7" t="s">
        <v>763</v>
      </c>
      <c r="AE37" s="7" t="s">
        <v>763</v>
      </c>
      <c r="AF37" s="7" t="s">
        <v>763</v>
      </c>
    </row>
    <row r="38" spans="1:32" x14ac:dyDescent="0.35">
      <c r="A38" s="3">
        <v>37</v>
      </c>
      <c r="B38" t="s">
        <v>254</v>
      </c>
      <c r="C38" t="s">
        <v>256</v>
      </c>
      <c r="D38" s="3" t="s">
        <v>751</v>
      </c>
      <c r="E38" s="3">
        <v>2017</v>
      </c>
      <c r="F38" s="3" t="s">
        <v>1223</v>
      </c>
      <c r="G38" s="3" t="s">
        <v>753</v>
      </c>
      <c r="H38" s="3" t="s">
        <v>754</v>
      </c>
      <c r="I38" t="s">
        <v>1217</v>
      </c>
      <c r="J38" t="s">
        <v>1218</v>
      </c>
      <c r="K38" t="s">
        <v>1214</v>
      </c>
      <c r="L38" s="3" t="s">
        <v>1213</v>
      </c>
      <c r="M38" s="3" t="s">
        <v>1019</v>
      </c>
      <c r="N38" t="s">
        <v>1224</v>
      </c>
      <c r="O38" t="s">
        <v>1225</v>
      </c>
      <c r="P38" t="s">
        <v>763</v>
      </c>
      <c r="Q38" s="15"/>
      <c r="R38" t="s">
        <v>786</v>
      </c>
      <c r="S38" s="3" t="s">
        <v>787</v>
      </c>
      <c r="T38" t="s">
        <v>834</v>
      </c>
      <c r="U38" s="8" t="s">
        <v>1222</v>
      </c>
      <c r="V38" s="3" t="s">
        <v>1226</v>
      </c>
      <c r="W38" s="3" t="s">
        <v>766</v>
      </c>
      <c r="X38" s="3" t="s">
        <v>787</v>
      </c>
      <c r="Y38" t="s">
        <v>1221</v>
      </c>
      <c r="Z38" s="3" t="s">
        <v>768</v>
      </c>
      <c r="AA38" s="7" t="s">
        <v>1220</v>
      </c>
      <c r="AB38" s="7" t="s">
        <v>763</v>
      </c>
      <c r="AC38" t="s">
        <v>1216</v>
      </c>
      <c r="AD38" s="7" t="s">
        <v>763</v>
      </c>
      <c r="AE38" s="7" t="s">
        <v>1219</v>
      </c>
      <c r="AF38" t="s">
        <v>1215</v>
      </c>
    </row>
    <row r="39" spans="1:32" x14ac:dyDescent="0.35">
      <c r="A39" s="3">
        <v>38</v>
      </c>
      <c r="B39" t="s">
        <v>259</v>
      </c>
      <c r="C39" t="s">
        <v>261</v>
      </c>
      <c r="D39" s="3" t="s">
        <v>751</v>
      </c>
      <c r="E39" s="3">
        <v>2021</v>
      </c>
      <c r="F39" s="3" t="s">
        <v>1264</v>
      </c>
      <c r="G39" s="3" t="s">
        <v>795</v>
      </c>
      <c r="H39" s="3" t="s">
        <v>754</v>
      </c>
      <c r="I39" t="s">
        <v>1230</v>
      </c>
      <c r="J39" t="s">
        <v>1231</v>
      </c>
      <c r="K39" s="19" t="s">
        <v>1770</v>
      </c>
      <c r="L39" s="3" t="s">
        <v>985</v>
      </c>
      <c r="M39" t="s">
        <v>1227</v>
      </c>
      <c r="N39" t="s">
        <v>1228</v>
      </c>
      <c r="O39" t="s">
        <v>1229</v>
      </c>
      <c r="P39" t="s">
        <v>763</v>
      </c>
      <c r="Q39" t="s">
        <v>760</v>
      </c>
      <c r="R39" t="s">
        <v>1234</v>
      </c>
      <c r="S39" s="3" t="s">
        <v>787</v>
      </c>
      <c r="T39" s="3" t="s">
        <v>1235</v>
      </c>
      <c r="U39" s="8" t="s">
        <v>1232</v>
      </c>
      <c r="V39" t="s">
        <v>1236</v>
      </c>
      <c r="W39" s="3" t="s">
        <v>1188</v>
      </c>
      <c r="X39" s="3" t="s">
        <v>787</v>
      </c>
      <c r="Y39" s="3" t="s">
        <v>763</v>
      </c>
      <c r="Z39" s="3" t="s">
        <v>768</v>
      </c>
      <c r="AA39" t="s">
        <v>1233</v>
      </c>
      <c r="AB39" s="7" t="s">
        <v>763</v>
      </c>
      <c r="AC39" s="7" t="s">
        <v>1237</v>
      </c>
      <c r="AD39" s="7" t="s">
        <v>763</v>
      </c>
      <c r="AE39" s="7" t="s">
        <v>763</v>
      </c>
      <c r="AF39" t="s">
        <v>763</v>
      </c>
    </row>
    <row r="40" spans="1:32" x14ac:dyDescent="0.35">
      <c r="A40" s="3">
        <v>39</v>
      </c>
      <c r="B40" t="s">
        <v>263</v>
      </c>
      <c r="C40" t="s">
        <v>265</v>
      </c>
      <c r="D40" s="3" t="s">
        <v>751</v>
      </c>
      <c r="E40" s="3">
        <v>2009</v>
      </c>
      <c r="F40" s="3" t="s">
        <v>1242</v>
      </c>
      <c r="G40" s="3" t="s">
        <v>753</v>
      </c>
      <c r="H40" s="3" t="s">
        <v>754</v>
      </c>
      <c r="I40" s="3" t="s">
        <v>1239</v>
      </c>
      <c r="J40" s="3" t="s">
        <v>1240</v>
      </c>
      <c r="K40" t="s">
        <v>1012</v>
      </c>
      <c r="L40" s="3" t="s">
        <v>756</v>
      </c>
      <c r="M40" t="s">
        <v>1243</v>
      </c>
      <c r="N40" s="15"/>
      <c r="O40" s="15"/>
      <c r="P40" s="3" t="s">
        <v>948</v>
      </c>
      <c r="Q40" s="15"/>
      <c r="R40" t="s">
        <v>833</v>
      </c>
      <c r="S40" s="3" t="s">
        <v>787</v>
      </c>
      <c r="T40" s="3" t="s">
        <v>1238</v>
      </c>
      <c r="U40" s="7" t="s">
        <v>1247</v>
      </c>
      <c r="V40" s="8" t="s">
        <v>1246</v>
      </c>
      <c r="W40" s="3" t="s">
        <v>1241</v>
      </c>
      <c r="X40" s="3" t="s">
        <v>787</v>
      </c>
      <c r="Y40" s="3" t="s">
        <v>763</v>
      </c>
      <c r="Z40" s="3" t="s">
        <v>789</v>
      </c>
      <c r="AA40" t="s">
        <v>1244</v>
      </c>
      <c r="AB40" s="7" t="s">
        <v>763</v>
      </c>
      <c r="AC40" t="s">
        <v>1245</v>
      </c>
      <c r="AD40" s="7" t="s">
        <v>763</v>
      </c>
      <c r="AE40" s="8" t="s">
        <v>1248</v>
      </c>
      <c r="AF40" t="s">
        <v>1279</v>
      </c>
    </row>
    <row r="41" spans="1:32" x14ac:dyDescent="0.35">
      <c r="A41" s="3">
        <v>40</v>
      </c>
      <c r="B41" t="s">
        <v>268</v>
      </c>
      <c r="C41" t="s">
        <v>270</v>
      </c>
      <c r="D41" s="3" t="s">
        <v>751</v>
      </c>
      <c r="E41" s="3">
        <v>2024</v>
      </c>
      <c r="F41" s="3" t="s">
        <v>763</v>
      </c>
      <c r="G41" s="3" t="s">
        <v>753</v>
      </c>
      <c r="H41" s="3" t="s">
        <v>754</v>
      </c>
      <c r="I41" s="3" t="s">
        <v>1254</v>
      </c>
      <c r="J41" s="3" t="s">
        <v>1255</v>
      </c>
      <c r="K41" t="s">
        <v>1250</v>
      </c>
      <c r="L41" s="3" t="s">
        <v>1112</v>
      </c>
      <c r="M41" t="s">
        <v>1257</v>
      </c>
      <c r="N41" s="15"/>
      <c r="O41" s="15"/>
      <c r="P41" s="15"/>
      <c r="Q41" s="15"/>
      <c r="R41" t="s">
        <v>833</v>
      </c>
      <c r="S41" s="3" t="s">
        <v>787</v>
      </c>
      <c r="T41" s="3" t="s">
        <v>1238</v>
      </c>
      <c r="U41" s="7" t="s">
        <v>1268</v>
      </c>
      <c r="V41" t="s">
        <v>1256</v>
      </c>
      <c r="W41" s="3" t="s">
        <v>766</v>
      </c>
      <c r="X41" s="3" t="s">
        <v>787</v>
      </c>
      <c r="Y41" s="3" t="s">
        <v>763</v>
      </c>
      <c r="Z41" s="3" t="s">
        <v>768</v>
      </c>
      <c r="AA41" t="s">
        <v>1249</v>
      </c>
      <c r="AB41" s="3" t="s">
        <v>763</v>
      </c>
      <c r="AC41" t="s">
        <v>1252</v>
      </c>
      <c r="AD41" t="s">
        <v>1251</v>
      </c>
      <c r="AE41" t="s">
        <v>1253</v>
      </c>
      <c r="AF41" t="s">
        <v>763</v>
      </c>
    </row>
    <row r="42" spans="1:32" x14ac:dyDescent="0.35">
      <c r="A42" s="3">
        <v>41</v>
      </c>
      <c r="B42" t="s">
        <v>273</v>
      </c>
      <c r="C42" t="s">
        <v>275</v>
      </c>
      <c r="D42" s="3" t="s">
        <v>751</v>
      </c>
      <c r="E42" s="3">
        <v>2023</v>
      </c>
      <c r="F42" s="3" t="s">
        <v>1263</v>
      </c>
      <c r="G42" s="3" t="s">
        <v>753</v>
      </c>
      <c r="H42" s="3" t="s">
        <v>754</v>
      </c>
      <c r="I42" t="s">
        <v>1259</v>
      </c>
      <c r="J42" t="s">
        <v>1260</v>
      </c>
      <c r="K42" t="s">
        <v>1258</v>
      </c>
      <c r="L42" s="3" t="s">
        <v>756</v>
      </c>
      <c r="M42" s="3" t="s">
        <v>1019</v>
      </c>
      <c r="N42" t="s">
        <v>1261</v>
      </c>
      <c r="O42" t="s">
        <v>1262</v>
      </c>
      <c r="P42" t="s">
        <v>763</v>
      </c>
      <c r="Q42" s="15"/>
      <c r="R42" t="s">
        <v>786</v>
      </c>
      <c r="S42" s="3" t="s">
        <v>787</v>
      </c>
      <c r="T42" s="3" t="s">
        <v>834</v>
      </c>
      <c r="U42" s="7" t="s">
        <v>1247</v>
      </c>
      <c r="V42" s="7" t="s">
        <v>1256</v>
      </c>
      <c r="W42" s="3" t="s">
        <v>766</v>
      </c>
      <c r="X42" s="3" t="s">
        <v>787</v>
      </c>
      <c r="Y42" s="3" t="s">
        <v>763</v>
      </c>
      <c r="Z42" s="3" t="s">
        <v>789</v>
      </c>
      <c r="AA42" t="s">
        <v>1267</v>
      </c>
      <c r="AB42" s="3" t="s">
        <v>1266</v>
      </c>
      <c r="AC42" t="s">
        <v>1269</v>
      </c>
      <c r="AD42" t="s">
        <v>763</v>
      </c>
      <c r="AE42" s="8" t="s">
        <v>1265</v>
      </c>
      <c r="AF42" s="8" t="s">
        <v>1270</v>
      </c>
    </row>
    <row r="43" spans="1:32" x14ac:dyDescent="0.35">
      <c r="A43" s="3">
        <v>42</v>
      </c>
      <c r="B43" t="s">
        <v>283</v>
      </c>
      <c r="C43" t="s">
        <v>1158</v>
      </c>
      <c r="D43" s="3" t="s">
        <v>751</v>
      </c>
      <c r="E43" s="3">
        <v>2017</v>
      </c>
      <c r="F43" s="3" t="s">
        <v>763</v>
      </c>
      <c r="G43" s="3" t="s">
        <v>753</v>
      </c>
      <c r="H43" s="3" t="s">
        <v>754</v>
      </c>
      <c r="I43" t="s">
        <v>1275</v>
      </c>
      <c r="J43" t="s">
        <v>1276</v>
      </c>
      <c r="K43" t="s">
        <v>1104</v>
      </c>
      <c r="L43" s="3" t="s">
        <v>1102</v>
      </c>
      <c r="M43" s="3" t="s">
        <v>1277</v>
      </c>
      <c r="N43" s="15"/>
      <c r="O43" s="15"/>
      <c r="P43" s="15"/>
      <c r="Q43" s="15"/>
      <c r="R43" t="s">
        <v>833</v>
      </c>
      <c r="S43" s="3" t="s">
        <v>787</v>
      </c>
      <c r="T43" s="3" t="s">
        <v>1238</v>
      </c>
      <c r="U43" s="7" t="s">
        <v>1247</v>
      </c>
      <c r="V43" s="7" t="s">
        <v>1256</v>
      </c>
      <c r="W43" s="3" t="s">
        <v>766</v>
      </c>
      <c r="X43" s="3" t="s">
        <v>787</v>
      </c>
      <c r="Y43" s="3" t="s">
        <v>763</v>
      </c>
      <c r="Z43" s="3" t="s">
        <v>768</v>
      </c>
      <c r="AA43" t="s">
        <v>1273</v>
      </c>
      <c r="AB43" s="3" t="s">
        <v>1271</v>
      </c>
      <c r="AC43" t="s">
        <v>1272</v>
      </c>
      <c r="AD43" t="s">
        <v>763</v>
      </c>
      <c r="AE43" s="8" t="s">
        <v>1274</v>
      </c>
      <c r="AF43" t="s">
        <v>1278</v>
      </c>
    </row>
    <row r="44" spans="1:32" x14ac:dyDescent="0.35">
      <c r="A44" s="3">
        <v>43</v>
      </c>
      <c r="B44" t="s">
        <v>292</v>
      </c>
      <c r="C44" t="s">
        <v>294</v>
      </c>
      <c r="D44" s="3" t="s">
        <v>751</v>
      </c>
      <c r="E44" s="3">
        <v>2023</v>
      </c>
      <c r="F44" s="3" t="s">
        <v>1282</v>
      </c>
      <c r="G44" s="3" t="s">
        <v>795</v>
      </c>
      <c r="H44" s="3" t="s">
        <v>754</v>
      </c>
      <c r="I44">
        <v>6.6678009999999999</v>
      </c>
      <c r="J44">
        <v>2.1480250000000001</v>
      </c>
      <c r="K44" t="s">
        <v>1788</v>
      </c>
      <c r="L44" s="3" t="s">
        <v>1280</v>
      </c>
      <c r="M44" s="3" t="s">
        <v>1789</v>
      </c>
      <c r="N44" s="15"/>
      <c r="O44" s="15"/>
      <c r="P44" s="15"/>
      <c r="Q44" s="3" t="s">
        <v>1790</v>
      </c>
      <c r="R44" t="s">
        <v>1285</v>
      </c>
      <c r="S44" s="3" t="s">
        <v>787</v>
      </c>
      <c r="T44" s="3" t="s">
        <v>1284</v>
      </c>
      <c r="U44" s="7" t="s">
        <v>1281</v>
      </c>
      <c r="V44" s="7" t="s">
        <v>763</v>
      </c>
      <c r="W44" s="7" t="s">
        <v>1188</v>
      </c>
      <c r="X44" s="3" t="s">
        <v>787</v>
      </c>
      <c r="Y44" s="3" t="s">
        <v>763</v>
      </c>
      <c r="Z44" s="3" t="s">
        <v>768</v>
      </c>
      <c r="AA44" s="8" t="s">
        <v>1283</v>
      </c>
      <c r="AB44" s="7" t="s">
        <v>1792</v>
      </c>
      <c r="AC44" s="8" t="s">
        <v>1286</v>
      </c>
      <c r="AD44" t="s">
        <v>763</v>
      </c>
      <c r="AE44" s="8" t="s">
        <v>1791</v>
      </c>
      <c r="AF44" t="s">
        <v>763</v>
      </c>
    </row>
    <row r="45" spans="1:32" x14ac:dyDescent="0.35">
      <c r="A45" s="3">
        <v>44</v>
      </c>
      <c r="B45" t="s">
        <v>330</v>
      </c>
      <c r="C45" t="s">
        <v>332</v>
      </c>
      <c r="D45" s="3" t="s">
        <v>751</v>
      </c>
      <c r="E45" s="3">
        <v>2016</v>
      </c>
      <c r="F45" s="3">
        <v>2013</v>
      </c>
      <c r="G45" s="3" t="s">
        <v>753</v>
      </c>
      <c r="H45" s="3" t="s">
        <v>754</v>
      </c>
      <c r="I45" t="s">
        <v>1287</v>
      </c>
      <c r="J45" t="s">
        <v>1288</v>
      </c>
      <c r="K45" t="s">
        <v>1292</v>
      </c>
      <c r="L45" s="3" t="s">
        <v>1213</v>
      </c>
      <c r="M45" s="15"/>
      <c r="N45" t="s">
        <v>1291</v>
      </c>
      <c r="O45" t="s">
        <v>1290</v>
      </c>
      <c r="P45" t="s">
        <v>763</v>
      </c>
      <c r="Q45" s="15"/>
      <c r="R45" t="s">
        <v>833</v>
      </c>
      <c r="S45" s="3" t="s">
        <v>787</v>
      </c>
      <c r="T45" s="3" t="s">
        <v>1284</v>
      </c>
      <c r="U45" s="7" t="s">
        <v>1247</v>
      </c>
      <c r="V45" s="7" t="s">
        <v>1256</v>
      </c>
      <c r="W45" s="7" t="s">
        <v>766</v>
      </c>
      <c r="X45" s="3" t="s">
        <v>787</v>
      </c>
      <c r="Y45" s="3" t="s">
        <v>763</v>
      </c>
      <c r="Z45" s="3" t="s">
        <v>789</v>
      </c>
      <c r="AA45" s="7" t="s">
        <v>1296</v>
      </c>
      <c r="AB45" s="7" t="s">
        <v>1289</v>
      </c>
      <c r="AC45" s="8" t="s">
        <v>1297</v>
      </c>
      <c r="AD45" s="8" t="s">
        <v>1295</v>
      </c>
      <c r="AE45" s="8" t="s">
        <v>1294</v>
      </c>
      <c r="AF45" t="s">
        <v>1293</v>
      </c>
    </row>
    <row r="46" spans="1:32" ht="15.5" x14ac:dyDescent="0.35">
      <c r="A46" s="3">
        <v>45</v>
      </c>
      <c r="B46" t="s">
        <v>335</v>
      </c>
      <c r="C46" t="s">
        <v>337</v>
      </c>
      <c r="D46" s="3" t="s">
        <v>751</v>
      </c>
      <c r="E46" s="3">
        <v>2022</v>
      </c>
      <c r="F46" s="3" t="s">
        <v>1304</v>
      </c>
      <c r="G46" s="3" t="s">
        <v>795</v>
      </c>
      <c r="H46" s="3" t="s">
        <v>754</v>
      </c>
      <c r="I46" t="s">
        <v>1302</v>
      </c>
      <c r="J46" t="s">
        <v>1303</v>
      </c>
      <c r="K46" t="s">
        <v>1301</v>
      </c>
      <c r="L46" s="3" t="s">
        <v>1300</v>
      </c>
      <c r="M46" s="15"/>
      <c r="N46" t="s">
        <v>1299</v>
      </c>
      <c r="O46" t="s">
        <v>1298</v>
      </c>
      <c r="P46" s="15"/>
      <c r="Q46" t="s">
        <v>1306</v>
      </c>
      <c r="R46" t="s">
        <v>1309</v>
      </c>
      <c r="S46" s="3" t="s">
        <v>787</v>
      </c>
      <c r="T46" s="3" t="s">
        <v>1310</v>
      </c>
      <c r="U46" s="8" t="s">
        <v>1321</v>
      </c>
      <c r="V46" s="7" t="s">
        <v>763</v>
      </c>
      <c r="W46" s="7" t="s">
        <v>1188</v>
      </c>
      <c r="X46" s="3" t="s">
        <v>787</v>
      </c>
      <c r="Y46" s="3" t="s">
        <v>763</v>
      </c>
      <c r="Z46" s="3" t="s">
        <v>768</v>
      </c>
      <c r="AA46" s="9" t="s">
        <v>1311</v>
      </c>
      <c r="AB46" s="7" t="s">
        <v>763</v>
      </c>
      <c r="AC46" t="s">
        <v>1305</v>
      </c>
      <c r="AD46" s="8" t="s">
        <v>763</v>
      </c>
      <c r="AE46" t="s">
        <v>1307</v>
      </c>
      <c r="AF46" s="8" t="s">
        <v>1308</v>
      </c>
    </row>
    <row r="47" spans="1:32" s="8" customFormat="1" x14ac:dyDescent="0.35">
      <c r="A47" s="3">
        <v>46</v>
      </c>
      <c r="B47" s="8" t="s">
        <v>360</v>
      </c>
      <c r="C47" s="8" t="s">
        <v>362</v>
      </c>
      <c r="D47" s="7" t="s">
        <v>751</v>
      </c>
      <c r="E47" s="7">
        <v>2018</v>
      </c>
      <c r="F47" s="7" t="s">
        <v>1312</v>
      </c>
      <c r="G47" s="7" t="s">
        <v>795</v>
      </c>
      <c r="H47" s="7" t="s">
        <v>776</v>
      </c>
      <c r="I47" s="8" t="s">
        <v>1315</v>
      </c>
      <c r="J47" s="8" t="s">
        <v>1314</v>
      </c>
      <c r="K47" s="8" t="s">
        <v>1292</v>
      </c>
      <c r="L47" s="7" t="s">
        <v>1213</v>
      </c>
      <c r="M47" s="8" t="s">
        <v>1313</v>
      </c>
      <c r="N47" s="8" t="s">
        <v>1316</v>
      </c>
      <c r="O47" s="8" t="s">
        <v>1317</v>
      </c>
      <c r="P47" s="8" t="s">
        <v>763</v>
      </c>
      <c r="Q47" s="8" t="s">
        <v>1318</v>
      </c>
      <c r="R47" s="8" t="s">
        <v>1319</v>
      </c>
      <c r="S47" s="7" t="s">
        <v>787</v>
      </c>
      <c r="T47" s="8" t="s">
        <v>1320</v>
      </c>
      <c r="U47" s="8" t="s">
        <v>1232</v>
      </c>
      <c r="V47" s="7" t="s">
        <v>763</v>
      </c>
      <c r="W47" s="7" t="s">
        <v>1188</v>
      </c>
      <c r="X47" s="7" t="s">
        <v>787</v>
      </c>
      <c r="Y47" s="7" t="s">
        <v>763</v>
      </c>
      <c r="Z47" s="3" t="s">
        <v>768</v>
      </c>
      <c r="AA47" s="8" t="s">
        <v>1324</v>
      </c>
      <c r="AB47" s="7" t="s">
        <v>763</v>
      </c>
      <c r="AC47" s="8" t="s">
        <v>1323</v>
      </c>
      <c r="AD47" s="8" t="s">
        <v>763</v>
      </c>
      <c r="AE47" s="8" t="s">
        <v>763</v>
      </c>
      <c r="AF47" s="8" t="s">
        <v>1322</v>
      </c>
    </row>
    <row r="48" spans="1:32" x14ac:dyDescent="0.35">
      <c r="A48" s="3">
        <v>47</v>
      </c>
      <c r="B48" t="s">
        <v>364</v>
      </c>
      <c r="C48" t="s">
        <v>366</v>
      </c>
      <c r="D48" s="7" t="s">
        <v>751</v>
      </c>
      <c r="E48" s="7">
        <v>2021</v>
      </c>
      <c r="F48" s="3">
        <v>2018</v>
      </c>
      <c r="G48" s="7" t="s">
        <v>753</v>
      </c>
      <c r="H48" s="7" t="s">
        <v>754</v>
      </c>
      <c r="I48" t="s">
        <v>1327</v>
      </c>
      <c r="J48" t="s">
        <v>1328</v>
      </c>
      <c r="K48" s="8" t="s">
        <v>1326</v>
      </c>
      <c r="L48" s="7" t="s">
        <v>1325</v>
      </c>
      <c r="M48" s="7" t="s">
        <v>1329</v>
      </c>
      <c r="N48" s="7" t="s">
        <v>1331</v>
      </c>
      <c r="O48" s="7" t="s">
        <v>1330</v>
      </c>
      <c r="P48" s="7" t="s">
        <v>763</v>
      </c>
      <c r="Q48" s="15"/>
      <c r="R48" s="8" t="s">
        <v>786</v>
      </c>
      <c r="S48" s="7" t="s">
        <v>787</v>
      </c>
      <c r="T48" s="7" t="s">
        <v>1031</v>
      </c>
      <c r="U48" s="8" t="s">
        <v>1332</v>
      </c>
      <c r="V48" s="7" t="s">
        <v>763</v>
      </c>
      <c r="W48" s="7" t="s">
        <v>766</v>
      </c>
      <c r="X48" s="7" t="s">
        <v>787</v>
      </c>
      <c r="Y48" s="7" t="s">
        <v>1334</v>
      </c>
      <c r="Z48" s="7" t="s">
        <v>789</v>
      </c>
      <c r="AA48" s="7" t="s">
        <v>1335</v>
      </c>
      <c r="AB48" s="7" t="s">
        <v>763</v>
      </c>
      <c r="AC48" s="8" t="s">
        <v>1333</v>
      </c>
      <c r="AD48" s="8" t="s">
        <v>763</v>
      </c>
      <c r="AE48" s="8" t="s">
        <v>763</v>
      </c>
      <c r="AF48" s="8" t="s">
        <v>763</v>
      </c>
    </row>
    <row r="49" spans="1:32" x14ac:dyDescent="0.35">
      <c r="A49" s="3">
        <v>48</v>
      </c>
      <c r="B49" t="s">
        <v>369</v>
      </c>
      <c r="C49" t="s">
        <v>371</v>
      </c>
      <c r="D49" s="7" t="s">
        <v>751</v>
      </c>
      <c r="E49" s="7">
        <v>2024</v>
      </c>
      <c r="F49" s="3" t="s">
        <v>763</v>
      </c>
      <c r="G49" s="7" t="s">
        <v>753</v>
      </c>
      <c r="H49" s="7" t="s">
        <v>776</v>
      </c>
      <c r="I49" s="13" t="s">
        <v>1346</v>
      </c>
      <c r="J49" s="7" t="s">
        <v>1347</v>
      </c>
      <c r="K49" s="8" t="s">
        <v>1339</v>
      </c>
      <c r="L49" s="7" t="s">
        <v>1338</v>
      </c>
      <c r="M49" s="15"/>
      <c r="N49" s="15"/>
      <c r="O49" s="15"/>
      <c r="P49" t="s">
        <v>1341</v>
      </c>
      <c r="Q49" t="s">
        <v>1337</v>
      </c>
      <c r="R49" s="8" t="s">
        <v>1340</v>
      </c>
      <c r="S49" s="3" t="s">
        <v>914</v>
      </c>
      <c r="T49" s="7" t="s">
        <v>1345</v>
      </c>
      <c r="U49" s="7" t="s">
        <v>1247</v>
      </c>
      <c r="V49" s="7" t="s">
        <v>1342</v>
      </c>
      <c r="W49" s="7" t="s">
        <v>1188</v>
      </c>
      <c r="X49" s="7" t="s">
        <v>787</v>
      </c>
      <c r="Y49" s="7" t="s">
        <v>763</v>
      </c>
      <c r="Z49" s="7" t="s">
        <v>789</v>
      </c>
      <c r="AA49" s="7" t="s">
        <v>1344</v>
      </c>
      <c r="AB49" s="7" t="s">
        <v>763</v>
      </c>
      <c r="AC49" t="s">
        <v>1336</v>
      </c>
      <c r="AD49" s="8" t="s">
        <v>763</v>
      </c>
      <c r="AE49" s="8" t="s">
        <v>1343</v>
      </c>
      <c r="AF49" s="8" t="s">
        <v>763</v>
      </c>
    </row>
    <row r="50" spans="1:32" x14ac:dyDescent="0.35">
      <c r="A50" s="3">
        <v>49</v>
      </c>
      <c r="B50" t="s">
        <v>374</v>
      </c>
      <c r="C50" t="s">
        <v>376</v>
      </c>
      <c r="D50" s="7" t="s">
        <v>751</v>
      </c>
      <c r="E50" s="7">
        <v>2010</v>
      </c>
      <c r="F50" s="3">
        <v>2009</v>
      </c>
      <c r="G50" s="7" t="s">
        <v>753</v>
      </c>
      <c r="H50" s="7" t="s">
        <v>776</v>
      </c>
      <c r="I50" s="7" t="s">
        <v>1352</v>
      </c>
      <c r="J50" s="7" t="s">
        <v>1353</v>
      </c>
      <c r="K50" s="8" t="s">
        <v>1349</v>
      </c>
      <c r="L50" s="7" t="s">
        <v>846</v>
      </c>
      <c r="M50" s="15"/>
      <c r="N50" s="15"/>
      <c r="O50" s="15"/>
      <c r="P50" s="15"/>
      <c r="Q50" t="s">
        <v>850</v>
      </c>
      <c r="R50" s="8" t="s">
        <v>833</v>
      </c>
      <c r="S50" s="3" t="s">
        <v>787</v>
      </c>
      <c r="T50" s="7" t="s">
        <v>1238</v>
      </c>
      <c r="U50" s="7" t="s">
        <v>1247</v>
      </c>
      <c r="V50" t="s">
        <v>1354</v>
      </c>
      <c r="W50" s="7" t="s">
        <v>766</v>
      </c>
      <c r="X50" s="7" t="s">
        <v>787</v>
      </c>
      <c r="Y50" s="7" t="s">
        <v>763</v>
      </c>
      <c r="Z50" s="3" t="s">
        <v>768</v>
      </c>
      <c r="AA50" s="8" t="s">
        <v>1355</v>
      </c>
      <c r="AB50" s="7" t="s">
        <v>1350</v>
      </c>
      <c r="AC50" t="s">
        <v>1348</v>
      </c>
      <c r="AD50" s="8" t="s">
        <v>1351</v>
      </c>
      <c r="AE50" s="8" t="s">
        <v>763</v>
      </c>
      <c r="AF50" s="8" t="s">
        <v>1356</v>
      </c>
    </row>
    <row r="51" spans="1:32" s="8" customFormat="1" x14ac:dyDescent="0.35">
      <c r="A51" s="3">
        <v>50</v>
      </c>
      <c r="B51" s="8" t="s">
        <v>394</v>
      </c>
      <c r="C51" s="8" t="s">
        <v>396</v>
      </c>
      <c r="D51" s="7" t="s">
        <v>751</v>
      </c>
      <c r="E51" s="7">
        <v>2019</v>
      </c>
      <c r="F51" s="7" t="s">
        <v>1357</v>
      </c>
      <c r="G51" s="7" t="s">
        <v>753</v>
      </c>
      <c r="H51" s="7" t="s">
        <v>754</v>
      </c>
      <c r="I51" s="7" t="s">
        <v>1259</v>
      </c>
      <c r="J51" s="7" t="s">
        <v>1260</v>
      </c>
      <c r="K51" s="8" t="s">
        <v>1358</v>
      </c>
      <c r="L51" s="7" t="s">
        <v>756</v>
      </c>
      <c r="M51" s="7" t="s">
        <v>1360</v>
      </c>
      <c r="N51" s="7" t="s">
        <v>1361</v>
      </c>
      <c r="O51" s="7" t="s">
        <v>1362</v>
      </c>
      <c r="P51" s="7" t="s">
        <v>1363</v>
      </c>
      <c r="Q51" s="16"/>
      <c r="R51" s="8" t="s">
        <v>786</v>
      </c>
      <c r="S51" s="7" t="s">
        <v>787</v>
      </c>
      <c r="T51" s="7" t="s">
        <v>834</v>
      </c>
      <c r="U51" s="7" t="s">
        <v>925</v>
      </c>
      <c r="V51" s="8" t="s">
        <v>1364</v>
      </c>
      <c r="W51" s="7" t="s">
        <v>1359</v>
      </c>
      <c r="X51" s="7" t="s">
        <v>787</v>
      </c>
      <c r="Y51" s="7" t="s">
        <v>763</v>
      </c>
      <c r="Z51" s="7" t="s">
        <v>768</v>
      </c>
      <c r="AA51" s="8" t="s">
        <v>1367</v>
      </c>
      <c r="AB51" s="7" t="s">
        <v>1368</v>
      </c>
      <c r="AC51" s="8" t="s">
        <v>1365</v>
      </c>
      <c r="AD51" s="8" t="s">
        <v>763</v>
      </c>
      <c r="AE51" s="8" t="s">
        <v>1366</v>
      </c>
      <c r="AF51" s="8" t="s">
        <v>1369</v>
      </c>
    </row>
    <row r="52" spans="1:32" s="8" customFormat="1" x14ac:dyDescent="0.35">
      <c r="A52" s="3">
        <v>51</v>
      </c>
      <c r="B52" s="8" t="s">
        <v>399</v>
      </c>
      <c r="C52" s="8" t="s">
        <v>401</v>
      </c>
      <c r="D52" s="7" t="s">
        <v>751</v>
      </c>
      <c r="E52" s="7">
        <v>2023</v>
      </c>
      <c r="F52" s="7" t="s">
        <v>1370</v>
      </c>
      <c r="G52" s="7" t="s">
        <v>753</v>
      </c>
      <c r="H52" s="7" t="s">
        <v>754</v>
      </c>
      <c r="I52" s="8" t="s">
        <v>1371</v>
      </c>
      <c r="J52" s="8" t="s">
        <v>1372</v>
      </c>
      <c r="K52" s="8" t="s">
        <v>1374</v>
      </c>
      <c r="L52" s="7" t="s">
        <v>1373</v>
      </c>
      <c r="M52" s="8" t="s">
        <v>1383</v>
      </c>
      <c r="N52" s="7" t="s">
        <v>1381</v>
      </c>
      <c r="O52" s="7" t="s">
        <v>1382</v>
      </c>
      <c r="P52" s="16"/>
      <c r="Q52" s="8" t="s">
        <v>1337</v>
      </c>
      <c r="R52" s="8" t="s">
        <v>833</v>
      </c>
      <c r="S52" s="7" t="s">
        <v>787</v>
      </c>
      <c r="T52" s="7" t="s">
        <v>865</v>
      </c>
      <c r="U52" s="7" t="s">
        <v>1247</v>
      </c>
      <c r="V52" s="8" t="s">
        <v>1380</v>
      </c>
      <c r="W52" s="7" t="s">
        <v>766</v>
      </c>
      <c r="X52" s="7" t="s">
        <v>787</v>
      </c>
      <c r="Y52" s="7" t="s">
        <v>763</v>
      </c>
      <c r="Z52" s="7" t="s">
        <v>789</v>
      </c>
      <c r="AA52" s="8" t="s">
        <v>1378</v>
      </c>
      <c r="AB52" s="7" t="s">
        <v>1377</v>
      </c>
      <c r="AC52" s="8" t="s">
        <v>1379</v>
      </c>
      <c r="AD52" s="8" t="s">
        <v>763</v>
      </c>
      <c r="AE52" s="8" t="s">
        <v>1375</v>
      </c>
      <c r="AF52" s="8" t="s">
        <v>1376</v>
      </c>
    </row>
    <row r="53" spans="1:32" x14ac:dyDescent="0.35">
      <c r="A53" s="3">
        <v>52</v>
      </c>
      <c r="B53" t="s">
        <v>414</v>
      </c>
      <c r="C53" t="s">
        <v>416</v>
      </c>
      <c r="D53" s="7" t="s">
        <v>873</v>
      </c>
      <c r="E53" s="7">
        <v>2018</v>
      </c>
      <c r="F53" s="3" t="s">
        <v>1385</v>
      </c>
      <c r="G53" s="7" t="s">
        <v>753</v>
      </c>
      <c r="H53" s="7" t="s">
        <v>754</v>
      </c>
      <c r="I53" s="7" t="s">
        <v>1393</v>
      </c>
      <c r="J53" s="7" t="s">
        <v>1394</v>
      </c>
      <c r="K53" s="22" t="s">
        <v>1384</v>
      </c>
      <c r="L53" s="7" t="s">
        <v>1213</v>
      </c>
      <c r="M53" s="15"/>
      <c r="N53" s="15"/>
      <c r="O53" s="15"/>
      <c r="P53" s="15"/>
      <c r="Q53" s="15"/>
      <c r="R53" s="8" t="s">
        <v>786</v>
      </c>
      <c r="S53" s="7" t="s">
        <v>762</v>
      </c>
      <c r="T53" s="7" t="s">
        <v>1031</v>
      </c>
      <c r="U53" s="7" t="s">
        <v>1386</v>
      </c>
      <c r="V53" s="7" t="s">
        <v>1387</v>
      </c>
      <c r="W53" s="7" t="s">
        <v>766</v>
      </c>
      <c r="X53" s="7" t="s">
        <v>762</v>
      </c>
      <c r="Y53" s="7" t="s">
        <v>763</v>
      </c>
      <c r="Z53" s="7" t="s">
        <v>768</v>
      </c>
      <c r="AA53" s="7" t="s">
        <v>1392</v>
      </c>
      <c r="AB53" s="7" t="s">
        <v>1390</v>
      </c>
      <c r="AC53" s="8" t="s">
        <v>1389</v>
      </c>
      <c r="AD53" s="8" t="s">
        <v>763</v>
      </c>
      <c r="AE53" s="8" t="s">
        <v>1391</v>
      </c>
      <c r="AF53" t="s">
        <v>1388</v>
      </c>
    </row>
    <row r="54" spans="1:32" x14ac:dyDescent="0.35">
      <c r="A54" s="3">
        <v>53</v>
      </c>
      <c r="B54" t="s">
        <v>434</v>
      </c>
      <c r="C54" t="s">
        <v>436</v>
      </c>
      <c r="D54" s="7" t="s">
        <v>751</v>
      </c>
      <c r="E54" s="7">
        <v>2019</v>
      </c>
      <c r="F54" s="3" t="s">
        <v>1398</v>
      </c>
      <c r="G54" s="7" t="s">
        <v>753</v>
      </c>
      <c r="H54" s="7" t="s">
        <v>754</v>
      </c>
      <c r="I54" s="7" t="s">
        <v>1400</v>
      </c>
      <c r="J54" s="7" t="s">
        <v>1401</v>
      </c>
      <c r="K54" t="s">
        <v>1395</v>
      </c>
      <c r="L54" s="7" t="s">
        <v>1396</v>
      </c>
      <c r="M54" t="s">
        <v>1402</v>
      </c>
      <c r="N54" t="s">
        <v>1404</v>
      </c>
      <c r="O54" t="s">
        <v>1405</v>
      </c>
      <c r="P54" t="s">
        <v>1016</v>
      </c>
      <c r="Q54" t="s">
        <v>1403</v>
      </c>
      <c r="R54" s="8" t="s">
        <v>1406</v>
      </c>
      <c r="S54" s="7" t="s">
        <v>787</v>
      </c>
      <c r="T54" s="7" t="s">
        <v>1397</v>
      </c>
      <c r="U54" s="7" t="s">
        <v>1247</v>
      </c>
      <c r="V54" s="7" t="s">
        <v>1407</v>
      </c>
      <c r="W54" s="7" t="s">
        <v>1399</v>
      </c>
      <c r="X54" s="7" t="s">
        <v>787</v>
      </c>
      <c r="Y54" s="7" t="s">
        <v>763</v>
      </c>
      <c r="Z54" s="7" t="s">
        <v>768</v>
      </c>
      <c r="AA54" s="8" t="s">
        <v>1410</v>
      </c>
      <c r="AB54" s="7" t="s">
        <v>1408</v>
      </c>
      <c r="AC54" s="8" t="s">
        <v>1411</v>
      </c>
      <c r="AD54" s="8" t="s">
        <v>763</v>
      </c>
      <c r="AE54" s="8" t="s">
        <v>1409</v>
      </c>
      <c r="AF54" s="8" t="s">
        <v>763</v>
      </c>
    </row>
    <row r="55" spans="1:32" x14ac:dyDescent="0.35">
      <c r="A55" s="3">
        <v>54</v>
      </c>
      <c r="B55" t="s">
        <v>457</v>
      </c>
      <c r="C55" t="s">
        <v>459</v>
      </c>
      <c r="D55" s="7" t="s">
        <v>751</v>
      </c>
      <c r="E55" s="7">
        <v>2021</v>
      </c>
      <c r="F55" s="7" t="s">
        <v>1414</v>
      </c>
      <c r="G55" s="7" t="s">
        <v>795</v>
      </c>
      <c r="H55" s="7" t="s">
        <v>754</v>
      </c>
      <c r="I55" s="7" t="s">
        <v>1412</v>
      </c>
      <c r="J55" s="7" t="s">
        <v>1413</v>
      </c>
      <c r="K55" t="s">
        <v>1104</v>
      </c>
      <c r="L55" s="7" t="s">
        <v>1102</v>
      </c>
      <c r="M55" s="15"/>
      <c r="N55" t="s">
        <v>1416</v>
      </c>
      <c r="O55" t="s">
        <v>1415</v>
      </c>
      <c r="P55" t="s">
        <v>763</v>
      </c>
      <c r="Q55" s="15"/>
      <c r="R55" s="8" t="s">
        <v>1418</v>
      </c>
      <c r="S55" s="7" t="s">
        <v>787</v>
      </c>
      <c r="T55" s="7" t="s">
        <v>1397</v>
      </c>
      <c r="U55" s="7" t="s">
        <v>1436</v>
      </c>
      <c r="V55" s="7" t="s">
        <v>763</v>
      </c>
      <c r="W55" s="7" t="s">
        <v>1417</v>
      </c>
      <c r="X55" s="7" t="s">
        <v>787</v>
      </c>
      <c r="Y55" s="7" t="s">
        <v>763</v>
      </c>
      <c r="Z55" s="7" t="s">
        <v>768</v>
      </c>
      <c r="AA55" s="8" t="s">
        <v>1419</v>
      </c>
      <c r="AB55" s="7" t="s">
        <v>763</v>
      </c>
      <c r="AC55" s="8" t="s">
        <v>1420</v>
      </c>
      <c r="AD55" s="8" t="s">
        <v>763</v>
      </c>
      <c r="AE55" s="8" t="s">
        <v>763</v>
      </c>
      <c r="AF55" s="8" t="s">
        <v>763</v>
      </c>
    </row>
    <row r="56" spans="1:32" x14ac:dyDescent="0.35">
      <c r="A56" s="3">
        <v>55</v>
      </c>
      <c r="B56" t="s">
        <v>466</v>
      </c>
      <c r="C56" t="s">
        <v>468</v>
      </c>
      <c r="D56" s="7" t="s">
        <v>751</v>
      </c>
      <c r="E56" s="7">
        <v>2016</v>
      </c>
      <c r="F56" s="3" t="s">
        <v>1421</v>
      </c>
      <c r="G56" s="7" t="s">
        <v>753</v>
      </c>
      <c r="H56" s="7" t="s">
        <v>776</v>
      </c>
      <c r="I56" s="7" t="s">
        <v>1422</v>
      </c>
      <c r="J56" s="7" t="s">
        <v>1423</v>
      </c>
      <c r="K56" s="21" t="s">
        <v>1778</v>
      </c>
      <c r="L56" s="7" t="s">
        <v>799</v>
      </c>
      <c r="M56" s="15"/>
      <c r="N56" s="15"/>
      <c r="O56" s="15"/>
      <c r="P56" s="15"/>
      <c r="Q56" t="s">
        <v>1424</v>
      </c>
      <c r="R56" s="8" t="s">
        <v>1777</v>
      </c>
      <c r="S56" s="7" t="s">
        <v>787</v>
      </c>
      <c r="T56" s="7" t="s">
        <v>1397</v>
      </c>
      <c r="U56" s="7" t="s">
        <v>1437</v>
      </c>
      <c r="V56" s="8" t="s">
        <v>1425</v>
      </c>
      <c r="W56" s="7" t="s">
        <v>766</v>
      </c>
      <c r="X56" s="7" t="s">
        <v>787</v>
      </c>
      <c r="Y56" s="7" t="s">
        <v>763</v>
      </c>
      <c r="Z56" s="7" t="s">
        <v>789</v>
      </c>
      <c r="AA56" s="8" t="s">
        <v>1427</v>
      </c>
      <c r="AB56" s="7" t="s">
        <v>1426</v>
      </c>
      <c r="AC56" s="8" t="s">
        <v>1428</v>
      </c>
      <c r="AD56" s="8" t="s">
        <v>763</v>
      </c>
      <c r="AE56" s="8" t="s">
        <v>763</v>
      </c>
      <c r="AF56" s="8" t="s">
        <v>763</v>
      </c>
    </row>
    <row r="57" spans="1:32" x14ac:dyDescent="0.35">
      <c r="A57" s="3">
        <v>56</v>
      </c>
      <c r="B57" t="s">
        <v>476</v>
      </c>
      <c r="C57" t="s">
        <v>478</v>
      </c>
      <c r="D57" s="7" t="s">
        <v>751</v>
      </c>
      <c r="E57" s="7">
        <v>2023</v>
      </c>
      <c r="F57" s="3">
        <v>2021</v>
      </c>
      <c r="G57" s="7" t="s">
        <v>753</v>
      </c>
      <c r="H57" s="7" t="s">
        <v>754</v>
      </c>
      <c r="I57" s="7" t="s">
        <v>1432</v>
      </c>
      <c r="J57" s="7" t="s">
        <v>1433</v>
      </c>
      <c r="K57" s="7" t="s">
        <v>1431</v>
      </c>
      <c r="L57" s="7" t="s">
        <v>756</v>
      </c>
      <c r="M57" s="15"/>
      <c r="N57" s="15"/>
      <c r="O57" s="15"/>
      <c r="P57" s="15"/>
      <c r="Q57" s="15"/>
      <c r="R57" s="8" t="s">
        <v>1434</v>
      </c>
      <c r="S57" s="7" t="s">
        <v>787</v>
      </c>
      <c r="T57" s="7" t="s">
        <v>1031</v>
      </c>
      <c r="U57" s="7" t="s">
        <v>1247</v>
      </c>
      <c r="V57" s="8" t="s">
        <v>1435</v>
      </c>
      <c r="W57" s="7" t="s">
        <v>766</v>
      </c>
      <c r="X57" s="7" t="s">
        <v>787</v>
      </c>
      <c r="Y57" s="7" t="s">
        <v>1439</v>
      </c>
      <c r="Z57" s="7" t="s">
        <v>768</v>
      </c>
      <c r="AA57" s="7" t="s">
        <v>1440</v>
      </c>
      <c r="AB57" s="7" t="s">
        <v>1429</v>
      </c>
      <c r="AC57" t="s">
        <v>1438</v>
      </c>
      <c r="AD57" s="8" t="s">
        <v>763</v>
      </c>
      <c r="AE57" s="8" t="s">
        <v>763</v>
      </c>
      <c r="AF57" t="s">
        <v>1430</v>
      </c>
    </row>
    <row r="58" spans="1:32" x14ac:dyDescent="0.35">
      <c r="A58" s="3">
        <v>57</v>
      </c>
      <c r="B58" t="s">
        <v>481</v>
      </c>
      <c r="C58" t="s">
        <v>483</v>
      </c>
      <c r="D58" s="7" t="s">
        <v>751</v>
      </c>
      <c r="E58" s="7">
        <v>2022</v>
      </c>
      <c r="F58" s="3" t="s">
        <v>763</v>
      </c>
      <c r="G58" s="7" t="s">
        <v>753</v>
      </c>
      <c r="H58" s="7" t="s">
        <v>754</v>
      </c>
      <c r="I58" s="8" t="s">
        <v>1445</v>
      </c>
      <c r="J58" s="8" t="s">
        <v>1446</v>
      </c>
      <c r="K58" s="7" t="s">
        <v>1441</v>
      </c>
      <c r="L58" s="7" t="s">
        <v>756</v>
      </c>
      <c r="M58" s="7" t="s">
        <v>1019</v>
      </c>
      <c r="N58" t="s">
        <v>1442</v>
      </c>
      <c r="O58" t="s">
        <v>1443</v>
      </c>
      <c r="P58" s="15"/>
      <c r="Q58" s="15"/>
      <c r="R58" s="8" t="s">
        <v>1055</v>
      </c>
      <c r="S58" s="7" t="s">
        <v>787</v>
      </c>
      <c r="T58" s="7" t="s">
        <v>1031</v>
      </c>
      <c r="U58" s="7" t="s">
        <v>1247</v>
      </c>
      <c r="V58" s="7" t="s">
        <v>1444</v>
      </c>
      <c r="W58" s="7" t="s">
        <v>766</v>
      </c>
      <c r="X58" s="7" t="s">
        <v>787</v>
      </c>
      <c r="Y58" s="8" t="s">
        <v>1450</v>
      </c>
      <c r="Z58" s="7" t="s">
        <v>1447</v>
      </c>
      <c r="AA58" s="8" t="s">
        <v>1449</v>
      </c>
      <c r="AB58" s="7" t="s">
        <v>1451</v>
      </c>
      <c r="AC58" t="s">
        <v>763</v>
      </c>
      <c r="AD58" s="8" t="s">
        <v>763</v>
      </c>
      <c r="AE58" s="8" t="s">
        <v>1448</v>
      </c>
      <c r="AF58" t="s">
        <v>763</v>
      </c>
    </row>
    <row r="59" spans="1:32" x14ac:dyDescent="0.35">
      <c r="A59" s="3">
        <v>58</v>
      </c>
      <c r="B59" t="s">
        <v>486</v>
      </c>
      <c r="C59" t="s">
        <v>488</v>
      </c>
      <c r="D59" s="7" t="s">
        <v>751</v>
      </c>
      <c r="E59" s="7">
        <v>2018</v>
      </c>
      <c r="F59" s="3" t="s">
        <v>1453</v>
      </c>
      <c r="G59" s="7" t="s">
        <v>753</v>
      </c>
      <c r="H59" s="7" t="s">
        <v>754</v>
      </c>
      <c r="I59" s="7" t="s">
        <v>1454</v>
      </c>
      <c r="J59" s="7" t="s">
        <v>1455</v>
      </c>
      <c r="K59" s="7" t="s">
        <v>1456</v>
      </c>
      <c r="L59" s="7" t="s">
        <v>1457</v>
      </c>
      <c r="M59" s="7" t="s">
        <v>1458</v>
      </c>
      <c r="N59" t="s">
        <v>1459</v>
      </c>
      <c r="O59" t="s">
        <v>1460</v>
      </c>
      <c r="P59" s="15"/>
      <c r="Q59" t="s">
        <v>1461</v>
      </c>
      <c r="R59" s="8" t="s">
        <v>833</v>
      </c>
      <c r="S59" s="7" t="s">
        <v>787</v>
      </c>
      <c r="T59" s="7" t="s">
        <v>865</v>
      </c>
      <c r="U59" s="7" t="s">
        <v>1247</v>
      </c>
      <c r="V59" s="7" t="s">
        <v>1462</v>
      </c>
      <c r="W59" s="7" t="s">
        <v>766</v>
      </c>
      <c r="X59" s="7" t="s">
        <v>787</v>
      </c>
      <c r="Y59" s="7" t="s">
        <v>763</v>
      </c>
      <c r="Z59" s="7" t="s">
        <v>789</v>
      </c>
      <c r="AA59" s="8" t="s">
        <v>1464</v>
      </c>
      <c r="AB59" s="7" t="s">
        <v>1463</v>
      </c>
      <c r="AC59" t="s">
        <v>1465</v>
      </c>
      <c r="AD59" s="8" t="s">
        <v>763</v>
      </c>
      <c r="AE59" s="8" t="s">
        <v>1466</v>
      </c>
      <c r="AF59" t="s">
        <v>1452</v>
      </c>
    </row>
    <row r="60" spans="1:32" x14ac:dyDescent="0.35">
      <c r="A60" s="3">
        <v>59</v>
      </c>
      <c r="B60" t="s">
        <v>495</v>
      </c>
      <c r="C60" t="s">
        <v>497</v>
      </c>
      <c r="D60" s="7" t="s">
        <v>751</v>
      </c>
      <c r="E60" s="7">
        <v>2019</v>
      </c>
      <c r="F60" s="3" t="s">
        <v>763</v>
      </c>
      <c r="G60" s="7" t="s">
        <v>753</v>
      </c>
      <c r="H60" s="7" t="s">
        <v>754</v>
      </c>
      <c r="I60" s="13" t="s">
        <v>1469</v>
      </c>
      <c r="J60" s="7" t="s">
        <v>1470</v>
      </c>
      <c r="K60" s="7" t="s">
        <v>1467</v>
      </c>
      <c r="L60" t="s">
        <v>1468</v>
      </c>
      <c r="M60" t="s">
        <v>1475</v>
      </c>
      <c r="N60" t="s">
        <v>1474</v>
      </c>
      <c r="O60" s="15"/>
      <c r="P60" s="15"/>
      <c r="Q60" t="s">
        <v>1473</v>
      </c>
      <c r="R60" s="8" t="s">
        <v>1476</v>
      </c>
      <c r="S60" s="7" t="s">
        <v>787</v>
      </c>
      <c r="T60" s="7" t="s">
        <v>1031</v>
      </c>
      <c r="U60" s="7" t="s">
        <v>1247</v>
      </c>
      <c r="V60" s="8" t="s">
        <v>1478</v>
      </c>
      <c r="W60" s="7" t="s">
        <v>766</v>
      </c>
      <c r="X60" s="7" t="s">
        <v>787</v>
      </c>
      <c r="Y60" s="7" t="s">
        <v>1477</v>
      </c>
      <c r="Z60" s="7" t="s">
        <v>768</v>
      </c>
      <c r="AA60" s="7" t="s">
        <v>763</v>
      </c>
      <c r="AB60" s="7" t="s">
        <v>763</v>
      </c>
      <c r="AC60" t="s">
        <v>1479</v>
      </c>
      <c r="AD60" s="8" t="s">
        <v>1471</v>
      </c>
      <c r="AE60" s="8" t="s">
        <v>1472</v>
      </c>
      <c r="AF60" s="8" t="s">
        <v>1480</v>
      </c>
    </row>
    <row r="61" spans="1:32" s="8" customFormat="1" x14ac:dyDescent="0.35">
      <c r="A61" s="3">
        <v>60</v>
      </c>
      <c r="B61" s="8" t="s">
        <v>505</v>
      </c>
      <c r="C61" s="8" t="s">
        <v>507</v>
      </c>
      <c r="D61" s="7" t="s">
        <v>751</v>
      </c>
      <c r="E61" s="7">
        <v>2023</v>
      </c>
      <c r="F61" s="7" t="s">
        <v>763</v>
      </c>
      <c r="G61" s="7" t="s">
        <v>753</v>
      </c>
      <c r="H61" s="7" t="s">
        <v>754</v>
      </c>
      <c r="I61" s="14" t="s">
        <v>1481</v>
      </c>
      <c r="J61" s="7" t="s">
        <v>1482</v>
      </c>
      <c r="K61" s="7" t="s">
        <v>1130</v>
      </c>
      <c r="L61" s="8" t="s">
        <v>756</v>
      </c>
      <c r="M61" s="8" t="s">
        <v>1483</v>
      </c>
      <c r="N61" s="8" t="s">
        <v>1485</v>
      </c>
      <c r="O61" s="8" t="s">
        <v>1484</v>
      </c>
      <c r="P61" s="16"/>
      <c r="Q61" s="16"/>
      <c r="R61" s="8" t="s">
        <v>833</v>
      </c>
      <c r="S61" s="7" t="s">
        <v>787</v>
      </c>
      <c r="T61" s="8" t="s">
        <v>1486</v>
      </c>
      <c r="U61" s="7" t="s">
        <v>1247</v>
      </c>
      <c r="V61" s="7" t="s">
        <v>1487</v>
      </c>
      <c r="W61" s="7" t="s">
        <v>766</v>
      </c>
      <c r="X61" s="7" t="s">
        <v>787</v>
      </c>
      <c r="Y61" s="7" t="s">
        <v>763</v>
      </c>
      <c r="Z61" s="7" t="s">
        <v>768</v>
      </c>
      <c r="AA61" s="8" t="s">
        <v>1488</v>
      </c>
      <c r="AB61" s="7" t="s">
        <v>1489</v>
      </c>
      <c r="AC61" s="8" t="s">
        <v>1490</v>
      </c>
      <c r="AD61" s="8" t="s">
        <v>763</v>
      </c>
      <c r="AE61" s="8" t="s">
        <v>1494</v>
      </c>
      <c r="AF61" s="8" t="s">
        <v>1491</v>
      </c>
    </row>
    <row r="62" spans="1:32" x14ac:dyDescent="0.35">
      <c r="A62" s="3">
        <v>52</v>
      </c>
      <c r="B62" t="s">
        <v>509</v>
      </c>
      <c r="C62" s="8" t="s">
        <v>1495</v>
      </c>
      <c r="D62" s="7" t="s">
        <v>751</v>
      </c>
      <c r="E62" s="7">
        <v>2020</v>
      </c>
      <c r="F62" s="3" t="s">
        <v>1906</v>
      </c>
      <c r="G62" s="7" t="s">
        <v>753</v>
      </c>
      <c r="H62" s="7" t="s">
        <v>754</v>
      </c>
      <c r="I62" s="12">
        <v>23.586055999999999</v>
      </c>
      <c r="J62" s="3">
        <v>58.383248999999999</v>
      </c>
      <c r="K62" s="7" t="s">
        <v>1493</v>
      </c>
      <c r="L62" s="8" t="s">
        <v>1492</v>
      </c>
      <c r="M62" s="8" t="s">
        <v>1496</v>
      </c>
      <c r="N62" t="s">
        <v>1943</v>
      </c>
      <c r="O62" t="s">
        <v>1981</v>
      </c>
      <c r="P62" s="3" t="s">
        <v>1016</v>
      </c>
      <c r="Q62" t="s">
        <v>1473</v>
      </c>
      <c r="R62" s="8" t="s">
        <v>1498</v>
      </c>
      <c r="S62" s="7" t="s">
        <v>787</v>
      </c>
      <c r="T62" s="7" t="s">
        <v>1031</v>
      </c>
      <c r="U62" s="7" t="s">
        <v>2001</v>
      </c>
      <c r="V62" s="8" t="s">
        <v>2034</v>
      </c>
      <c r="W62" s="7" t="s">
        <v>1497</v>
      </c>
      <c r="X62" s="7" t="s">
        <v>787</v>
      </c>
      <c r="Y62" s="7" t="s">
        <v>763</v>
      </c>
      <c r="Z62" s="7" t="s">
        <v>768</v>
      </c>
      <c r="AA62" s="8" t="s">
        <v>1499</v>
      </c>
      <c r="AB62" s="7" t="s">
        <v>1501</v>
      </c>
      <c r="AC62" s="8" t="s">
        <v>763</v>
      </c>
      <c r="AD62" s="8" t="s">
        <v>763</v>
      </c>
      <c r="AE62" s="8" t="s">
        <v>2020</v>
      </c>
      <c r="AF62" s="8" t="s">
        <v>1500</v>
      </c>
    </row>
    <row r="63" spans="1:32" x14ac:dyDescent="0.35">
      <c r="A63" s="3">
        <v>62</v>
      </c>
      <c r="B63" t="s">
        <v>516</v>
      </c>
      <c r="C63" t="s">
        <v>518</v>
      </c>
      <c r="D63" s="7" t="s">
        <v>751</v>
      </c>
      <c r="E63" s="7">
        <v>2021</v>
      </c>
      <c r="F63" s="3">
        <v>2017</v>
      </c>
      <c r="G63" s="7" t="s">
        <v>753</v>
      </c>
      <c r="H63" s="7" t="s">
        <v>754</v>
      </c>
      <c r="I63" s="7" t="s">
        <v>1505</v>
      </c>
      <c r="J63" s="7" t="s">
        <v>1506</v>
      </c>
      <c r="K63" t="s">
        <v>1858</v>
      </c>
      <c r="L63" s="7" t="s">
        <v>1502</v>
      </c>
      <c r="M63" s="8" t="s">
        <v>1019</v>
      </c>
      <c r="N63" s="15"/>
      <c r="O63" s="15"/>
      <c r="P63" s="15"/>
      <c r="Q63" t="s">
        <v>760</v>
      </c>
      <c r="R63" s="8" t="s">
        <v>833</v>
      </c>
      <c r="S63" s="7" t="s">
        <v>787</v>
      </c>
      <c r="T63" s="7" t="s">
        <v>865</v>
      </c>
      <c r="U63" s="7" t="s">
        <v>1247</v>
      </c>
      <c r="V63" s="7" t="s">
        <v>1256</v>
      </c>
      <c r="W63" s="7" t="s">
        <v>766</v>
      </c>
      <c r="X63" s="7" t="s">
        <v>787</v>
      </c>
      <c r="Y63" s="8" t="s">
        <v>1507</v>
      </c>
      <c r="Z63" s="7" t="s">
        <v>768</v>
      </c>
      <c r="AA63" s="8" t="s">
        <v>1508</v>
      </c>
      <c r="AB63" s="7" t="s">
        <v>1509</v>
      </c>
      <c r="AC63" s="8" t="s">
        <v>1504</v>
      </c>
      <c r="AD63" s="8" t="s">
        <v>1510</v>
      </c>
      <c r="AE63" s="8" t="s">
        <v>1503</v>
      </c>
      <c r="AF63" t="s">
        <v>1511</v>
      </c>
    </row>
    <row r="64" spans="1:32" x14ac:dyDescent="0.35">
      <c r="A64" s="3">
        <v>63</v>
      </c>
      <c r="B64" t="s">
        <v>521</v>
      </c>
      <c r="C64" t="s">
        <v>523</v>
      </c>
      <c r="D64" s="7" t="s">
        <v>751</v>
      </c>
      <c r="E64" s="7">
        <v>2014</v>
      </c>
      <c r="F64" s="3">
        <v>2010</v>
      </c>
      <c r="G64" s="7" t="s">
        <v>753</v>
      </c>
      <c r="H64" s="7" t="s">
        <v>754</v>
      </c>
      <c r="I64" s="7" t="s">
        <v>1513</v>
      </c>
      <c r="J64" t="s">
        <v>1514</v>
      </c>
      <c r="K64" s="7" t="s">
        <v>1512</v>
      </c>
      <c r="L64" s="8" t="s">
        <v>799</v>
      </c>
      <c r="M64" s="8" t="s">
        <v>1019</v>
      </c>
      <c r="N64" s="15"/>
      <c r="O64" t="s">
        <v>1515</v>
      </c>
      <c r="P64" s="15"/>
      <c r="Q64" t="s">
        <v>1516</v>
      </c>
      <c r="R64" s="8" t="s">
        <v>833</v>
      </c>
      <c r="S64" s="7" t="s">
        <v>762</v>
      </c>
      <c r="T64" s="7" t="s">
        <v>1031</v>
      </c>
      <c r="U64" s="7" t="s">
        <v>1517</v>
      </c>
      <c r="V64" t="s">
        <v>1462</v>
      </c>
      <c r="W64" s="7" t="s">
        <v>766</v>
      </c>
      <c r="X64" s="7" t="s">
        <v>787</v>
      </c>
      <c r="Y64" s="7" t="s">
        <v>763</v>
      </c>
      <c r="Z64" s="7" t="s">
        <v>789</v>
      </c>
      <c r="AA64" s="7" t="s">
        <v>1520</v>
      </c>
      <c r="AB64" s="7" t="s">
        <v>763</v>
      </c>
      <c r="AC64" t="s">
        <v>1518</v>
      </c>
      <c r="AD64" s="8" t="s">
        <v>763</v>
      </c>
      <c r="AE64" s="8" t="s">
        <v>1519</v>
      </c>
      <c r="AF64" t="s">
        <v>763</v>
      </c>
    </row>
    <row r="65" spans="1:32" s="8" customFormat="1" x14ac:dyDescent="0.35">
      <c r="A65" s="3">
        <v>64</v>
      </c>
      <c r="B65" t="s">
        <v>531</v>
      </c>
      <c r="C65" t="s">
        <v>533</v>
      </c>
      <c r="D65" s="7" t="s">
        <v>751</v>
      </c>
      <c r="E65" s="7">
        <v>2009</v>
      </c>
      <c r="F65" s="7">
        <v>2008</v>
      </c>
      <c r="G65" s="7" t="s">
        <v>753</v>
      </c>
      <c r="H65" s="7" t="s">
        <v>776</v>
      </c>
      <c r="I65" s="13" t="s">
        <v>1531</v>
      </c>
      <c r="J65" s="7" t="s">
        <v>1532</v>
      </c>
      <c r="K65" s="8" t="s">
        <v>1530</v>
      </c>
      <c r="L65" s="8" t="s">
        <v>1522</v>
      </c>
      <c r="M65" s="8" t="s">
        <v>1533</v>
      </c>
      <c r="N65" s="8" t="s">
        <v>1521</v>
      </c>
      <c r="O65" s="16"/>
      <c r="P65" s="16"/>
      <c r="Q65" s="16"/>
      <c r="R65" s="8" t="s">
        <v>1133</v>
      </c>
      <c r="S65" s="7" t="s">
        <v>787</v>
      </c>
      <c r="T65" s="7" t="s">
        <v>865</v>
      </c>
      <c r="U65" s="7" t="s">
        <v>1528</v>
      </c>
      <c r="V65" s="7" t="s">
        <v>1529</v>
      </c>
      <c r="W65" s="7" t="s">
        <v>766</v>
      </c>
      <c r="X65" s="7" t="s">
        <v>787</v>
      </c>
      <c r="Y65" s="8" t="s">
        <v>1527</v>
      </c>
      <c r="Z65" s="7" t="s">
        <v>768</v>
      </c>
      <c r="AA65" s="8" t="s">
        <v>1526</v>
      </c>
      <c r="AB65" s="7" t="s">
        <v>1525</v>
      </c>
      <c r="AC65" s="8" t="s">
        <v>1523</v>
      </c>
      <c r="AD65" s="8" t="s">
        <v>763</v>
      </c>
      <c r="AE65" s="8" t="s">
        <v>763</v>
      </c>
      <c r="AF65" s="8" t="s">
        <v>1524</v>
      </c>
    </row>
    <row r="66" spans="1:32" x14ac:dyDescent="0.35">
      <c r="A66" s="3">
        <v>65</v>
      </c>
      <c r="B66" t="s">
        <v>535</v>
      </c>
      <c r="C66" t="s">
        <v>537</v>
      </c>
      <c r="D66" s="7" t="s">
        <v>751</v>
      </c>
      <c r="E66" s="7">
        <v>2025</v>
      </c>
      <c r="F66" s="3" t="s">
        <v>1534</v>
      </c>
      <c r="G66" s="7" t="s">
        <v>795</v>
      </c>
      <c r="H66" s="7" t="s">
        <v>754</v>
      </c>
      <c r="I66" s="10" t="s">
        <v>1542</v>
      </c>
      <c r="J66" s="10" t="s">
        <v>1543</v>
      </c>
      <c r="K66" t="s">
        <v>1538</v>
      </c>
      <c r="L66" s="8" t="s">
        <v>756</v>
      </c>
      <c r="M66" s="8" t="s">
        <v>1539</v>
      </c>
      <c r="N66" s="15"/>
      <c r="O66" s="15"/>
      <c r="P66" s="15"/>
      <c r="Q66" s="15"/>
      <c r="R66" s="8" t="s">
        <v>833</v>
      </c>
      <c r="S66" s="7" t="s">
        <v>762</v>
      </c>
      <c r="T66" s="7" t="s">
        <v>1540</v>
      </c>
      <c r="U66" s="7" t="s">
        <v>1541</v>
      </c>
      <c r="V66" s="7" t="s">
        <v>763</v>
      </c>
      <c r="W66" s="7" t="s">
        <v>1188</v>
      </c>
      <c r="X66" s="7" t="s">
        <v>762</v>
      </c>
      <c r="Y66" s="7" t="s">
        <v>1545</v>
      </c>
      <c r="Z66" s="7" t="s">
        <v>1544</v>
      </c>
      <c r="AA66" s="8" t="s">
        <v>1535</v>
      </c>
      <c r="AB66" s="7" t="s">
        <v>763</v>
      </c>
      <c r="AC66" t="s">
        <v>1537</v>
      </c>
      <c r="AD66" s="8" t="s">
        <v>763</v>
      </c>
      <c r="AE66" s="8" t="s">
        <v>763</v>
      </c>
      <c r="AF66" s="8" t="s">
        <v>1536</v>
      </c>
    </row>
    <row r="67" spans="1:32" x14ac:dyDescent="0.35">
      <c r="A67" s="3">
        <v>66</v>
      </c>
      <c r="B67" t="s">
        <v>544</v>
      </c>
      <c r="C67" t="s">
        <v>546</v>
      </c>
      <c r="D67" s="7" t="s">
        <v>751</v>
      </c>
      <c r="E67" s="7">
        <v>2014</v>
      </c>
      <c r="F67" s="3" t="s">
        <v>763</v>
      </c>
      <c r="G67" s="7" t="s">
        <v>753</v>
      </c>
      <c r="H67" s="7" t="s">
        <v>754</v>
      </c>
      <c r="I67" t="s">
        <v>1548</v>
      </c>
      <c r="J67" s="10" t="s">
        <v>1549</v>
      </c>
      <c r="K67" t="s">
        <v>1550</v>
      </c>
      <c r="L67" s="8" t="s">
        <v>1546</v>
      </c>
      <c r="M67" s="8" t="s">
        <v>1551</v>
      </c>
      <c r="N67" s="15"/>
      <c r="O67" s="15"/>
      <c r="P67" s="15"/>
      <c r="Q67" s="15"/>
      <c r="R67" t="s">
        <v>1055</v>
      </c>
      <c r="S67" s="7" t="s">
        <v>787</v>
      </c>
      <c r="T67" s="8" t="s">
        <v>1561</v>
      </c>
      <c r="U67" s="7" t="s">
        <v>1247</v>
      </c>
      <c r="V67" s="7" t="s">
        <v>1552</v>
      </c>
      <c r="W67" s="7" t="s">
        <v>766</v>
      </c>
      <c r="X67" s="7" t="s">
        <v>787</v>
      </c>
      <c r="Y67" s="7" t="s">
        <v>763</v>
      </c>
      <c r="Z67" s="7" t="s">
        <v>789</v>
      </c>
      <c r="AA67" s="8" t="s">
        <v>1566</v>
      </c>
      <c r="AB67" s="7" t="s">
        <v>1563</v>
      </c>
      <c r="AC67" t="s">
        <v>763</v>
      </c>
      <c r="AD67" s="8" t="s">
        <v>763</v>
      </c>
      <c r="AE67" s="8" t="s">
        <v>1547</v>
      </c>
      <c r="AF67" s="8" t="s">
        <v>1553</v>
      </c>
    </row>
    <row r="68" spans="1:32" x14ac:dyDescent="0.35">
      <c r="A68" s="3">
        <v>67</v>
      </c>
      <c r="B68" t="s">
        <v>554</v>
      </c>
      <c r="C68" t="s">
        <v>556</v>
      </c>
      <c r="D68" s="7" t="s">
        <v>751</v>
      </c>
      <c r="E68" s="7">
        <v>2018</v>
      </c>
      <c r="F68" s="3">
        <v>2014</v>
      </c>
      <c r="G68" s="7" t="s">
        <v>753</v>
      </c>
      <c r="H68" s="7" t="s">
        <v>754</v>
      </c>
      <c r="I68" t="s">
        <v>1555</v>
      </c>
      <c r="J68" s="10" t="s">
        <v>1556</v>
      </c>
      <c r="K68" t="s">
        <v>1554</v>
      </c>
      <c r="L68" s="8" t="s">
        <v>1325</v>
      </c>
      <c r="M68" s="8" t="s">
        <v>1557</v>
      </c>
      <c r="N68" s="8" t="s">
        <v>1559</v>
      </c>
      <c r="O68" t="s">
        <v>1558</v>
      </c>
      <c r="P68" s="15"/>
      <c r="Q68" t="s">
        <v>1516</v>
      </c>
      <c r="R68" t="s">
        <v>1560</v>
      </c>
      <c r="S68" s="7" t="s">
        <v>787</v>
      </c>
      <c r="T68" s="7" t="s">
        <v>1540</v>
      </c>
      <c r="U68" s="7" t="s">
        <v>1247</v>
      </c>
      <c r="V68" s="7" t="s">
        <v>1564</v>
      </c>
      <c r="W68" s="7" t="s">
        <v>766</v>
      </c>
      <c r="X68" s="7" t="s">
        <v>787</v>
      </c>
      <c r="Y68" s="7" t="s">
        <v>763</v>
      </c>
      <c r="Z68" s="7" t="s">
        <v>789</v>
      </c>
      <c r="AA68" s="8" t="s">
        <v>1562</v>
      </c>
      <c r="AB68" s="7" t="s">
        <v>1568</v>
      </c>
      <c r="AC68" t="s">
        <v>1567</v>
      </c>
      <c r="AD68" s="8" t="s">
        <v>763</v>
      </c>
      <c r="AE68" s="8" t="s">
        <v>1569</v>
      </c>
      <c r="AF68" t="s">
        <v>1565</v>
      </c>
    </row>
    <row r="69" spans="1:32" x14ac:dyDescent="0.35">
      <c r="A69" s="3">
        <v>68</v>
      </c>
      <c r="B69" t="s">
        <v>549</v>
      </c>
      <c r="C69" t="s">
        <v>551</v>
      </c>
      <c r="D69" s="7" t="s">
        <v>751</v>
      </c>
      <c r="E69" s="7">
        <v>2022</v>
      </c>
      <c r="F69" s="3">
        <v>2018</v>
      </c>
      <c r="G69" s="7" t="s">
        <v>753</v>
      </c>
      <c r="H69" s="7" t="s">
        <v>754</v>
      </c>
      <c r="I69" s="7" t="s">
        <v>1579</v>
      </c>
      <c r="J69" s="10" t="s">
        <v>1580</v>
      </c>
      <c r="K69" t="s">
        <v>1572</v>
      </c>
      <c r="L69" s="8" t="s">
        <v>1068</v>
      </c>
      <c r="M69" s="8" t="s">
        <v>1557</v>
      </c>
      <c r="N69" s="15"/>
      <c r="O69" s="15"/>
      <c r="P69" s="15"/>
      <c r="Q69" t="s">
        <v>1573</v>
      </c>
      <c r="R69" t="s">
        <v>1560</v>
      </c>
      <c r="S69" s="7" t="s">
        <v>787</v>
      </c>
      <c r="T69" s="7" t="s">
        <v>1031</v>
      </c>
      <c r="U69" s="7" t="s">
        <v>1247</v>
      </c>
      <c r="V69" s="7" t="s">
        <v>1576</v>
      </c>
      <c r="W69" s="7" t="s">
        <v>766</v>
      </c>
      <c r="X69" s="7" t="s">
        <v>787</v>
      </c>
      <c r="Y69" s="7" t="s">
        <v>763</v>
      </c>
      <c r="Z69" s="7" t="s">
        <v>768</v>
      </c>
      <c r="AA69" s="7" t="s">
        <v>1578</v>
      </c>
      <c r="AB69" s="7" t="s">
        <v>1577</v>
      </c>
      <c r="AC69" t="s">
        <v>1574</v>
      </c>
      <c r="AD69" s="8" t="s">
        <v>763</v>
      </c>
      <c r="AE69" s="8" t="s">
        <v>1570</v>
      </c>
      <c r="AF69" s="11" t="s">
        <v>1575</v>
      </c>
    </row>
    <row r="70" spans="1:32" x14ac:dyDescent="0.35">
      <c r="A70" s="3">
        <v>69</v>
      </c>
      <c r="B70" t="s">
        <v>564</v>
      </c>
      <c r="C70" t="s">
        <v>566</v>
      </c>
      <c r="D70" s="7" t="s">
        <v>751</v>
      </c>
      <c r="E70" s="7">
        <v>2022</v>
      </c>
      <c r="F70" s="3" t="s">
        <v>1582</v>
      </c>
      <c r="G70" s="7" t="s">
        <v>753</v>
      </c>
      <c r="H70" s="7" t="s">
        <v>776</v>
      </c>
      <c r="I70" s="7" t="s">
        <v>1586</v>
      </c>
      <c r="J70" s="10" t="s">
        <v>1587</v>
      </c>
      <c r="K70" t="s">
        <v>1583</v>
      </c>
      <c r="L70" s="8" t="s">
        <v>832</v>
      </c>
      <c r="M70" s="15"/>
      <c r="N70" s="15"/>
      <c r="O70" s="15"/>
      <c r="P70" s="15"/>
      <c r="Q70" s="15"/>
      <c r="R70" t="s">
        <v>786</v>
      </c>
      <c r="S70" s="7" t="s">
        <v>762</v>
      </c>
      <c r="T70" s="7" t="s">
        <v>834</v>
      </c>
      <c r="U70" s="7" t="s">
        <v>1247</v>
      </c>
      <c r="V70" s="7" t="s">
        <v>1588</v>
      </c>
      <c r="W70" s="7" t="s">
        <v>766</v>
      </c>
      <c r="X70" s="7" t="s">
        <v>762</v>
      </c>
      <c r="Y70" s="7" t="s">
        <v>1584</v>
      </c>
      <c r="Z70" s="7" t="s">
        <v>789</v>
      </c>
      <c r="AA70" s="7" t="s">
        <v>1589</v>
      </c>
      <c r="AB70" s="7" t="s">
        <v>1585</v>
      </c>
      <c r="AC70" t="s">
        <v>763</v>
      </c>
      <c r="AD70" s="8" t="s">
        <v>763</v>
      </c>
      <c r="AE70" t="s">
        <v>1571</v>
      </c>
      <c r="AF70" t="s">
        <v>1581</v>
      </c>
    </row>
    <row r="71" spans="1:32" x14ac:dyDescent="0.35">
      <c r="A71" s="3">
        <v>70</v>
      </c>
      <c r="B71" t="s">
        <v>578</v>
      </c>
      <c r="C71" t="s">
        <v>580</v>
      </c>
      <c r="D71" s="7" t="s">
        <v>751</v>
      </c>
      <c r="E71" s="7">
        <v>2024</v>
      </c>
      <c r="F71" s="3" t="s">
        <v>763</v>
      </c>
      <c r="G71" s="7" t="s">
        <v>753</v>
      </c>
      <c r="H71" s="7" t="s">
        <v>754</v>
      </c>
      <c r="I71" s="8" t="s">
        <v>1594</v>
      </c>
      <c r="J71" s="8" t="s">
        <v>1595</v>
      </c>
      <c r="K71" t="s">
        <v>1374</v>
      </c>
      <c r="L71" s="8" t="s">
        <v>1373</v>
      </c>
      <c r="M71" s="8" t="s">
        <v>1591</v>
      </c>
      <c r="N71" s="8" t="s">
        <v>1592</v>
      </c>
      <c r="O71" s="8" t="s">
        <v>1593</v>
      </c>
      <c r="P71" s="15"/>
      <c r="Q71" t="s">
        <v>1590</v>
      </c>
      <c r="R71" t="s">
        <v>833</v>
      </c>
      <c r="S71" s="7" t="s">
        <v>787</v>
      </c>
      <c r="T71" s="7" t="s">
        <v>865</v>
      </c>
      <c r="U71" s="7" t="s">
        <v>1247</v>
      </c>
      <c r="V71" s="7" t="s">
        <v>1596</v>
      </c>
      <c r="W71" s="7" t="s">
        <v>766</v>
      </c>
      <c r="X71" s="7" t="s">
        <v>787</v>
      </c>
      <c r="Y71" s="7" t="s">
        <v>763</v>
      </c>
      <c r="Z71" s="7" t="s">
        <v>789</v>
      </c>
      <c r="AA71" s="8" t="s">
        <v>1597</v>
      </c>
      <c r="AB71" s="7" t="s">
        <v>1598</v>
      </c>
      <c r="AC71" s="8" t="s">
        <v>1600</v>
      </c>
      <c r="AD71" s="8" t="s">
        <v>763</v>
      </c>
      <c r="AE71" s="8" t="s">
        <v>1601</v>
      </c>
      <c r="AF71" t="s">
        <v>1599</v>
      </c>
    </row>
    <row r="72" spans="1:32" x14ac:dyDescent="0.35">
      <c r="A72" s="3">
        <v>71</v>
      </c>
      <c r="B72" t="s">
        <v>593</v>
      </c>
      <c r="C72" t="s">
        <v>595</v>
      </c>
      <c r="D72" s="7" t="s">
        <v>751</v>
      </c>
      <c r="E72" s="7">
        <v>2025</v>
      </c>
      <c r="F72" s="3" t="s">
        <v>830</v>
      </c>
      <c r="G72" s="7" t="s">
        <v>753</v>
      </c>
      <c r="H72" s="7" t="s">
        <v>776</v>
      </c>
      <c r="I72" s="7" t="s">
        <v>1609</v>
      </c>
      <c r="J72" s="7" t="s">
        <v>1610</v>
      </c>
      <c r="K72" t="s">
        <v>831</v>
      </c>
      <c r="L72" s="8" t="s">
        <v>832</v>
      </c>
      <c r="M72" s="15"/>
      <c r="N72" s="15"/>
      <c r="O72" s="15"/>
      <c r="P72" s="15"/>
      <c r="Q72" t="s">
        <v>1516</v>
      </c>
      <c r="R72" t="s">
        <v>833</v>
      </c>
      <c r="S72" s="7" t="s">
        <v>762</v>
      </c>
      <c r="T72" s="7" t="s">
        <v>834</v>
      </c>
      <c r="U72" s="7" t="s">
        <v>1602</v>
      </c>
      <c r="V72" s="7" t="s">
        <v>1607</v>
      </c>
      <c r="W72" s="7" t="s">
        <v>766</v>
      </c>
      <c r="X72" s="7" t="s">
        <v>787</v>
      </c>
      <c r="Y72" s="7" t="s">
        <v>1606</v>
      </c>
      <c r="Z72" s="7" t="s">
        <v>768</v>
      </c>
      <c r="AA72" s="8" t="s">
        <v>1605</v>
      </c>
      <c r="AB72" s="7" t="s">
        <v>763</v>
      </c>
      <c r="AC72" s="8" t="s">
        <v>1604</v>
      </c>
      <c r="AD72" s="8" t="s">
        <v>763</v>
      </c>
      <c r="AE72" s="8" t="s">
        <v>1608</v>
      </c>
      <c r="AF72" t="s">
        <v>1603</v>
      </c>
    </row>
    <row r="73" spans="1:32" x14ac:dyDescent="0.35">
      <c r="A73" s="3">
        <v>72</v>
      </c>
      <c r="B73" t="s">
        <v>607</v>
      </c>
      <c r="C73" t="s">
        <v>1611</v>
      </c>
      <c r="D73" s="7" t="s">
        <v>751</v>
      </c>
      <c r="E73" s="7">
        <v>2013</v>
      </c>
      <c r="F73" s="3" t="s">
        <v>1626</v>
      </c>
      <c r="G73" s="7" t="s">
        <v>795</v>
      </c>
      <c r="H73" s="7" t="s">
        <v>754</v>
      </c>
      <c r="I73" s="7" t="s">
        <v>1612</v>
      </c>
      <c r="J73" s="7" t="s">
        <v>1613</v>
      </c>
      <c r="K73" t="s">
        <v>1159</v>
      </c>
      <c r="L73" s="8" t="s">
        <v>1159</v>
      </c>
      <c r="M73" s="8" t="s">
        <v>1360</v>
      </c>
      <c r="N73" s="8" t="s">
        <v>1618</v>
      </c>
      <c r="O73" t="s">
        <v>1617</v>
      </c>
      <c r="P73" s="15"/>
      <c r="Q73" t="s">
        <v>1614</v>
      </c>
      <c r="R73" t="s">
        <v>1615</v>
      </c>
      <c r="S73" s="7" t="s">
        <v>787</v>
      </c>
      <c r="T73" s="7" t="s">
        <v>834</v>
      </c>
      <c r="U73" s="7" t="s">
        <v>1616</v>
      </c>
      <c r="V73" s="7" t="s">
        <v>1620</v>
      </c>
      <c r="W73" s="7" t="s">
        <v>1619</v>
      </c>
      <c r="X73" s="7" t="s">
        <v>787</v>
      </c>
      <c r="Y73" s="8" t="s">
        <v>1621</v>
      </c>
      <c r="Z73" s="7" t="s">
        <v>768</v>
      </c>
      <c r="AA73" s="8" t="s">
        <v>1623</v>
      </c>
      <c r="AB73" s="3" t="s">
        <v>1625</v>
      </c>
      <c r="AC73" s="8" t="s">
        <v>1624</v>
      </c>
      <c r="AD73" s="8" t="s">
        <v>763</v>
      </c>
      <c r="AE73" s="8" t="s">
        <v>1636</v>
      </c>
      <c r="AF73" t="s">
        <v>1622</v>
      </c>
    </row>
    <row r="74" spans="1:32" x14ac:dyDescent="0.35">
      <c r="A74" s="3">
        <v>73</v>
      </c>
      <c r="B74" t="s">
        <v>624</v>
      </c>
      <c r="C74" t="s">
        <v>626</v>
      </c>
      <c r="D74" s="7" t="s">
        <v>751</v>
      </c>
      <c r="E74" s="7">
        <v>2020</v>
      </c>
      <c r="F74" s="3" t="s">
        <v>763</v>
      </c>
      <c r="G74" s="7" t="s">
        <v>753</v>
      </c>
      <c r="H74" s="7" t="s">
        <v>776</v>
      </c>
      <c r="I74" t="s">
        <v>1629</v>
      </c>
      <c r="J74" s="7" t="s">
        <v>1630</v>
      </c>
      <c r="K74" t="s">
        <v>1628</v>
      </c>
      <c r="L74" t="s">
        <v>1627</v>
      </c>
      <c r="M74" s="8" t="s">
        <v>1019</v>
      </c>
      <c r="N74" s="8" t="s">
        <v>1631</v>
      </c>
      <c r="O74" s="8" t="s">
        <v>1632</v>
      </c>
      <c r="P74" s="15"/>
      <c r="Q74" t="s">
        <v>1633</v>
      </c>
      <c r="R74" t="s">
        <v>833</v>
      </c>
      <c r="S74" s="7" t="s">
        <v>787</v>
      </c>
      <c r="T74" s="7" t="s">
        <v>865</v>
      </c>
      <c r="U74" s="7" t="s">
        <v>1616</v>
      </c>
      <c r="V74" s="7" t="s">
        <v>1634</v>
      </c>
      <c r="W74" s="7" t="s">
        <v>1241</v>
      </c>
      <c r="X74" s="7" t="s">
        <v>787</v>
      </c>
      <c r="Y74" s="7" t="s">
        <v>763</v>
      </c>
      <c r="Z74" s="7" t="s">
        <v>789</v>
      </c>
      <c r="AA74" s="8" t="s">
        <v>1637</v>
      </c>
      <c r="AB74" s="7" t="s">
        <v>1638</v>
      </c>
      <c r="AC74" s="8" t="s">
        <v>1639</v>
      </c>
      <c r="AD74" s="8" t="s">
        <v>763</v>
      </c>
      <c r="AE74" s="8" t="s">
        <v>1640</v>
      </c>
      <c r="AF74" t="s">
        <v>1635</v>
      </c>
    </row>
    <row r="75" spans="1:32" x14ac:dyDescent="0.35">
      <c r="A75" s="3">
        <v>74</v>
      </c>
      <c r="B75" t="s">
        <v>639</v>
      </c>
      <c r="C75" t="s">
        <v>1642</v>
      </c>
      <c r="D75" s="7" t="s">
        <v>751</v>
      </c>
      <c r="E75" s="7">
        <v>2020</v>
      </c>
      <c r="F75" s="3" t="s">
        <v>1641</v>
      </c>
      <c r="G75" s="7" t="s">
        <v>753</v>
      </c>
      <c r="H75" s="7" t="s">
        <v>754</v>
      </c>
      <c r="I75" s="8" t="s">
        <v>1644</v>
      </c>
      <c r="J75" s="8" t="s">
        <v>1645</v>
      </c>
      <c r="K75" t="s">
        <v>1643</v>
      </c>
      <c r="L75" t="s">
        <v>823</v>
      </c>
      <c r="M75" s="8" t="s">
        <v>1019</v>
      </c>
      <c r="N75" s="8" t="s">
        <v>1646</v>
      </c>
      <c r="O75" s="8" t="s">
        <v>1647</v>
      </c>
      <c r="P75" s="15"/>
      <c r="Q75" s="8" t="s">
        <v>1648</v>
      </c>
      <c r="R75" s="8" t="s">
        <v>1649</v>
      </c>
      <c r="S75" s="3" t="s">
        <v>914</v>
      </c>
      <c r="T75" s="7" t="s">
        <v>834</v>
      </c>
      <c r="U75" s="7" t="s">
        <v>1616</v>
      </c>
      <c r="V75" s="7" t="s">
        <v>1650</v>
      </c>
      <c r="W75" s="7" t="s">
        <v>766</v>
      </c>
      <c r="X75" s="7" t="s">
        <v>787</v>
      </c>
      <c r="Y75" s="7" t="s">
        <v>763</v>
      </c>
      <c r="Z75" s="7" t="s">
        <v>768</v>
      </c>
      <c r="AA75" s="8" t="s">
        <v>1651</v>
      </c>
      <c r="AB75" s="7" t="s">
        <v>1654</v>
      </c>
      <c r="AC75" s="8" t="s">
        <v>1652</v>
      </c>
      <c r="AD75" s="8" t="s">
        <v>763</v>
      </c>
      <c r="AE75" s="8" t="s">
        <v>1655</v>
      </c>
      <c r="AF75" s="8" t="s">
        <v>1653</v>
      </c>
    </row>
    <row r="76" spans="1:32" x14ac:dyDescent="0.35">
      <c r="A76" s="3">
        <v>75</v>
      </c>
      <c r="B76" t="s">
        <v>640</v>
      </c>
      <c r="C76" t="s">
        <v>1656</v>
      </c>
      <c r="D76" s="7" t="s">
        <v>751</v>
      </c>
      <c r="E76" s="7">
        <v>2020</v>
      </c>
      <c r="F76" s="3" t="s">
        <v>1659</v>
      </c>
      <c r="G76" s="7" t="s">
        <v>753</v>
      </c>
      <c r="H76" s="7" t="s">
        <v>754</v>
      </c>
      <c r="I76" s="7" t="s">
        <v>1660</v>
      </c>
      <c r="J76" s="7" t="s">
        <v>1661</v>
      </c>
      <c r="K76" t="s">
        <v>1658</v>
      </c>
      <c r="L76" t="s">
        <v>756</v>
      </c>
      <c r="M76" s="15"/>
      <c r="N76" s="15"/>
      <c r="O76" s="8" t="s">
        <v>1662</v>
      </c>
      <c r="P76" s="15"/>
      <c r="Q76" s="15"/>
      <c r="R76" s="8" t="s">
        <v>786</v>
      </c>
      <c r="S76" s="7" t="s">
        <v>787</v>
      </c>
      <c r="T76" s="7" t="s">
        <v>834</v>
      </c>
      <c r="U76" s="7" t="s">
        <v>1616</v>
      </c>
      <c r="V76" s="7" t="s">
        <v>1663</v>
      </c>
      <c r="W76" s="7" t="s">
        <v>766</v>
      </c>
      <c r="X76" s="7" t="s">
        <v>787</v>
      </c>
      <c r="Y76" s="7" t="s">
        <v>763</v>
      </c>
      <c r="Z76" s="7" t="s">
        <v>768</v>
      </c>
      <c r="AA76" s="8" t="s">
        <v>1664</v>
      </c>
      <c r="AB76" s="7" t="s">
        <v>1667</v>
      </c>
      <c r="AC76" s="8" t="s">
        <v>1666</v>
      </c>
      <c r="AD76" s="8" t="s">
        <v>763</v>
      </c>
      <c r="AE76" s="8" t="s">
        <v>1665</v>
      </c>
      <c r="AF76" t="s">
        <v>1657</v>
      </c>
    </row>
    <row r="77" spans="1:32" x14ac:dyDescent="0.35">
      <c r="A77" s="3">
        <v>76</v>
      </c>
      <c r="B77" t="s">
        <v>646</v>
      </c>
      <c r="C77" t="s">
        <v>648</v>
      </c>
      <c r="D77" s="7" t="s">
        <v>751</v>
      </c>
      <c r="E77" s="7">
        <v>2021</v>
      </c>
      <c r="F77" s="7" t="s">
        <v>1669</v>
      </c>
      <c r="G77" s="7" t="s">
        <v>753</v>
      </c>
      <c r="H77" s="7" t="s">
        <v>754</v>
      </c>
      <c r="I77" s="7" t="s">
        <v>1782</v>
      </c>
      <c r="J77" s="7" t="s">
        <v>1783</v>
      </c>
      <c r="K77" t="s">
        <v>1668</v>
      </c>
      <c r="L77" t="s">
        <v>756</v>
      </c>
      <c r="M77" s="15"/>
      <c r="N77" t="s">
        <v>1674</v>
      </c>
      <c r="O77" s="8" t="s">
        <v>1675</v>
      </c>
      <c r="P77" s="15"/>
      <c r="Q77" s="15"/>
      <c r="R77" s="8" t="s">
        <v>1673</v>
      </c>
      <c r="S77" s="7" t="s">
        <v>787</v>
      </c>
      <c r="T77" s="7" t="s">
        <v>1031</v>
      </c>
      <c r="U77" s="7" t="s">
        <v>1616</v>
      </c>
      <c r="V77" s="7" t="s">
        <v>1672</v>
      </c>
      <c r="W77" s="7" t="s">
        <v>766</v>
      </c>
      <c r="X77" s="7" t="s">
        <v>787</v>
      </c>
      <c r="Y77" s="7" t="s">
        <v>763</v>
      </c>
      <c r="Z77" s="7" t="s">
        <v>768</v>
      </c>
      <c r="AA77" s="7" t="s">
        <v>1677</v>
      </c>
      <c r="AB77" s="7" t="s">
        <v>1678</v>
      </c>
      <c r="AC77" s="8" t="s">
        <v>1670</v>
      </c>
      <c r="AD77" s="8" t="s">
        <v>763</v>
      </c>
      <c r="AE77" s="8" t="s">
        <v>1676</v>
      </c>
      <c r="AF77" t="s">
        <v>1671</v>
      </c>
    </row>
    <row r="78" spans="1:32" x14ac:dyDescent="0.35">
      <c r="A78" s="3">
        <v>77</v>
      </c>
      <c r="B78" t="s">
        <v>651</v>
      </c>
      <c r="C78" t="s">
        <v>653</v>
      </c>
      <c r="D78" s="7" t="s">
        <v>751</v>
      </c>
      <c r="E78" s="7">
        <v>2021</v>
      </c>
      <c r="F78" s="3">
        <v>2016</v>
      </c>
      <c r="G78" s="7" t="s">
        <v>753</v>
      </c>
      <c r="H78" s="7" t="s">
        <v>754</v>
      </c>
      <c r="I78" t="s">
        <v>1683</v>
      </c>
      <c r="J78" s="7" t="s">
        <v>1684</v>
      </c>
      <c r="K78" t="s">
        <v>1679</v>
      </c>
      <c r="L78" t="s">
        <v>985</v>
      </c>
      <c r="M78" t="s">
        <v>1685</v>
      </c>
      <c r="N78" s="15"/>
      <c r="O78" s="15"/>
      <c r="P78" s="15"/>
      <c r="Q78" s="15"/>
      <c r="R78" s="8" t="s">
        <v>1615</v>
      </c>
      <c r="S78" s="7" t="s">
        <v>787</v>
      </c>
      <c r="T78" s="7" t="s">
        <v>834</v>
      </c>
      <c r="U78" s="7" t="s">
        <v>1697</v>
      </c>
      <c r="V78" t="s">
        <v>1680</v>
      </c>
      <c r="W78" s="7" t="s">
        <v>766</v>
      </c>
      <c r="X78" s="7" t="s">
        <v>787</v>
      </c>
      <c r="Y78" s="7" t="s">
        <v>763</v>
      </c>
      <c r="Z78" s="7" t="s">
        <v>789</v>
      </c>
      <c r="AA78" s="8" t="s">
        <v>1686</v>
      </c>
      <c r="AB78" s="7" t="s">
        <v>1687</v>
      </c>
      <c r="AC78" s="8" t="s">
        <v>1681</v>
      </c>
      <c r="AD78" s="8" t="s">
        <v>763</v>
      </c>
      <c r="AE78" s="8" t="s">
        <v>1688</v>
      </c>
      <c r="AF78" t="s">
        <v>1682</v>
      </c>
    </row>
    <row r="79" spans="1:32" x14ac:dyDescent="0.35">
      <c r="A79" s="3">
        <v>78</v>
      </c>
      <c r="B79" t="s">
        <v>655</v>
      </c>
      <c r="C79" t="s">
        <v>657</v>
      </c>
      <c r="D79" s="7" t="s">
        <v>751</v>
      </c>
      <c r="E79" s="7">
        <v>2023</v>
      </c>
      <c r="F79" s="3" t="s">
        <v>1695</v>
      </c>
      <c r="G79" s="7" t="s">
        <v>795</v>
      </c>
      <c r="H79" s="7" t="s">
        <v>776</v>
      </c>
      <c r="I79" s="7" t="s">
        <v>1692</v>
      </c>
      <c r="J79" s="7" t="s">
        <v>1693</v>
      </c>
      <c r="K79" s="7" t="s">
        <v>1694</v>
      </c>
      <c r="L79" t="s">
        <v>1689</v>
      </c>
      <c r="M79" s="15"/>
      <c r="N79" s="15"/>
      <c r="O79" s="15"/>
      <c r="P79" s="15"/>
      <c r="Q79" t="s">
        <v>1696</v>
      </c>
      <c r="R79" s="8" t="s">
        <v>786</v>
      </c>
      <c r="S79" s="7" t="s">
        <v>787</v>
      </c>
      <c r="T79" s="7" t="s">
        <v>834</v>
      </c>
      <c r="U79" s="7" t="s">
        <v>1616</v>
      </c>
      <c r="V79" s="7" t="s">
        <v>1698</v>
      </c>
      <c r="W79" s="7" t="s">
        <v>766</v>
      </c>
      <c r="X79" s="7" t="s">
        <v>787</v>
      </c>
      <c r="Y79" s="7" t="s">
        <v>1690</v>
      </c>
      <c r="Z79" s="7" t="s">
        <v>789</v>
      </c>
      <c r="AA79" s="7" t="s">
        <v>763</v>
      </c>
      <c r="AB79" s="7" t="s">
        <v>763</v>
      </c>
      <c r="AC79" s="8" t="s">
        <v>1691</v>
      </c>
      <c r="AD79" s="8" t="s">
        <v>763</v>
      </c>
      <c r="AE79" s="8" t="s">
        <v>1699</v>
      </c>
      <c r="AF79" t="s">
        <v>763</v>
      </c>
    </row>
    <row r="80" spans="1:32" x14ac:dyDescent="0.35">
      <c r="A80" s="3">
        <v>79</v>
      </c>
      <c r="B80" t="s">
        <v>660</v>
      </c>
      <c r="C80" t="s">
        <v>1701</v>
      </c>
      <c r="D80" s="7" t="s">
        <v>751</v>
      </c>
      <c r="E80" s="7">
        <v>2017</v>
      </c>
      <c r="F80" s="3" t="s">
        <v>1700</v>
      </c>
      <c r="G80" s="7" t="s">
        <v>753</v>
      </c>
      <c r="H80" s="7" t="s">
        <v>754</v>
      </c>
      <c r="I80" s="7" t="s">
        <v>1702</v>
      </c>
      <c r="J80" s="10" t="s">
        <v>1703</v>
      </c>
      <c r="K80" s="7" t="s">
        <v>1554</v>
      </c>
      <c r="L80" t="s">
        <v>1325</v>
      </c>
      <c r="M80" t="s">
        <v>1019</v>
      </c>
      <c r="N80" t="s">
        <v>1704</v>
      </c>
      <c r="O80" t="s">
        <v>1705</v>
      </c>
      <c r="P80" s="15"/>
      <c r="Q80" s="15"/>
      <c r="R80" t="s">
        <v>1711</v>
      </c>
      <c r="S80" s="7" t="s">
        <v>787</v>
      </c>
      <c r="T80" s="7" t="s">
        <v>1712</v>
      </c>
      <c r="U80" s="7" t="s">
        <v>1710</v>
      </c>
      <c r="V80" s="7" t="s">
        <v>1709</v>
      </c>
      <c r="W80" s="7" t="s">
        <v>1706</v>
      </c>
      <c r="X80" s="7" t="s">
        <v>787</v>
      </c>
      <c r="Y80" s="7" t="s">
        <v>763</v>
      </c>
      <c r="Z80" s="7" t="s">
        <v>768</v>
      </c>
      <c r="AA80" s="8" t="s">
        <v>1713</v>
      </c>
      <c r="AB80" s="7" t="s">
        <v>1714</v>
      </c>
      <c r="AC80" t="s">
        <v>1708</v>
      </c>
      <c r="AD80" s="8" t="s">
        <v>763</v>
      </c>
      <c r="AE80" s="8" t="s">
        <v>763</v>
      </c>
      <c r="AF80" t="s">
        <v>1707</v>
      </c>
    </row>
    <row r="81" spans="1:32" s="8" customFormat="1" x14ac:dyDescent="0.35">
      <c r="A81" s="3">
        <v>80</v>
      </c>
      <c r="B81" s="8" t="s">
        <v>697</v>
      </c>
      <c r="C81" s="8" t="s">
        <v>699</v>
      </c>
      <c r="D81" s="7" t="s">
        <v>751</v>
      </c>
      <c r="E81" s="7">
        <v>2020</v>
      </c>
      <c r="F81" s="7" t="s">
        <v>1721</v>
      </c>
      <c r="G81" s="7" t="s">
        <v>753</v>
      </c>
      <c r="H81" s="7" t="s">
        <v>754</v>
      </c>
      <c r="I81" s="7" t="s">
        <v>1726</v>
      </c>
      <c r="J81" s="10" t="s">
        <v>1727</v>
      </c>
      <c r="K81" s="7" t="s">
        <v>1715</v>
      </c>
      <c r="L81" s="8" t="s">
        <v>756</v>
      </c>
      <c r="M81" s="8" t="s">
        <v>1716</v>
      </c>
      <c r="N81" s="8" t="s">
        <v>1717</v>
      </c>
      <c r="O81" s="8" t="s">
        <v>1718</v>
      </c>
      <c r="P81" s="16"/>
      <c r="Q81" s="8" t="s">
        <v>1337</v>
      </c>
      <c r="R81" s="8" t="s">
        <v>1722</v>
      </c>
      <c r="S81" s="7" t="s">
        <v>787</v>
      </c>
      <c r="T81" s="7" t="s">
        <v>1031</v>
      </c>
      <c r="U81" s="7" t="s">
        <v>1616</v>
      </c>
      <c r="V81" s="7" t="s">
        <v>1709</v>
      </c>
      <c r="W81" s="7" t="s">
        <v>766</v>
      </c>
      <c r="X81" s="7" t="s">
        <v>787</v>
      </c>
      <c r="Y81" s="7" t="s">
        <v>763</v>
      </c>
      <c r="Z81" s="7" t="s">
        <v>768</v>
      </c>
      <c r="AA81" s="8" t="s">
        <v>1724</v>
      </c>
      <c r="AB81" s="7" t="s">
        <v>1723</v>
      </c>
      <c r="AC81" s="8" t="s">
        <v>1719</v>
      </c>
      <c r="AD81" s="8" t="s">
        <v>763</v>
      </c>
      <c r="AE81" s="8" t="s">
        <v>1725</v>
      </c>
      <c r="AF81" s="8" t="s">
        <v>1720</v>
      </c>
    </row>
    <row r="82" spans="1:32" x14ac:dyDescent="0.35">
      <c r="A82" s="3">
        <v>81</v>
      </c>
      <c r="B82" t="s">
        <v>707</v>
      </c>
      <c r="C82" t="s">
        <v>709</v>
      </c>
      <c r="D82" s="7" t="s">
        <v>751</v>
      </c>
      <c r="E82" s="7">
        <v>2019</v>
      </c>
      <c r="F82" s="3" t="s">
        <v>763</v>
      </c>
      <c r="G82" s="7" t="s">
        <v>753</v>
      </c>
      <c r="H82" s="7" t="s">
        <v>754</v>
      </c>
      <c r="I82" s="8" t="s">
        <v>1734</v>
      </c>
      <c r="J82" s="8" t="s">
        <v>1735</v>
      </c>
      <c r="K82" t="s">
        <v>1728</v>
      </c>
      <c r="L82" s="8" t="s">
        <v>1729</v>
      </c>
      <c r="M82" t="s">
        <v>1731</v>
      </c>
      <c r="N82" t="s">
        <v>1732</v>
      </c>
      <c r="O82" s="15"/>
      <c r="P82" s="15"/>
      <c r="Q82" t="s">
        <v>1337</v>
      </c>
      <c r="R82" s="8" t="s">
        <v>1736</v>
      </c>
      <c r="S82" s="3" t="s">
        <v>914</v>
      </c>
      <c r="T82" s="7" t="s">
        <v>1397</v>
      </c>
      <c r="U82" s="7" t="s">
        <v>1616</v>
      </c>
      <c r="V82" s="7" t="s">
        <v>1709</v>
      </c>
      <c r="W82" s="7" t="s">
        <v>1733</v>
      </c>
      <c r="X82" s="7" t="s">
        <v>787</v>
      </c>
      <c r="Y82" s="7" t="s">
        <v>763</v>
      </c>
      <c r="Z82" s="7" t="s">
        <v>768</v>
      </c>
      <c r="AA82" s="8" t="s">
        <v>1737</v>
      </c>
      <c r="AB82" s="7" t="s">
        <v>1739</v>
      </c>
      <c r="AC82" s="8" t="s">
        <v>1738</v>
      </c>
      <c r="AD82" s="8" t="s">
        <v>763</v>
      </c>
      <c r="AE82" s="8" t="s">
        <v>1740</v>
      </c>
      <c r="AF82" s="8" t="s">
        <v>1730</v>
      </c>
    </row>
    <row r="83" spans="1:32" x14ac:dyDescent="0.35">
      <c r="A83" s="3">
        <v>82</v>
      </c>
      <c r="B83" t="s">
        <v>712</v>
      </c>
      <c r="C83" t="s">
        <v>714</v>
      </c>
      <c r="D83" s="7" t="s">
        <v>751</v>
      </c>
      <c r="E83" s="7">
        <v>2025</v>
      </c>
      <c r="F83" s="7" t="s">
        <v>1742</v>
      </c>
      <c r="G83" s="7" t="s">
        <v>795</v>
      </c>
      <c r="H83" s="7" t="s">
        <v>776</v>
      </c>
      <c r="I83" s="8" t="s">
        <v>1747</v>
      </c>
      <c r="J83" s="8" t="s">
        <v>1748</v>
      </c>
      <c r="K83" t="s">
        <v>1741</v>
      </c>
      <c r="L83" s="8" t="s">
        <v>846</v>
      </c>
      <c r="M83" s="15"/>
      <c r="N83" s="15"/>
      <c r="O83" s="15"/>
      <c r="P83" s="15"/>
      <c r="Q83" s="8" t="s">
        <v>850</v>
      </c>
      <c r="R83" s="8" t="s">
        <v>1746</v>
      </c>
      <c r="S83" s="3" t="s">
        <v>914</v>
      </c>
      <c r="T83" s="7" t="s">
        <v>1031</v>
      </c>
      <c r="U83" s="7" t="s">
        <v>1745</v>
      </c>
      <c r="V83" s="7" t="s">
        <v>1744</v>
      </c>
      <c r="W83" s="7" t="s">
        <v>1743</v>
      </c>
      <c r="X83" s="7" t="s">
        <v>787</v>
      </c>
      <c r="Y83" s="8" t="s">
        <v>1749</v>
      </c>
      <c r="Z83" s="7" t="s">
        <v>768</v>
      </c>
      <c r="AA83" s="8" t="s">
        <v>1750</v>
      </c>
      <c r="AB83" s="7" t="s">
        <v>763</v>
      </c>
      <c r="AC83" s="8" t="s">
        <v>763</v>
      </c>
      <c r="AD83" s="8" t="s">
        <v>763</v>
      </c>
      <c r="AE83" s="8" t="s">
        <v>763</v>
      </c>
      <c r="AF83" s="8" t="s">
        <v>763</v>
      </c>
    </row>
    <row r="84" spans="1:32" s="8" customFormat="1" x14ac:dyDescent="0.35">
      <c r="A84" s="7">
        <v>83</v>
      </c>
      <c r="B84" s="8" t="s">
        <v>1759</v>
      </c>
      <c r="C84" s="8" t="s">
        <v>1760</v>
      </c>
      <c r="D84" s="7" t="s">
        <v>751</v>
      </c>
      <c r="E84" s="7">
        <v>2016</v>
      </c>
      <c r="F84" s="7" t="s">
        <v>1767</v>
      </c>
      <c r="G84" s="7" t="s">
        <v>795</v>
      </c>
      <c r="H84" s="7" t="s">
        <v>776</v>
      </c>
      <c r="I84" s="8" t="s">
        <v>1755</v>
      </c>
      <c r="J84" s="8" t="s">
        <v>1756</v>
      </c>
      <c r="K84" s="8" t="s">
        <v>1757</v>
      </c>
      <c r="L84" s="8" t="s">
        <v>832</v>
      </c>
      <c r="M84" s="16"/>
      <c r="N84" s="8" t="s">
        <v>1766</v>
      </c>
      <c r="O84" s="8" t="s">
        <v>1765</v>
      </c>
      <c r="P84" s="16"/>
      <c r="Q84" s="8" t="s">
        <v>1768</v>
      </c>
      <c r="R84" s="8" t="s">
        <v>1764</v>
      </c>
      <c r="S84" s="7" t="s">
        <v>762</v>
      </c>
      <c r="T84" s="7" t="s">
        <v>865</v>
      </c>
      <c r="U84" s="7" t="s">
        <v>1769</v>
      </c>
      <c r="V84" s="8" t="s">
        <v>1758</v>
      </c>
      <c r="W84" s="7" t="s">
        <v>766</v>
      </c>
      <c r="X84" s="7" t="s">
        <v>787</v>
      </c>
      <c r="Y84" s="7" t="s">
        <v>763</v>
      </c>
      <c r="Z84" s="7" t="s">
        <v>789</v>
      </c>
      <c r="AA84" s="8" t="s">
        <v>1761</v>
      </c>
      <c r="AB84" s="7" t="s">
        <v>1762</v>
      </c>
      <c r="AC84" s="8" t="s">
        <v>1763</v>
      </c>
      <c r="AD84" s="8" t="s">
        <v>763</v>
      </c>
      <c r="AE84" s="8" t="s">
        <v>763</v>
      </c>
      <c r="AF84" s="8" t="s">
        <v>763</v>
      </c>
    </row>
  </sheetData>
  <autoFilter ref="A1:AF84" xr:uid="{0B401D7C-83EC-452E-972A-D12CFDD765C4}"/>
  <hyperlinks>
    <hyperlink ref="I19" r:id="rId1" display="https://geohack.toolforge.org/geohack.php?pagename=Taiwan&amp;params=25_04_N_121_31_E_type:city_region:TW" xr:uid="{47B8D591-7728-46DB-AF8D-70121C3B4FBE}"/>
    <hyperlink ref="I29" r:id="rId2" display="https://geohack.toolforge.org/geohack.php?pagename=Macajalar_Bay&amp;params=8_35_25.08_N_124_39_12.96_E_region:PH_type:waterbody_source:GNS-enwiki" xr:uid="{63150EEB-4CF5-47D0-9C51-6D0E9FBA4374}"/>
    <hyperlink ref="C33" r:id="rId3" display="https://www.sciencedirect.com/author/57219425459/erik-velasco" xr:uid="{BC6C6F99-6DC6-414F-B6C7-BF0574B5877A}"/>
    <hyperlink ref="I37" r:id="rId4" display="https://geohack.toolforge.org/geohack.php?pagename=Ho_Chi_Minh_City&amp;params=10_46_32_N_106_42_07_E_region:VN_type:city" xr:uid="{EE316046-F457-46B7-BB80-EFB863A7F341}"/>
    <hyperlink ref="J37" r:id="rId5" display="https://geohack.toolforge.org/geohack.php?pagename=Ho_Chi_Minh_City&amp;params=10_46_32_N_106_42_07_E_region:VN_type:city" xr:uid="{59648BAA-2E91-4DE9-9E27-AECABE40E077}"/>
    <hyperlink ref="I47" r:id="rId6" location="/maplink/0" display="https://pt.wikipedia.org/wiki/Bogot%C3%A1 - /maplink/0" xr:uid="{B20D8851-ABF8-4727-B533-114D7EE896EE}"/>
    <hyperlink ref="J47" r:id="rId7" location="/maplink/0" display="https://pt.wikipedia.org/wiki/Bogot%C3%A1 - /maplink/0" xr:uid="{97E4CA0B-61CA-44BE-B580-C7D01E0C7B75}"/>
    <hyperlink ref="I65" r:id="rId8" display="https://geohack.toolforge.org/geohack.php?pagename=Lake_Illawarra,_New_South_Wales&amp;params=34_32_30_S_150_51_30_E_type:city_region:AU-NSW" xr:uid="{99CCE802-AD57-492D-B069-06685B55458C}"/>
    <hyperlink ref="J79" r:id="rId9" location="/maplink/0" display="https://pt.wikipedia.org/wiki/Lima - /maplink/0" xr:uid="{128FC98C-6833-424C-BF6A-14D0CBA57218}"/>
  </hyperlinks>
  <pageMargins left="0.511811024" right="0.511811024" top="0.78740157499999996" bottom="0.78740157499999996" header="0.31496062000000002" footer="0.31496062000000002"/>
  <pageSetup paperSize="9" orientation="portrait" horizontalDpi="360" verticalDpi="36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5DCC-FDCC-4B9A-9FDD-014E7DC9D4C5}">
  <dimension ref="A1:AF69"/>
  <sheetViews>
    <sheetView workbookViewId="0">
      <selection activeCell="F14" sqref="F14"/>
    </sheetView>
  </sheetViews>
  <sheetFormatPr defaultRowHeight="14.5" x14ac:dyDescent="0.35"/>
  <cols>
    <col min="6" max="6" width="8.7265625" style="3"/>
    <col min="16" max="16" width="8.7265625" style="3"/>
  </cols>
  <sheetData>
    <row r="1" spans="1:32"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1915</v>
      </c>
      <c r="O1" s="2" t="s">
        <v>1951</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2004</v>
      </c>
    </row>
    <row r="2" spans="1:32" x14ac:dyDescent="0.35">
      <c r="A2" s="3">
        <v>1</v>
      </c>
      <c r="B2" s="3" t="s">
        <v>33</v>
      </c>
      <c r="C2" s="3" t="s">
        <v>35</v>
      </c>
      <c r="D2" s="3" t="s">
        <v>751</v>
      </c>
      <c r="E2" s="3">
        <v>2025</v>
      </c>
      <c r="F2" s="3" t="s">
        <v>752</v>
      </c>
      <c r="G2" s="3" t="s">
        <v>753</v>
      </c>
      <c r="H2" s="3" t="s">
        <v>754</v>
      </c>
      <c r="I2" s="3">
        <v>13.01784</v>
      </c>
      <c r="J2" s="3">
        <v>80.268242000000001</v>
      </c>
      <c r="K2" s="3" t="s">
        <v>755</v>
      </c>
      <c r="L2" s="3" t="s">
        <v>756</v>
      </c>
      <c r="M2" s="3" t="s">
        <v>757</v>
      </c>
      <c r="N2" s="3" t="s">
        <v>1916</v>
      </c>
      <c r="O2" s="15"/>
      <c r="P2" s="3" t="s">
        <v>759</v>
      </c>
      <c r="Q2" s="3" t="s">
        <v>1113</v>
      </c>
      <c r="R2" s="3" t="s">
        <v>761</v>
      </c>
      <c r="S2" s="3" t="s">
        <v>762</v>
      </c>
      <c r="T2" s="3" t="s">
        <v>1031</v>
      </c>
      <c r="U2" s="3" t="s">
        <v>764</v>
      </c>
      <c r="V2" s="3" t="s">
        <v>2026</v>
      </c>
      <c r="W2" s="3" t="s">
        <v>766</v>
      </c>
      <c r="X2" s="3" t="s">
        <v>762</v>
      </c>
      <c r="Y2" s="3" t="s">
        <v>767</v>
      </c>
      <c r="Z2" s="3" t="s">
        <v>768</v>
      </c>
      <c r="AA2" s="3" t="s">
        <v>769</v>
      </c>
      <c r="AB2" s="3" t="s">
        <v>770</v>
      </c>
      <c r="AC2" s="3" t="s">
        <v>771</v>
      </c>
      <c r="AD2" s="3" t="s">
        <v>772</v>
      </c>
      <c r="AE2" s="3" t="s">
        <v>2008</v>
      </c>
      <c r="AF2" s="3" t="s">
        <v>2040</v>
      </c>
    </row>
    <row r="3" spans="1:32" x14ac:dyDescent="0.35">
      <c r="A3" s="3">
        <v>2</v>
      </c>
      <c r="B3" s="3" t="s">
        <v>38</v>
      </c>
      <c r="C3" s="3" t="s">
        <v>40</v>
      </c>
      <c r="D3" s="3" t="s">
        <v>751</v>
      </c>
      <c r="E3" s="3">
        <v>2023</v>
      </c>
      <c r="F3" s="3" t="s">
        <v>1890</v>
      </c>
      <c r="G3" s="3" t="s">
        <v>753</v>
      </c>
      <c r="H3" s="3" t="s">
        <v>776</v>
      </c>
      <c r="I3" s="3">
        <v>-12.816667000000001</v>
      </c>
      <c r="J3" s="3">
        <v>28.2</v>
      </c>
      <c r="K3" s="3" t="s">
        <v>779</v>
      </c>
      <c r="L3" s="3" t="s">
        <v>780</v>
      </c>
      <c r="M3" s="3" t="s">
        <v>781</v>
      </c>
      <c r="N3" s="3" t="s">
        <v>1917</v>
      </c>
      <c r="O3" s="3" t="s">
        <v>1953</v>
      </c>
      <c r="P3" s="3" t="s">
        <v>784</v>
      </c>
      <c r="Q3" s="3" t="s">
        <v>1882</v>
      </c>
      <c r="R3" s="3" t="s">
        <v>786</v>
      </c>
      <c r="S3" s="3" t="s">
        <v>787</v>
      </c>
      <c r="T3" s="3" t="s">
        <v>834</v>
      </c>
      <c r="U3" s="3" t="s">
        <v>764</v>
      </c>
      <c r="V3" s="3" t="s">
        <v>2027</v>
      </c>
      <c r="W3" s="3" t="s">
        <v>766</v>
      </c>
      <c r="X3" s="3" t="s">
        <v>787</v>
      </c>
      <c r="Y3" s="3" t="s">
        <v>763</v>
      </c>
      <c r="Z3" s="3" t="s">
        <v>789</v>
      </c>
      <c r="AA3" s="3" t="s">
        <v>790</v>
      </c>
      <c r="AB3" s="3" t="s">
        <v>791</v>
      </c>
      <c r="AC3" s="3" t="s">
        <v>763</v>
      </c>
      <c r="AD3" s="3" t="s">
        <v>763</v>
      </c>
      <c r="AE3" s="3" t="s">
        <v>792</v>
      </c>
      <c r="AF3" s="3" t="s">
        <v>793</v>
      </c>
    </row>
    <row r="4" spans="1:32" x14ac:dyDescent="0.35">
      <c r="A4" s="3">
        <v>3</v>
      </c>
      <c r="B4" s="3" t="s">
        <v>43</v>
      </c>
      <c r="C4" s="3" t="s">
        <v>45</v>
      </c>
      <c r="D4" s="3" t="s">
        <v>751</v>
      </c>
      <c r="E4" s="3">
        <v>2022</v>
      </c>
      <c r="F4" s="3" t="s">
        <v>1891</v>
      </c>
      <c r="G4" s="3" t="s">
        <v>795</v>
      </c>
      <c r="H4" s="3" t="s">
        <v>754</v>
      </c>
      <c r="I4" s="3">
        <v>4.6785030000000001</v>
      </c>
      <c r="J4" s="3">
        <v>101.07940000000001</v>
      </c>
      <c r="K4" s="3" t="s">
        <v>798</v>
      </c>
      <c r="L4" s="3" t="s">
        <v>799</v>
      </c>
      <c r="M4" s="15"/>
      <c r="N4" s="15"/>
      <c r="O4" s="15"/>
      <c r="P4" s="3" t="s">
        <v>763</v>
      </c>
      <c r="Q4" s="15"/>
      <c r="R4" s="3" t="s">
        <v>800</v>
      </c>
      <c r="S4" s="3" t="s">
        <v>762</v>
      </c>
      <c r="T4" s="3" t="s">
        <v>865</v>
      </c>
      <c r="U4" s="3" t="s">
        <v>801</v>
      </c>
      <c r="V4" s="3" t="s">
        <v>802</v>
      </c>
      <c r="W4" s="3" t="s">
        <v>766</v>
      </c>
      <c r="X4" s="3" t="s">
        <v>762</v>
      </c>
      <c r="Y4" s="3" t="s">
        <v>763</v>
      </c>
      <c r="Z4" s="3" t="s">
        <v>789</v>
      </c>
      <c r="AA4" s="3" t="s">
        <v>803</v>
      </c>
      <c r="AB4" s="3" t="s">
        <v>804</v>
      </c>
      <c r="AC4" s="3" t="s">
        <v>805</v>
      </c>
      <c r="AD4" s="3" t="s">
        <v>763</v>
      </c>
      <c r="AE4" s="3" t="s">
        <v>763</v>
      </c>
      <c r="AF4" s="3" t="s">
        <v>763</v>
      </c>
    </row>
    <row r="5" spans="1:32" x14ac:dyDescent="0.35">
      <c r="A5" s="3">
        <v>4</v>
      </c>
      <c r="B5" s="3" t="s">
        <v>53</v>
      </c>
      <c r="C5" s="3" t="s">
        <v>55</v>
      </c>
      <c r="D5" s="3" t="s">
        <v>751</v>
      </c>
      <c r="E5" s="3">
        <v>2016</v>
      </c>
      <c r="F5" s="3" t="s">
        <v>1892</v>
      </c>
      <c r="G5" s="3" t="s">
        <v>753</v>
      </c>
      <c r="H5" s="3" t="s">
        <v>754</v>
      </c>
      <c r="I5" s="3">
        <v>7.25</v>
      </c>
      <c r="J5" s="3">
        <v>5.1950000000000003</v>
      </c>
      <c r="K5" s="3" t="s">
        <v>822</v>
      </c>
      <c r="L5" s="3" t="s">
        <v>823</v>
      </c>
      <c r="M5" s="15"/>
      <c r="N5" s="15"/>
      <c r="O5" s="15"/>
      <c r="P5" s="3" t="s">
        <v>824</v>
      </c>
      <c r="Q5" s="3" t="s">
        <v>1860</v>
      </c>
      <c r="R5" s="3" t="s">
        <v>786</v>
      </c>
      <c r="S5" s="3" t="s">
        <v>787</v>
      </c>
      <c r="T5" s="3" t="s">
        <v>1031</v>
      </c>
      <c r="U5" s="3" t="s">
        <v>764</v>
      </c>
      <c r="V5" s="7" t="s">
        <v>2028</v>
      </c>
      <c r="W5" s="3" t="s">
        <v>766</v>
      </c>
      <c r="X5" s="3" t="s">
        <v>826</v>
      </c>
      <c r="Y5" s="3" t="s">
        <v>763</v>
      </c>
      <c r="Z5" s="3" t="s">
        <v>789</v>
      </c>
      <c r="AA5" s="3" t="s">
        <v>827</v>
      </c>
      <c r="AB5" s="3" t="s">
        <v>1780</v>
      </c>
      <c r="AC5" s="3" t="s">
        <v>763</v>
      </c>
      <c r="AD5" s="3" t="s">
        <v>763</v>
      </c>
      <c r="AE5" s="3" t="s">
        <v>2009</v>
      </c>
      <c r="AF5" s="5" t="s">
        <v>829</v>
      </c>
    </row>
    <row r="6" spans="1:32" x14ac:dyDescent="0.35">
      <c r="A6" s="3">
        <v>5</v>
      </c>
      <c r="B6" s="3" t="s">
        <v>58</v>
      </c>
      <c r="C6" s="3" t="s">
        <v>60</v>
      </c>
      <c r="D6" s="3" t="s">
        <v>751</v>
      </c>
      <c r="E6" s="3">
        <v>2024</v>
      </c>
      <c r="F6" s="3" t="s">
        <v>830</v>
      </c>
      <c r="G6" s="3" t="s">
        <v>753</v>
      </c>
      <c r="H6" s="3" t="s">
        <v>776</v>
      </c>
      <c r="I6" s="3">
        <v>-6.8858100000000002</v>
      </c>
      <c r="J6" s="3">
        <v>107.61136999999999</v>
      </c>
      <c r="K6" s="3" t="s">
        <v>831</v>
      </c>
      <c r="L6" s="3" t="s">
        <v>832</v>
      </c>
      <c r="M6" s="15"/>
      <c r="N6" s="15"/>
      <c r="O6" s="15"/>
      <c r="P6" s="3" t="s">
        <v>759</v>
      </c>
      <c r="Q6" s="15"/>
      <c r="R6" s="3" t="s">
        <v>833</v>
      </c>
      <c r="S6" s="3" t="s">
        <v>762</v>
      </c>
      <c r="T6" s="3" t="s">
        <v>834</v>
      </c>
      <c r="U6" s="7" t="s">
        <v>2003</v>
      </c>
      <c r="V6" s="3" t="s">
        <v>2038</v>
      </c>
      <c r="W6" s="3" t="s">
        <v>766</v>
      </c>
      <c r="X6" s="3" t="s">
        <v>762</v>
      </c>
      <c r="Y6" s="3" t="s">
        <v>837</v>
      </c>
      <c r="Z6" s="3" t="s">
        <v>789</v>
      </c>
      <c r="AA6" s="3" t="s">
        <v>838</v>
      </c>
      <c r="AB6" s="3" t="s">
        <v>763</v>
      </c>
      <c r="AC6" s="3" t="s">
        <v>839</v>
      </c>
      <c r="AD6" s="3" t="s">
        <v>763</v>
      </c>
      <c r="AE6" s="3" t="s">
        <v>840</v>
      </c>
      <c r="AF6" s="3" t="s">
        <v>2041</v>
      </c>
    </row>
    <row r="7" spans="1:32" x14ac:dyDescent="0.35">
      <c r="A7" s="3">
        <v>6</v>
      </c>
      <c r="B7" s="3" t="s">
        <v>63</v>
      </c>
      <c r="C7" s="3" t="s">
        <v>65</v>
      </c>
      <c r="D7" s="3" t="s">
        <v>751</v>
      </c>
      <c r="E7" s="3">
        <v>2023</v>
      </c>
      <c r="F7" s="3">
        <v>2020</v>
      </c>
      <c r="G7" s="3" t="s">
        <v>753</v>
      </c>
      <c r="H7" s="3" t="s">
        <v>776</v>
      </c>
      <c r="I7" s="3">
        <v>-21.688889</v>
      </c>
      <c r="J7" s="3">
        <v>-43.344444000000003</v>
      </c>
      <c r="K7" s="3" t="s">
        <v>845</v>
      </c>
      <c r="L7" s="3" t="s">
        <v>846</v>
      </c>
      <c r="M7" s="3" t="s">
        <v>1912</v>
      </c>
      <c r="N7" s="3" t="s">
        <v>1918</v>
      </c>
      <c r="O7" s="3" t="s">
        <v>1954</v>
      </c>
      <c r="P7" s="3" t="s">
        <v>763</v>
      </c>
      <c r="Q7" s="3" t="s">
        <v>850</v>
      </c>
      <c r="R7" s="3" t="s">
        <v>833</v>
      </c>
      <c r="S7" s="3" t="s">
        <v>787</v>
      </c>
      <c r="T7" s="3" t="s">
        <v>1397</v>
      </c>
      <c r="U7" s="3" t="s">
        <v>1990</v>
      </c>
      <c r="V7" t="s">
        <v>1032</v>
      </c>
      <c r="W7" s="3" t="s">
        <v>766</v>
      </c>
      <c r="X7" s="3" t="s">
        <v>787</v>
      </c>
      <c r="Y7" s="3" t="s">
        <v>853</v>
      </c>
      <c r="Z7" s="3" t="s">
        <v>789</v>
      </c>
      <c r="AA7" s="3" t="s">
        <v>854</v>
      </c>
      <c r="AB7" s="3" t="s">
        <v>763</v>
      </c>
      <c r="AC7" s="3" t="s">
        <v>855</v>
      </c>
      <c r="AD7" s="3" t="s">
        <v>763</v>
      </c>
      <c r="AE7" s="3" t="s">
        <v>763</v>
      </c>
      <c r="AF7" s="3" t="s">
        <v>2042</v>
      </c>
    </row>
    <row r="8" spans="1:32" x14ac:dyDescent="0.35">
      <c r="A8" s="3">
        <v>7</v>
      </c>
      <c r="B8" s="3" t="s">
        <v>857</v>
      </c>
      <c r="C8" s="3" t="s">
        <v>858</v>
      </c>
      <c r="D8" s="3" t="s">
        <v>859</v>
      </c>
      <c r="E8" s="3">
        <v>2014</v>
      </c>
      <c r="F8" s="3" t="s">
        <v>1893</v>
      </c>
      <c r="G8" s="3" t="s">
        <v>753</v>
      </c>
      <c r="H8" s="3" t="s">
        <v>776</v>
      </c>
      <c r="I8" s="3">
        <v>-20.8</v>
      </c>
      <c r="J8" s="3">
        <v>-42.883333</v>
      </c>
      <c r="K8" s="3" t="s">
        <v>863</v>
      </c>
      <c r="L8" s="3" t="s">
        <v>846</v>
      </c>
      <c r="M8" s="15"/>
      <c r="N8" s="15"/>
      <c r="O8" s="15"/>
      <c r="P8" s="3" t="s">
        <v>763</v>
      </c>
      <c r="Q8" s="3" t="s">
        <v>850</v>
      </c>
      <c r="R8" s="3" t="s">
        <v>864</v>
      </c>
      <c r="S8" s="3" t="s">
        <v>787</v>
      </c>
      <c r="T8" s="3" t="s">
        <v>865</v>
      </c>
      <c r="U8" s="3" t="s">
        <v>866</v>
      </c>
      <c r="V8" s="3" t="s">
        <v>763</v>
      </c>
      <c r="W8" s="3" t="s">
        <v>766</v>
      </c>
      <c r="X8" s="3" t="s">
        <v>787</v>
      </c>
      <c r="Y8" s="3" t="s">
        <v>867</v>
      </c>
      <c r="Z8" s="3" t="s">
        <v>868</v>
      </c>
      <c r="AA8" s="3" t="s">
        <v>763</v>
      </c>
      <c r="AB8" s="3" t="s">
        <v>763</v>
      </c>
      <c r="AC8" s="3" t="s">
        <v>869</v>
      </c>
      <c r="AD8" s="3" t="s">
        <v>763</v>
      </c>
      <c r="AE8" s="3" t="s">
        <v>870</v>
      </c>
      <c r="AF8" s="3" t="s">
        <v>763</v>
      </c>
    </row>
    <row r="9" spans="1:32" x14ac:dyDescent="0.35">
      <c r="A9" s="3">
        <v>8</v>
      </c>
      <c r="B9" s="3" t="s">
        <v>871</v>
      </c>
      <c r="C9" s="3" t="s">
        <v>872</v>
      </c>
      <c r="D9" s="3" t="s">
        <v>873</v>
      </c>
      <c r="E9" s="3">
        <v>2018</v>
      </c>
      <c r="F9" s="3" t="s">
        <v>1894</v>
      </c>
      <c r="G9" s="3" t="s">
        <v>753</v>
      </c>
      <c r="H9" s="3" t="s">
        <v>754</v>
      </c>
      <c r="I9" s="3">
        <v>20.143651999999999</v>
      </c>
      <c r="J9" s="3">
        <v>-75.202138000000005</v>
      </c>
      <c r="K9" s="3" t="s">
        <v>877</v>
      </c>
      <c r="L9" s="3" t="s">
        <v>878</v>
      </c>
      <c r="M9" s="15"/>
      <c r="N9" s="3" t="s">
        <v>1919</v>
      </c>
      <c r="O9" s="3" t="s">
        <v>1955</v>
      </c>
      <c r="P9" s="3" t="s">
        <v>881</v>
      </c>
      <c r="Q9" s="15"/>
      <c r="R9" s="3" t="s">
        <v>786</v>
      </c>
      <c r="S9" s="3" t="s">
        <v>787</v>
      </c>
      <c r="T9" s="3" t="s">
        <v>834</v>
      </c>
      <c r="U9" s="3" t="s">
        <v>764</v>
      </c>
      <c r="V9" s="3" t="s">
        <v>2025</v>
      </c>
      <c r="W9" s="3" t="s">
        <v>766</v>
      </c>
      <c r="X9" s="3" t="s">
        <v>826</v>
      </c>
      <c r="Y9" s="3" t="s">
        <v>763</v>
      </c>
      <c r="Z9" s="3" t="s">
        <v>768</v>
      </c>
      <c r="AA9" s="3" t="s">
        <v>883</v>
      </c>
      <c r="AB9" s="3" t="s">
        <v>884</v>
      </c>
      <c r="AC9" s="6" t="s">
        <v>885</v>
      </c>
      <c r="AD9" s="3" t="s">
        <v>763</v>
      </c>
      <c r="AE9" s="3" t="s">
        <v>886</v>
      </c>
      <c r="AF9" s="3" t="s">
        <v>2043</v>
      </c>
    </row>
    <row r="10" spans="1:32" x14ac:dyDescent="0.35">
      <c r="A10" s="3">
        <v>9</v>
      </c>
      <c r="B10" s="3" t="s">
        <v>888</v>
      </c>
      <c r="C10" s="3" t="s">
        <v>889</v>
      </c>
      <c r="D10" s="3" t="s">
        <v>873</v>
      </c>
      <c r="E10" s="3">
        <v>2022</v>
      </c>
      <c r="F10" s="3" t="s">
        <v>1895</v>
      </c>
      <c r="G10" s="3" t="s">
        <v>753</v>
      </c>
      <c r="H10" s="3" t="s">
        <v>754</v>
      </c>
      <c r="I10" s="3">
        <v>18.658055999999998</v>
      </c>
      <c r="J10" s="3">
        <v>-91.827777999999995</v>
      </c>
      <c r="K10" s="3" t="s">
        <v>893</v>
      </c>
      <c r="L10" s="3" t="s">
        <v>894</v>
      </c>
      <c r="M10" s="3" t="s">
        <v>1910</v>
      </c>
      <c r="N10" s="3" t="s">
        <v>1920</v>
      </c>
      <c r="O10" s="3" t="s">
        <v>1957</v>
      </c>
      <c r="P10" s="3" t="s">
        <v>759</v>
      </c>
      <c r="Q10" s="15"/>
      <c r="R10" s="3" t="s">
        <v>761</v>
      </c>
      <c r="S10" s="3" t="s">
        <v>762</v>
      </c>
      <c r="T10" s="3" t="s">
        <v>834</v>
      </c>
      <c r="U10" s="3" t="s">
        <v>764</v>
      </c>
      <c r="V10" s="3" t="s">
        <v>2026</v>
      </c>
      <c r="W10" s="3" t="s">
        <v>766</v>
      </c>
      <c r="X10" s="3" t="s">
        <v>762</v>
      </c>
      <c r="Y10" s="3" t="s">
        <v>763</v>
      </c>
      <c r="Z10" s="3" t="s">
        <v>768</v>
      </c>
      <c r="AA10" s="3" t="s">
        <v>900</v>
      </c>
      <c r="AB10" s="3" t="s">
        <v>901</v>
      </c>
      <c r="AC10" s="3" t="s">
        <v>902</v>
      </c>
      <c r="AD10" s="3" t="s">
        <v>763</v>
      </c>
      <c r="AE10" s="3" t="s">
        <v>903</v>
      </c>
      <c r="AF10" s="3" t="s">
        <v>2044</v>
      </c>
    </row>
    <row r="11" spans="1:32" x14ac:dyDescent="0.35">
      <c r="A11" s="3">
        <v>10</v>
      </c>
      <c r="B11" s="3" t="s">
        <v>905</v>
      </c>
      <c r="C11" s="3" t="s">
        <v>906</v>
      </c>
      <c r="D11" s="3" t="s">
        <v>873</v>
      </c>
      <c r="E11" s="3">
        <v>2023</v>
      </c>
      <c r="F11" s="3" t="s">
        <v>1896</v>
      </c>
      <c r="G11" s="3" t="s">
        <v>753</v>
      </c>
      <c r="H11" s="3" t="s">
        <v>754</v>
      </c>
      <c r="I11" s="3">
        <v>19.464027999999999</v>
      </c>
      <c r="J11" s="3">
        <v>-98.826291999999995</v>
      </c>
      <c r="K11" s="20" t="s">
        <v>1774</v>
      </c>
      <c r="L11" s="3" t="s">
        <v>894</v>
      </c>
      <c r="M11" s="3" t="s">
        <v>1911</v>
      </c>
      <c r="N11" s="3" t="s">
        <v>1921</v>
      </c>
      <c r="O11" s="3" t="s">
        <v>912</v>
      </c>
      <c r="P11" s="3" t="s">
        <v>913</v>
      </c>
      <c r="Q11" s="3" t="s">
        <v>1775</v>
      </c>
      <c r="R11" s="3" t="s">
        <v>833</v>
      </c>
      <c r="S11" s="3" t="s">
        <v>787</v>
      </c>
      <c r="T11" s="3" t="s">
        <v>865</v>
      </c>
      <c r="U11" s="7" t="s">
        <v>2003</v>
      </c>
      <c r="V11" s="7" t="s">
        <v>2029</v>
      </c>
      <c r="W11" s="3" t="s">
        <v>766</v>
      </c>
      <c r="X11" s="3" t="s">
        <v>787</v>
      </c>
      <c r="Y11" s="3" t="s">
        <v>916</v>
      </c>
      <c r="Z11" s="3" t="s">
        <v>768</v>
      </c>
      <c r="AA11" s="3" t="s">
        <v>1773</v>
      </c>
      <c r="AB11" s="3" t="s">
        <v>763</v>
      </c>
      <c r="AC11" s="7" t="s">
        <v>1772</v>
      </c>
      <c r="AD11" s="3" t="s">
        <v>763</v>
      </c>
      <c r="AE11" s="7" t="s">
        <v>1771</v>
      </c>
      <c r="AF11" s="3" t="s">
        <v>2045</v>
      </c>
    </row>
    <row r="12" spans="1:32" x14ac:dyDescent="0.35">
      <c r="A12" s="3">
        <v>11</v>
      </c>
      <c r="B12" s="3" t="s">
        <v>82</v>
      </c>
      <c r="C12" s="3" t="s">
        <v>84</v>
      </c>
      <c r="D12" s="3" t="s">
        <v>751</v>
      </c>
      <c r="E12" s="3">
        <v>2024</v>
      </c>
      <c r="F12" s="3">
        <v>2023</v>
      </c>
      <c r="G12" s="3" t="s">
        <v>753</v>
      </c>
      <c r="H12" s="3" t="s">
        <v>754</v>
      </c>
      <c r="I12" s="3">
        <v>9.5333330000000007</v>
      </c>
      <c r="J12" s="3">
        <v>76.599999999999994</v>
      </c>
      <c r="K12" s="3" t="s">
        <v>920</v>
      </c>
      <c r="L12" s="3" t="s">
        <v>756</v>
      </c>
      <c r="M12" s="3" t="s">
        <v>921</v>
      </c>
      <c r="N12" s="3" t="s">
        <v>1922</v>
      </c>
      <c r="O12" s="3" t="s">
        <v>923</v>
      </c>
      <c r="P12" s="3" t="s">
        <v>763</v>
      </c>
      <c r="Q12" s="15"/>
      <c r="R12" s="3" t="s">
        <v>924</v>
      </c>
      <c r="S12" s="3" t="s">
        <v>787</v>
      </c>
      <c r="T12" s="3" t="s">
        <v>865</v>
      </c>
      <c r="U12" s="3" t="s">
        <v>925</v>
      </c>
      <c r="V12" s="3" t="s">
        <v>2033</v>
      </c>
      <c r="W12" s="3" t="s">
        <v>766</v>
      </c>
      <c r="X12" s="3" t="s">
        <v>787</v>
      </c>
      <c r="Y12" s="3" t="s">
        <v>927</v>
      </c>
      <c r="Z12" s="3" t="s">
        <v>768</v>
      </c>
      <c r="AA12" s="3" t="s">
        <v>928</v>
      </c>
      <c r="AB12" s="3" t="s">
        <v>763</v>
      </c>
      <c r="AC12" s="3" t="s">
        <v>929</v>
      </c>
      <c r="AD12" s="3" t="s">
        <v>930</v>
      </c>
      <c r="AE12" s="3" t="s">
        <v>931</v>
      </c>
      <c r="AF12" s="3" t="s">
        <v>763</v>
      </c>
    </row>
    <row r="13" spans="1:32" x14ac:dyDescent="0.35">
      <c r="A13" s="3">
        <v>12</v>
      </c>
      <c r="B13" s="3" t="s">
        <v>932</v>
      </c>
      <c r="C13" s="3" t="s">
        <v>933</v>
      </c>
      <c r="D13" s="3" t="s">
        <v>751</v>
      </c>
      <c r="E13" s="3">
        <v>2023</v>
      </c>
      <c r="F13" s="3" t="s">
        <v>763</v>
      </c>
      <c r="G13" s="3" t="s">
        <v>753</v>
      </c>
      <c r="H13" s="3" t="s">
        <v>754</v>
      </c>
      <c r="I13" s="3">
        <v>9.8820949999999996</v>
      </c>
      <c r="J13" s="3">
        <v>78.081536999999997</v>
      </c>
      <c r="K13" s="3" t="s">
        <v>934</v>
      </c>
      <c r="L13" s="3" t="s">
        <v>756</v>
      </c>
      <c r="M13" s="15"/>
      <c r="N13" s="15"/>
      <c r="O13" s="15"/>
      <c r="P13" s="3" t="s">
        <v>763</v>
      </c>
      <c r="Q13" s="15"/>
      <c r="R13" s="3" t="s">
        <v>833</v>
      </c>
      <c r="S13" s="3" t="s">
        <v>762</v>
      </c>
      <c r="T13" s="3" t="s">
        <v>865</v>
      </c>
      <c r="U13" s="3" t="s">
        <v>936</v>
      </c>
      <c r="V13" s="3" t="s">
        <v>2026</v>
      </c>
      <c r="W13" s="3" t="s">
        <v>766</v>
      </c>
      <c r="X13" s="3" t="s">
        <v>762</v>
      </c>
      <c r="Y13" s="3" t="s">
        <v>763</v>
      </c>
      <c r="Z13" s="3" t="s">
        <v>768</v>
      </c>
      <c r="AA13" s="3" t="s">
        <v>938</v>
      </c>
      <c r="AB13" s="3" t="s">
        <v>763</v>
      </c>
      <c r="AC13" s="3" t="s">
        <v>939</v>
      </c>
      <c r="AD13" s="3" t="s">
        <v>2006</v>
      </c>
      <c r="AE13" s="3" t="s">
        <v>941</v>
      </c>
      <c r="AF13" s="3" t="s">
        <v>942</v>
      </c>
    </row>
    <row r="14" spans="1:32" x14ac:dyDescent="0.35">
      <c r="A14" s="3">
        <v>13</v>
      </c>
      <c r="B14" s="3" t="s">
        <v>958</v>
      </c>
      <c r="C14" s="3" t="s">
        <v>959</v>
      </c>
      <c r="D14" s="3" t="s">
        <v>751</v>
      </c>
      <c r="E14" s="3">
        <v>2021</v>
      </c>
      <c r="F14" s="3">
        <v>2020</v>
      </c>
      <c r="G14" s="3" t="s">
        <v>753</v>
      </c>
      <c r="H14" s="3" t="s">
        <v>776</v>
      </c>
      <c r="I14" s="3">
        <v>-6.2394439999999998</v>
      </c>
      <c r="J14" s="3">
        <v>106.992778</v>
      </c>
      <c r="K14" s="3" t="s">
        <v>962</v>
      </c>
      <c r="L14" s="3" t="s">
        <v>832</v>
      </c>
      <c r="M14" s="15"/>
      <c r="N14" s="15"/>
      <c r="O14" s="15"/>
      <c r="P14" s="3" t="s">
        <v>763</v>
      </c>
      <c r="Q14" s="15"/>
      <c r="R14" s="3" t="s">
        <v>1560</v>
      </c>
      <c r="S14" s="3" t="s">
        <v>787</v>
      </c>
      <c r="T14" s="3" t="s">
        <v>1031</v>
      </c>
      <c r="U14" s="3" t="s">
        <v>1989</v>
      </c>
      <c r="V14" s="3" t="s">
        <v>2026</v>
      </c>
      <c r="W14" s="3" t="s">
        <v>766</v>
      </c>
      <c r="X14" s="3" t="s">
        <v>787</v>
      </c>
      <c r="Y14" s="3" t="s">
        <v>763</v>
      </c>
      <c r="Z14" s="3" t="s">
        <v>789</v>
      </c>
      <c r="AA14" s="3" t="s">
        <v>966</v>
      </c>
      <c r="AB14" s="3" t="s">
        <v>967</v>
      </c>
      <c r="AC14" s="3" t="s">
        <v>968</v>
      </c>
      <c r="AD14" s="3" t="s">
        <v>763</v>
      </c>
      <c r="AE14" s="3" t="s">
        <v>969</v>
      </c>
      <c r="AF14" s="3" t="s">
        <v>763</v>
      </c>
    </row>
    <row r="15" spans="1:32" x14ac:dyDescent="0.35">
      <c r="A15" s="3">
        <v>14</v>
      </c>
      <c r="B15" s="3" t="s">
        <v>92</v>
      </c>
      <c r="C15" s="3" t="s">
        <v>1008</v>
      </c>
      <c r="D15" s="3" t="s">
        <v>751</v>
      </c>
      <c r="E15" s="3">
        <v>2020</v>
      </c>
      <c r="F15" s="27">
        <v>43831</v>
      </c>
      <c r="G15" s="3" t="s">
        <v>753</v>
      </c>
      <c r="H15" s="3" t="s">
        <v>754</v>
      </c>
      <c r="I15" s="3">
        <v>23.241667</v>
      </c>
      <c r="J15" s="3">
        <v>77.391666999999998</v>
      </c>
      <c r="K15" s="3" t="s">
        <v>1012</v>
      </c>
      <c r="L15" s="3" t="s">
        <v>756</v>
      </c>
      <c r="M15" s="3" t="s">
        <v>1912</v>
      </c>
      <c r="N15" s="3" t="s">
        <v>1923</v>
      </c>
      <c r="O15" s="3" t="s">
        <v>1956</v>
      </c>
      <c r="P15" s="3" t="s">
        <v>1016</v>
      </c>
      <c r="Q15" s="15"/>
      <c r="R15" s="3" t="s">
        <v>833</v>
      </c>
      <c r="S15" s="3" t="s">
        <v>787</v>
      </c>
      <c r="T15" s="3" t="s">
        <v>865</v>
      </c>
      <c r="U15" s="3" t="s">
        <v>764</v>
      </c>
      <c r="V15" s="29" t="s">
        <v>2030</v>
      </c>
      <c r="W15" s="3" t="s">
        <v>766</v>
      </c>
      <c r="X15" s="3" t="s">
        <v>787</v>
      </c>
      <c r="Y15" s="3" t="s">
        <v>763</v>
      </c>
      <c r="Z15" s="3" t="s">
        <v>768</v>
      </c>
      <c r="AA15" s="3" t="s">
        <v>1781</v>
      </c>
      <c r="AB15" s="3" t="s">
        <v>763</v>
      </c>
      <c r="AC15" s="3" t="s">
        <v>1013</v>
      </c>
      <c r="AD15" s="3" t="s">
        <v>1022</v>
      </c>
      <c r="AE15" s="3" t="s">
        <v>1018</v>
      </c>
      <c r="AF15" s="3" t="s">
        <v>2046</v>
      </c>
    </row>
    <row r="16" spans="1:32" x14ac:dyDescent="0.35">
      <c r="A16" s="3">
        <v>15</v>
      </c>
      <c r="B16" s="3" t="s">
        <v>98</v>
      </c>
      <c r="C16" s="3" t="s">
        <v>1030</v>
      </c>
      <c r="D16" s="3" t="s">
        <v>751</v>
      </c>
      <c r="E16" s="3">
        <v>2018</v>
      </c>
      <c r="F16" s="3" t="s">
        <v>1897</v>
      </c>
      <c r="G16" s="3" t="s">
        <v>795</v>
      </c>
      <c r="H16" s="3" t="s">
        <v>754</v>
      </c>
      <c r="I16" s="3">
        <v>9.9311939999999996</v>
      </c>
      <c r="J16" s="3">
        <v>76.267306000000005</v>
      </c>
      <c r="K16" s="3" t="s">
        <v>1753</v>
      </c>
      <c r="L16" s="3" t="s">
        <v>756</v>
      </c>
      <c r="M16" s="3" t="s">
        <v>1024</v>
      </c>
      <c r="N16" s="3" t="s">
        <v>1924</v>
      </c>
      <c r="O16" s="3" t="s">
        <v>1959</v>
      </c>
      <c r="P16" s="3" t="s">
        <v>759</v>
      </c>
      <c r="Q16" s="15"/>
      <c r="R16" s="3" t="s">
        <v>786</v>
      </c>
      <c r="S16" s="3" t="s">
        <v>762</v>
      </c>
      <c r="T16" s="3" t="s">
        <v>1031</v>
      </c>
      <c r="U16" s="3" t="s">
        <v>1991</v>
      </c>
      <c r="V16" s="3" t="s">
        <v>1032</v>
      </c>
      <c r="W16" s="3" t="s">
        <v>766</v>
      </c>
      <c r="X16" s="3" t="s">
        <v>762</v>
      </c>
      <c r="Y16" s="3" t="s">
        <v>763</v>
      </c>
      <c r="Z16" s="3" t="s">
        <v>789</v>
      </c>
      <c r="AA16" s="3" t="s">
        <v>1033</v>
      </c>
      <c r="AB16" s="3" t="s">
        <v>763</v>
      </c>
      <c r="AC16" s="3" t="s">
        <v>1034</v>
      </c>
      <c r="AD16" s="3" t="s">
        <v>763</v>
      </c>
      <c r="AE16" s="3" t="s">
        <v>763</v>
      </c>
      <c r="AF16" s="3" t="s">
        <v>1027</v>
      </c>
    </row>
    <row r="17" spans="1:32" x14ac:dyDescent="0.35">
      <c r="A17" s="3">
        <v>16</v>
      </c>
      <c r="B17" t="s">
        <v>111</v>
      </c>
      <c r="C17" t="s">
        <v>113</v>
      </c>
      <c r="D17" s="3" t="s">
        <v>751</v>
      </c>
      <c r="E17" s="3">
        <v>2018</v>
      </c>
      <c r="F17" s="3">
        <v>2016</v>
      </c>
      <c r="G17" s="3" t="s">
        <v>753</v>
      </c>
      <c r="H17" s="3" t="s">
        <v>776</v>
      </c>
      <c r="I17" s="3">
        <v>-6.2249999999999996</v>
      </c>
      <c r="J17" s="3">
        <v>106.63333299999999</v>
      </c>
      <c r="K17" s="3" t="s">
        <v>1037</v>
      </c>
      <c r="L17" s="3" t="s">
        <v>832</v>
      </c>
      <c r="M17" s="15"/>
      <c r="N17" s="15"/>
      <c r="O17" s="15"/>
      <c r="P17" s="3" t="s">
        <v>763</v>
      </c>
      <c r="Q17" s="15"/>
      <c r="R17" s="3" t="s">
        <v>1560</v>
      </c>
      <c r="S17" s="3" t="s">
        <v>787</v>
      </c>
      <c r="T17" s="3" t="s">
        <v>1031</v>
      </c>
      <c r="U17" s="3" t="s">
        <v>1039</v>
      </c>
      <c r="V17" s="3" t="s">
        <v>2026</v>
      </c>
      <c r="W17" s="3" t="s">
        <v>766</v>
      </c>
      <c r="X17" s="3" t="s">
        <v>787</v>
      </c>
      <c r="Y17" s="3" t="s">
        <v>763</v>
      </c>
      <c r="Z17" s="3" t="s">
        <v>789</v>
      </c>
      <c r="AA17" s="3" t="s">
        <v>1041</v>
      </c>
      <c r="AB17" s="3" t="s">
        <v>1040</v>
      </c>
      <c r="AC17" s="3" t="s">
        <v>2007</v>
      </c>
      <c r="AD17" s="3" t="s">
        <v>763</v>
      </c>
      <c r="AE17" s="3" t="s">
        <v>2010</v>
      </c>
      <c r="AF17" s="5" t="s">
        <v>1044</v>
      </c>
    </row>
    <row r="18" spans="1:32" x14ac:dyDescent="0.35">
      <c r="A18" s="3">
        <v>17</v>
      </c>
      <c r="B18" t="s">
        <v>126</v>
      </c>
      <c r="C18" t="s">
        <v>128</v>
      </c>
      <c r="D18" s="3" t="s">
        <v>751</v>
      </c>
      <c r="E18" s="3">
        <v>2023</v>
      </c>
      <c r="F18" s="3">
        <v>2019</v>
      </c>
      <c r="G18" s="3" t="s">
        <v>753</v>
      </c>
      <c r="H18" s="3" t="s">
        <v>776</v>
      </c>
      <c r="I18" s="3">
        <v>-20.761651000000001</v>
      </c>
      <c r="J18" s="3">
        <v>-42.870387999999998</v>
      </c>
      <c r="K18" s="3" t="s">
        <v>863</v>
      </c>
      <c r="L18" s="3" t="s">
        <v>846</v>
      </c>
      <c r="M18" s="15"/>
      <c r="N18" s="15"/>
      <c r="O18" s="15"/>
      <c r="P18" s="3" t="s">
        <v>763</v>
      </c>
      <c r="Q18" s="3" t="s">
        <v>850</v>
      </c>
      <c r="R18" s="3" t="s">
        <v>833</v>
      </c>
      <c r="S18" s="3" t="s">
        <v>787</v>
      </c>
      <c r="T18" s="3" t="s">
        <v>865</v>
      </c>
      <c r="U18" s="3" t="s">
        <v>1052</v>
      </c>
      <c r="V18" s="3" t="s">
        <v>1032</v>
      </c>
      <c r="W18" s="3" t="s">
        <v>766</v>
      </c>
      <c r="X18" s="3" t="s">
        <v>787</v>
      </c>
      <c r="Y18" s="3" t="s">
        <v>1053</v>
      </c>
      <c r="Z18" s="3" t="s">
        <v>789</v>
      </c>
      <c r="AA18" s="3" t="s">
        <v>763</v>
      </c>
      <c r="AB18" s="3" t="s">
        <v>763</v>
      </c>
      <c r="AC18" s="3" t="s">
        <v>1048</v>
      </c>
      <c r="AD18" s="3" t="s">
        <v>763</v>
      </c>
      <c r="AE18" s="3" t="s">
        <v>763</v>
      </c>
      <c r="AF18" s="3" t="s">
        <v>1051</v>
      </c>
    </row>
    <row r="19" spans="1:32" x14ac:dyDescent="0.35">
      <c r="A19" s="3">
        <v>18</v>
      </c>
      <c r="B19" t="s">
        <v>131</v>
      </c>
      <c r="C19" t="s">
        <v>133</v>
      </c>
      <c r="D19" s="3" t="s">
        <v>751</v>
      </c>
      <c r="E19" s="3">
        <v>2021</v>
      </c>
      <c r="F19" s="3">
        <v>2019</v>
      </c>
      <c r="G19" s="3" t="s">
        <v>753</v>
      </c>
      <c r="H19" s="3" t="s">
        <v>754</v>
      </c>
      <c r="I19" s="3">
        <v>3.103361</v>
      </c>
      <c r="J19" s="3">
        <v>101.625111</v>
      </c>
      <c r="K19" s="3" t="s">
        <v>1054</v>
      </c>
      <c r="L19" s="3" t="s">
        <v>799</v>
      </c>
      <c r="M19" s="3" t="s">
        <v>1019</v>
      </c>
      <c r="N19" s="15"/>
      <c r="O19" s="3" t="s">
        <v>1960</v>
      </c>
      <c r="P19" s="3" t="s">
        <v>763</v>
      </c>
      <c r="Q19" s="15"/>
      <c r="R19" s="3" t="s">
        <v>1055</v>
      </c>
      <c r="S19" s="3" t="s">
        <v>787</v>
      </c>
      <c r="T19" s="3" t="s">
        <v>834</v>
      </c>
      <c r="U19" s="3" t="s">
        <v>1059</v>
      </c>
      <c r="V19" s="3" t="s">
        <v>2026</v>
      </c>
      <c r="W19" s="3" t="s">
        <v>1058</v>
      </c>
      <c r="X19" s="3" t="s">
        <v>787</v>
      </c>
      <c r="Y19" s="3" t="s">
        <v>1066</v>
      </c>
      <c r="Z19" s="3" t="s">
        <v>789</v>
      </c>
      <c r="AA19" s="3" t="s">
        <v>763</v>
      </c>
      <c r="AB19" s="3" t="s">
        <v>763</v>
      </c>
      <c r="AC19" s="3" t="s">
        <v>1056</v>
      </c>
      <c r="AD19" s="3" t="s">
        <v>1057</v>
      </c>
      <c r="AE19" s="3" t="s">
        <v>2011</v>
      </c>
      <c r="AF19" s="3" t="s">
        <v>1064</v>
      </c>
    </row>
    <row r="20" spans="1:32" x14ac:dyDescent="0.35">
      <c r="A20" s="3">
        <v>19</v>
      </c>
      <c r="B20" t="s">
        <v>136</v>
      </c>
      <c r="C20" t="s">
        <v>138</v>
      </c>
      <c r="D20" s="3" t="s">
        <v>751</v>
      </c>
      <c r="E20" s="3">
        <v>2024</v>
      </c>
      <c r="F20" s="3" t="s">
        <v>1079</v>
      </c>
      <c r="G20" s="3" t="s">
        <v>753</v>
      </c>
      <c r="H20" s="3" t="s">
        <v>754</v>
      </c>
      <c r="I20" s="3">
        <v>14.292999999999999</v>
      </c>
      <c r="J20" s="3">
        <v>99.825999999999993</v>
      </c>
      <c r="K20" s="18" t="s">
        <v>1793</v>
      </c>
      <c r="L20" s="3" t="s">
        <v>1068</v>
      </c>
      <c r="M20" s="15"/>
      <c r="N20" s="15"/>
      <c r="O20" s="15"/>
      <c r="P20" s="3" t="s">
        <v>763</v>
      </c>
      <c r="Q20" s="15"/>
      <c r="R20" s="3" t="s">
        <v>833</v>
      </c>
      <c r="S20" s="3" t="s">
        <v>787</v>
      </c>
      <c r="T20" s="3" t="s">
        <v>1031</v>
      </c>
      <c r="U20" s="3" t="s">
        <v>1992</v>
      </c>
      <c r="V20" s="3" t="s">
        <v>2026</v>
      </c>
      <c r="W20" s="3" t="s">
        <v>766</v>
      </c>
      <c r="X20" s="3" t="s">
        <v>787</v>
      </c>
      <c r="Y20" s="3" t="s">
        <v>1072</v>
      </c>
      <c r="Z20" s="3" t="s">
        <v>768</v>
      </c>
      <c r="AA20" s="3" t="s">
        <v>1071</v>
      </c>
      <c r="AB20" s="3" t="s">
        <v>1073</v>
      </c>
      <c r="AC20" s="3" t="s">
        <v>1075</v>
      </c>
      <c r="AD20" s="3" t="s">
        <v>763</v>
      </c>
      <c r="AE20" s="3" t="s">
        <v>763</v>
      </c>
      <c r="AF20" s="3" t="s">
        <v>2047</v>
      </c>
    </row>
    <row r="21" spans="1:32" x14ac:dyDescent="0.35">
      <c r="A21" s="3">
        <v>20</v>
      </c>
      <c r="B21" t="s">
        <v>148</v>
      </c>
      <c r="C21" t="s">
        <v>150</v>
      </c>
      <c r="D21" s="3" t="s">
        <v>751</v>
      </c>
      <c r="E21" s="3">
        <v>2022</v>
      </c>
      <c r="F21" s="3">
        <v>2021</v>
      </c>
      <c r="G21" s="3" t="s">
        <v>753</v>
      </c>
      <c r="H21" s="3" t="s">
        <v>754</v>
      </c>
      <c r="I21" s="3">
        <v>23.181944000000001</v>
      </c>
      <c r="J21" s="3">
        <v>77.421943999999996</v>
      </c>
      <c r="K21" s="3" t="s">
        <v>1012</v>
      </c>
      <c r="L21" s="3" t="s">
        <v>756</v>
      </c>
      <c r="M21" s="3" t="s">
        <v>1912</v>
      </c>
      <c r="N21" s="3" t="s">
        <v>1925</v>
      </c>
      <c r="O21" s="3" t="s">
        <v>1961</v>
      </c>
      <c r="P21" s="3" t="s">
        <v>763</v>
      </c>
      <c r="Q21" s="15"/>
      <c r="R21" s="3" t="s">
        <v>786</v>
      </c>
      <c r="S21" s="3" t="s">
        <v>762</v>
      </c>
      <c r="T21" s="3" t="s">
        <v>834</v>
      </c>
      <c r="U21" s="3" t="s">
        <v>1993</v>
      </c>
      <c r="V21" s="3" t="s">
        <v>2027</v>
      </c>
      <c r="W21" s="3" t="s">
        <v>766</v>
      </c>
      <c r="X21" s="3" t="s">
        <v>787</v>
      </c>
      <c r="Y21" s="3" t="s">
        <v>763</v>
      </c>
      <c r="Z21" s="3" t="s">
        <v>768</v>
      </c>
      <c r="AA21" s="3" t="s">
        <v>1089</v>
      </c>
      <c r="AB21" s="3" t="s">
        <v>1088</v>
      </c>
      <c r="AC21" s="3" t="s">
        <v>1084</v>
      </c>
      <c r="AD21" s="3" t="s">
        <v>763</v>
      </c>
      <c r="AE21" s="3" t="s">
        <v>1090</v>
      </c>
      <c r="AF21" s="3" t="s">
        <v>1087</v>
      </c>
    </row>
    <row r="22" spans="1:32" x14ac:dyDescent="0.35">
      <c r="A22" s="3">
        <v>21</v>
      </c>
      <c r="B22" t="s">
        <v>153</v>
      </c>
      <c r="C22" t="s">
        <v>155</v>
      </c>
      <c r="D22" s="3" t="s">
        <v>751</v>
      </c>
      <c r="E22" s="3">
        <v>2015</v>
      </c>
      <c r="F22" s="3">
        <v>2015</v>
      </c>
      <c r="G22" s="3" t="s">
        <v>753</v>
      </c>
      <c r="H22" s="3" t="s">
        <v>754</v>
      </c>
      <c r="I22" s="3">
        <v>1.5027779999999999</v>
      </c>
      <c r="J22" s="3">
        <v>103.93555600000001</v>
      </c>
      <c r="K22" t="s">
        <v>1095</v>
      </c>
      <c r="L22" s="3" t="s">
        <v>799</v>
      </c>
      <c r="M22" s="15"/>
      <c r="N22" s="15"/>
      <c r="O22" s="15"/>
      <c r="P22" s="3" t="s">
        <v>763</v>
      </c>
      <c r="Q22" s="15"/>
      <c r="R22" s="3" t="s">
        <v>1094</v>
      </c>
      <c r="S22" s="3" t="s">
        <v>787</v>
      </c>
      <c r="T22" s="3" t="s">
        <v>1031</v>
      </c>
      <c r="U22" s="3" t="s">
        <v>764</v>
      </c>
      <c r="V22" s="3" t="s">
        <v>2026</v>
      </c>
      <c r="W22" s="3" t="s">
        <v>766</v>
      </c>
      <c r="X22" s="3" t="s">
        <v>787</v>
      </c>
      <c r="Y22" t="s">
        <v>1096</v>
      </c>
      <c r="Z22" s="3" t="s">
        <v>789</v>
      </c>
      <c r="AA22" s="3" t="s">
        <v>763</v>
      </c>
      <c r="AB22" s="3" t="s">
        <v>763</v>
      </c>
      <c r="AC22" s="3" t="s">
        <v>1093</v>
      </c>
      <c r="AD22" s="3" t="s">
        <v>1097</v>
      </c>
      <c r="AE22" s="3" t="s">
        <v>1100</v>
      </c>
      <c r="AF22" s="3" t="s">
        <v>1092</v>
      </c>
    </row>
    <row r="23" spans="1:32" x14ac:dyDescent="0.35">
      <c r="A23" s="3">
        <v>22</v>
      </c>
      <c r="B23" t="s">
        <v>158</v>
      </c>
      <c r="C23" t="s">
        <v>160</v>
      </c>
      <c r="D23" s="3" t="s">
        <v>751</v>
      </c>
      <c r="E23" s="3">
        <v>2020</v>
      </c>
      <c r="F23" s="3" t="s">
        <v>763</v>
      </c>
      <c r="G23" s="3" t="s">
        <v>753</v>
      </c>
      <c r="H23" s="3" t="s">
        <v>754</v>
      </c>
      <c r="I23" s="3">
        <v>8.1652780000000007</v>
      </c>
      <c r="J23" s="3">
        <v>38.054443999999997</v>
      </c>
      <c r="K23" t="s">
        <v>1104</v>
      </c>
      <c r="L23" s="3" t="s">
        <v>1102</v>
      </c>
      <c r="M23" s="15"/>
      <c r="N23" s="15"/>
      <c r="O23" s="15"/>
      <c r="P23" s="3" t="s">
        <v>763</v>
      </c>
      <c r="Q23" s="15"/>
      <c r="R23" s="3" t="s">
        <v>833</v>
      </c>
      <c r="S23" s="3" t="s">
        <v>787</v>
      </c>
      <c r="T23" s="3" t="s">
        <v>865</v>
      </c>
      <c r="U23" s="3" t="s">
        <v>764</v>
      </c>
      <c r="V23" s="3" t="s">
        <v>2026</v>
      </c>
      <c r="W23" s="3" t="s">
        <v>766</v>
      </c>
      <c r="X23" s="3" t="s">
        <v>787</v>
      </c>
      <c r="Y23" s="3" t="s">
        <v>763</v>
      </c>
      <c r="Z23" s="3" t="s">
        <v>768</v>
      </c>
      <c r="AA23" s="3" t="s">
        <v>1103</v>
      </c>
      <c r="AB23" s="3" t="s">
        <v>1108</v>
      </c>
      <c r="AC23" s="3" t="s">
        <v>1107</v>
      </c>
      <c r="AD23" t="s">
        <v>1110</v>
      </c>
      <c r="AE23" s="3" t="s">
        <v>2012</v>
      </c>
      <c r="AF23" s="3" t="s">
        <v>1109</v>
      </c>
    </row>
    <row r="24" spans="1:32" x14ac:dyDescent="0.35">
      <c r="A24" s="3">
        <v>24</v>
      </c>
      <c r="B24" t="s">
        <v>173</v>
      </c>
      <c r="C24" t="s">
        <v>175</v>
      </c>
      <c r="D24" s="3" t="s">
        <v>751</v>
      </c>
      <c r="E24" s="3">
        <v>2024</v>
      </c>
      <c r="F24" s="3">
        <v>2020</v>
      </c>
      <c r="G24" s="3" t="s">
        <v>753</v>
      </c>
      <c r="H24" s="3" t="s">
        <v>754</v>
      </c>
      <c r="I24" s="3">
        <v>9.0783889999999996</v>
      </c>
      <c r="J24" s="3">
        <v>38.759208000000001</v>
      </c>
      <c r="K24" t="s">
        <v>1104</v>
      </c>
      <c r="L24" s="3" t="s">
        <v>1102</v>
      </c>
      <c r="M24" s="15"/>
      <c r="N24" t="s">
        <v>1926</v>
      </c>
      <c r="O24" t="s">
        <v>1962</v>
      </c>
      <c r="P24" s="3" t="s">
        <v>763</v>
      </c>
      <c r="Q24" s="15"/>
      <c r="R24" s="3" t="s">
        <v>833</v>
      </c>
      <c r="S24" s="3" t="s">
        <v>762</v>
      </c>
      <c r="T24" s="3" t="s">
        <v>865</v>
      </c>
      <c r="U24" s="3" t="s">
        <v>764</v>
      </c>
      <c r="V24" t="s">
        <v>2026</v>
      </c>
      <c r="W24" s="3" t="s">
        <v>766</v>
      </c>
      <c r="X24" s="3" t="s">
        <v>762</v>
      </c>
      <c r="Y24" s="3" t="s">
        <v>763</v>
      </c>
      <c r="Z24" s="3" t="s">
        <v>768</v>
      </c>
      <c r="AA24" s="3" t="s">
        <v>1121</v>
      </c>
      <c r="AB24" s="3" t="s">
        <v>1120</v>
      </c>
      <c r="AC24" s="3" t="s">
        <v>1124</v>
      </c>
      <c r="AD24" s="3" t="s">
        <v>763</v>
      </c>
      <c r="AE24" s="3" t="s">
        <v>1125</v>
      </c>
      <c r="AF24" t="s">
        <v>1119</v>
      </c>
    </row>
    <row r="25" spans="1:32" x14ac:dyDescent="0.35">
      <c r="A25" s="3">
        <v>25</v>
      </c>
      <c r="B25" t="s">
        <v>1144</v>
      </c>
      <c r="C25" t="s">
        <v>1145</v>
      </c>
      <c r="D25" s="3" t="s">
        <v>751</v>
      </c>
      <c r="E25" s="3">
        <v>2019</v>
      </c>
      <c r="F25" s="3">
        <v>2018</v>
      </c>
      <c r="G25" s="3" t="s">
        <v>753</v>
      </c>
      <c r="H25" s="3" t="s">
        <v>754</v>
      </c>
      <c r="I25" s="3">
        <v>10.296523000000001</v>
      </c>
      <c r="J25" s="3">
        <v>123.8986</v>
      </c>
      <c r="K25" t="s">
        <v>1143</v>
      </c>
      <c r="L25" s="3" t="s">
        <v>1112</v>
      </c>
      <c r="M25" t="s">
        <v>1208</v>
      </c>
      <c r="N25" t="s">
        <v>1927</v>
      </c>
      <c r="O25" t="s">
        <v>1963</v>
      </c>
      <c r="P25" s="3" t="s">
        <v>763</v>
      </c>
      <c r="Q25" s="15"/>
      <c r="R25" s="3" t="s">
        <v>786</v>
      </c>
      <c r="S25" s="3" t="s">
        <v>787</v>
      </c>
      <c r="T25" s="3" t="s">
        <v>834</v>
      </c>
      <c r="U25" s="3" t="s">
        <v>1148</v>
      </c>
      <c r="V25" t="s">
        <v>2027</v>
      </c>
      <c r="W25" s="3" t="s">
        <v>766</v>
      </c>
      <c r="X25" s="3" t="s">
        <v>787</v>
      </c>
      <c r="Y25" s="3" t="s">
        <v>1142</v>
      </c>
      <c r="Z25" s="3" t="s">
        <v>789</v>
      </c>
      <c r="AA25" t="s">
        <v>1146</v>
      </c>
      <c r="AB25" s="7" t="s">
        <v>1147</v>
      </c>
      <c r="AC25" t="s">
        <v>1156</v>
      </c>
      <c r="AD25" s="3" t="s">
        <v>763</v>
      </c>
      <c r="AE25" s="7" t="s">
        <v>1157</v>
      </c>
      <c r="AF25" t="s">
        <v>1150</v>
      </c>
    </row>
    <row r="26" spans="1:32" x14ac:dyDescent="0.35">
      <c r="A26" s="3">
        <v>26</v>
      </c>
      <c r="B26" t="s">
        <v>183</v>
      </c>
      <c r="C26" t="s">
        <v>1158</v>
      </c>
      <c r="D26" s="3" t="s">
        <v>751</v>
      </c>
      <c r="E26" s="3">
        <v>2019</v>
      </c>
      <c r="F26" s="3" t="s">
        <v>1898</v>
      </c>
      <c r="G26" s="3" t="s">
        <v>753</v>
      </c>
      <c r="H26" s="3" t="s">
        <v>754</v>
      </c>
      <c r="I26" s="3">
        <v>1.3122499999999999</v>
      </c>
      <c r="J26" s="3">
        <v>103.910861</v>
      </c>
      <c r="K26" t="s">
        <v>1159</v>
      </c>
      <c r="L26" t="s">
        <v>1159</v>
      </c>
      <c r="M26" t="s">
        <v>1019</v>
      </c>
      <c r="N26" t="s">
        <v>1928</v>
      </c>
      <c r="O26" t="s">
        <v>1964</v>
      </c>
      <c r="P26" s="3" t="s">
        <v>948</v>
      </c>
      <c r="Q26" s="15"/>
      <c r="R26" s="3" t="s">
        <v>786</v>
      </c>
      <c r="S26" s="3" t="s">
        <v>762</v>
      </c>
      <c r="T26" s="3" t="s">
        <v>834</v>
      </c>
      <c r="U26" s="3" t="s">
        <v>1994</v>
      </c>
      <c r="V26" t="s">
        <v>2026</v>
      </c>
      <c r="W26" s="3" t="s">
        <v>766</v>
      </c>
      <c r="X26" s="3" t="s">
        <v>826</v>
      </c>
      <c r="Y26" s="3" t="s">
        <v>1170</v>
      </c>
      <c r="Z26" s="3" t="s">
        <v>789</v>
      </c>
      <c r="AA26" s="3" t="s">
        <v>763</v>
      </c>
      <c r="AB26" s="7" t="s">
        <v>1169</v>
      </c>
      <c r="AC26" t="s">
        <v>763</v>
      </c>
      <c r="AD26" s="3" t="s">
        <v>763</v>
      </c>
      <c r="AE26" s="7" t="s">
        <v>1168</v>
      </c>
      <c r="AF26" t="s">
        <v>1136</v>
      </c>
    </row>
    <row r="27" spans="1:32" x14ac:dyDescent="0.35">
      <c r="A27" s="3">
        <v>27</v>
      </c>
      <c r="B27" t="s">
        <v>185</v>
      </c>
      <c r="C27" t="s">
        <v>187</v>
      </c>
      <c r="D27" s="3" t="s">
        <v>751</v>
      </c>
      <c r="E27" s="3">
        <v>2023</v>
      </c>
      <c r="F27" s="3">
        <v>2013</v>
      </c>
      <c r="G27" s="3" t="s">
        <v>753</v>
      </c>
      <c r="H27" s="3" t="s">
        <v>754</v>
      </c>
      <c r="I27" s="3">
        <v>19.546806</v>
      </c>
      <c r="J27" s="3">
        <v>-96.950417000000002</v>
      </c>
      <c r="K27" t="s">
        <v>1171</v>
      </c>
      <c r="L27" t="s">
        <v>894</v>
      </c>
      <c r="M27" t="s">
        <v>1019</v>
      </c>
      <c r="N27" s="15"/>
      <c r="O27" s="15"/>
      <c r="P27" s="3" t="s">
        <v>763</v>
      </c>
      <c r="Q27" s="15"/>
      <c r="R27" s="3" t="s">
        <v>833</v>
      </c>
      <c r="S27" s="3" t="s">
        <v>787</v>
      </c>
      <c r="T27" s="3" t="s">
        <v>865</v>
      </c>
      <c r="U27" s="3" t="s">
        <v>764</v>
      </c>
      <c r="V27" t="s">
        <v>2027</v>
      </c>
      <c r="W27" t="s">
        <v>766</v>
      </c>
      <c r="X27" s="3" t="s">
        <v>787</v>
      </c>
      <c r="Y27" s="3" t="s">
        <v>763</v>
      </c>
      <c r="Z27" s="3" t="s">
        <v>789</v>
      </c>
      <c r="AA27" s="3" t="s">
        <v>1175</v>
      </c>
      <c r="AB27" s="7" t="s">
        <v>1174</v>
      </c>
      <c r="AC27" t="s">
        <v>1172</v>
      </c>
      <c r="AD27" s="3" t="s">
        <v>763</v>
      </c>
      <c r="AE27" t="s">
        <v>1176</v>
      </c>
      <c r="AF27" t="s">
        <v>1160</v>
      </c>
    </row>
    <row r="28" spans="1:32" x14ac:dyDescent="0.35">
      <c r="A28" s="3">
        <v>28</v>
      </c>
      <c r="B28" t="s">
        <v>200</v>
      </c>
      <c r="C28" t="s">
        <v>202</v>
      </c>
      <c r="D28" s="3" t="s">
        <v>751</v>
      </c>
      <c r="E28" s="3">
        <v>2018</v>
      </c>
      <c r="F28" s="3" t="s">
        <v>1899</v>
      </c>
      <c r="G28" s="3" t="s">
        <v>795</v>
      </c>
      <c r="H28" s="3" t="s">
        <v>776</v>
      </c>
      <c r="I28" s="3">
        <v>-8.6636769999999999</v>
      </c>
      <c r="J28" s="3">
        <v>115.22344699999999</v>
      </c>
      <c r="K28" t="s">
        <v>1754</v>
      </c>
      <c r="L28" t="s">
        <v>832</v>
      </c>
      <c r="M28" t="s">
        <v>1019</v>
      </c>
      <c r="N28" s="15"/>
      <c r="O28" t="s">
        <v>1965</v>
      </c>
      <c r="P28" s="3" t="s">
        <v>763</v>
      </c>
      <c r="Q28" s="15"/>
      <c r="R28" t="s">
        <v>1187</v>
      </c>
      <c r="S28" s="3" t="s">
        <v>787</v>
      </c>
      <c r="T28" s="3" t="s">
        <v>1397</v>
      </c>
      <c r="U28" s="3" t="s">
        <v>1182</v>
      </c>
      <c r="V28" t="s">
        <v>1744</v>
      </c>
      <c r="W28" s="3" t="s">
        <v>1188</v>
      </c>
      <c r="X28" s="3" t="s">
        <v>787</v>
      </c>
      <c r="Y28" s="3" t="s">
        <v>1189</v>
      </c>
      <c r="Z28" s="3" t="s">
        <v>789</v>
      </c>
      <c r="AA28" s="3" t="s">
        <v>763</v>
      </c>
      <c r="AB28" s="7" t="s">
        <v>763</v>
      </c>
      <c r="AC28" s="8" t="s">
        <v>1186</v>
      </c>
      <c r="AD28" s="7" t="s">
        <v>763</v>
      </c>
      <c r="AE28" t="s">
        <v>763</v>
      </c>
      <c r="AF28" t="s">
        <v>763</v>
      </c>
    </row>
    <row r="29" spans="1:32" x14ac:dyDescent="0.35">
      <c r="A29" s="3">
        <v>29</v>
      </c>
      <c r="B29" t="s">
        <v>210</v>
      </c>
      <c r="C29" t="s">
        <v>212</v>
      </c>
      <c r="D29" s="3" t="s">
        <v>751</v>
      </c>
      <c r="E29" s="3">
        <v>2024</v>
      </c>
      <c r="F29" s="3" t="s">
        <v>1900</v>
      </c>
      <c r="G29" s="3" t="s">
        <v>753</v>
      </c>
      <c r="H29" s="3" t="s">
        <v>754</v>
      </c>
      <c r="I29" s="3">
        <v>11.266667</v>
      </c>
      <c r="J29" s="3">
        <v>36.833333000000003</v>
      </c>
      <c r="K29" t="s">
        <v>1193</v>
      </c>
      <c r="L29" s="3" t="s">
        <v>1102</v>
      </c>
      <c r="M29" s="3" t="s">
        <v>1019</v>
      </c>
      <c r="N29" s="3" t="s">
        <v>1929</v>
      </c>
      <c r="O29" s="3" t="s">
        <v>1962</v>
      </c>
      <c r="P29" s="3" t="s">
        <v>1016</v>
      </c>
      <c r="Q29" s="15"/>
      <c r="R29" s="3" t="s">
        <v>833</v>
      </c>
      <c r="S29" s="3" t="s">
        <v>787</v>
      </c>
      <c r="T29" t="s">
        <v>1986</v>
      </c>
      <c r="U29" s="3" t="s">
        <v>764</v>
      </c>
      <c r="V29" s="3" t="s">
        <v>2026</v>
      </c>
      <c r="W29" s="3" t="s">
        <v>766</v>
      </c>
      <c r="X29" s="3" t="s">
        <v>787</v>
      </c>
      <c r="Y29" s="3" t="s">
        <v>763</v>
      </c>
      <c r="Z29" s="3" t="s">
        <v>768</v>
      </c>
      <c r="AA29" s="7" t="s">
        <v>1196</v>
      </c>
      <c r="AB29" s="7" t="s">
        <v>763</v>
      </c>
      <c r="AC29" s="8" t="s">
        <v>1194</v>
      </c>
      <c r="AD29" s="7" t="s">
        <v>763</v>
      </c>
      <c r="AE29" s="7" t="s">
        <v>2013</v>
      </c>
      <c r="AF29" s="7" t="s">
        <v>763</v>
      </c>
    </row>
    <row r="30" spans="1:32" x14ac:dyDescent="0.35">
      <c r="A30" s="3">
        <v>30</v>
      </c>
      <c r="B30" t="s">
        <v>235</v>
      </c>
      <c r="C30" t="s">
        <v>237</v>
      </c>
      <c r="D30" s="3" t="s">
        <v>751</v>
      </c>
      <c r="E30" s="3">
        <v>2021</v>
      </c>
      <c r="F30" s="27">
        <v>42401</v>
      </c>
      <c r="G30" s="3" t="s">
        <v>753</v>
      </c>
      <c r="H30" s="3" t="s">
        <v>754</v>
      </c>
      <c r="I30" s="3">
        <v>10.775556</v>
      </c>
      <c r="J30" s="3">
        <v>106.701944</v>
      </c>
      <c r="K30" t="s">
        <v>1204</v>
      </c>
      <c r="L30" s="3" t="s">
        <v>1202</v>
      </c>
      <c r="M30" t="s">
        <v>1208</v>
      </c>
      <c r="N30" s="15"/>
      <c r="O30" s="15"/>
      <c r="P30" s="3" t="s">
        <v>1016</v>
      </c>
      <c r="Q30" t="s">
        <v>1113</v>
      </c>
      <c r="R30" s="3" t="s">
        <v>1560</v>
      </c>
      <c r="S30" s="3" t="s">
        <v>787</v>
      </c>
      <c r="T30" t="s">
        <v>1211</v>
      </c>
      <c r="U30" s="3" t="s">
        <v>1205</v>
      </c>
      <c r="V30" t="s">
        <v>1744</v>
      </c>
      <c r="W30" s="3" t="s">
        <v>1188</v>
      </c>
      <c r="X30" s="3" t="s">
        <v>787</v>
      </c>
      <c r="Y30" s="3" t="s">
        <v>1209</v>
      </c>
      <c r="Z30" s="3" t="s">
        <v>789</v>
      </c>
      <c r="AA30" s="7" t="s">
        <v>763</v>
      </c>
      <c r="AB30" s="7" t="s">
        <v>763</v>
      </c>
      <c r="AC30" s="8" t="s">
        <v>1212</v>
      </c>
      <c r="AD30" s="7" t="s">
        <v>763</v>
      </c>
      <c r="AE30" s="7" t="s">
        <v>763</v>
      </c>
      <c r="AF30" s="7" t="s">
        <v>763</v>
      </c>
    </row>
    <row r="31" spans="1:32" x14ac:dyDescent="0.35">
      <c r="A31" s="3">
        <v>31</v>
      </c>
      <c r="B31" t="s">
        <v>254</v>
      </c>
      <c r="C31" t="s">
        <v>256</v>
      </c>
      <c r="D31" s="3" t="s">
        <v>751</v>
      </c>
      <c r="E31" s="3">
        <v>2017</v>
      </c>
      <c r="F31" s="3">
        <v>2007</v>
      </c>
      <c r="G31" s="3" t="s">
        <v>753</v>
      </c>
      <c r="H31" s="3" t="s">
        <v>754</v>
      </c>
      <c r="I31" s="3">
        <v>6.2319440000000004</v>
      </c>
      <c r="J31" s="3">
        <v>-75.568055999999999</v>
      </c>
      <c r="K31" t="s">
        <v>1214</v>
      </c>
      <c r="L31" s="3" t="s">
        <v>1213</v>
      </c>
      <c r="M31" s="3" t="s">
        <v>1019</v>
      </c>
      <c r="N31" t="s">
        <v>1930</v>
      </c>
      <c r="O31" t="s">
        <v>1966</v>
      </c>
      <c r="P31" s="3" t="s">
        <v>763</v>
      </c>
      <c r="Q31" s="15"/>
      <c r="R31" t="s">
        <v>786</v>
      </c>
      <c r="S31" s="3" t="s">
        <v>787</v>
      </c>
      <c r="T31" t="s">
        <v>834</v>
      </c>
      <c r="U31" s="8" t="s">
        <v>1222</v>
      </c>
      <c r="V31" s="29" t="s">
        <v>2032</v>
      </c>
      <c r="W31" s="3" t="s">
        <v>766</v>
      </c>
      <c r="X31" s="3" t="s">
        <v>787</v>
      </c>
      <c r="Y31" t="s">
        <v>1221</v>
      </c>
      <c r="Z31" s="3" t="s">
        <v>768</v>
      </c>
      <c r="AA31" s="7" t="s">
        <v>1220</v>
      </c>
      <c r="AB31" s="7" t="s">
        <v>763</v>
      </c>
      <c r="AC31" t="s">
        <v>1216</v>
      </c>
      <c r="AD31" s="7" t="s">
        <v>763</v>
      </c>
      <c r="AE31" s="7" t="s">
        <v>2014</v>
      </c>
      <c r="AF31" t="s">
        <v>2048</v>
      </c>
    </row>
    <row r="32" spans="1:32" x14ac:dyDescent="0.35">
      <c r="A32" s="3">
        <v>32</v>
      </c>
      <c r="B32" t="s">
        <v>259</v>
      </c>
      <c r="C32" t="s">
        <v>261</v>
      </c>
      <c r="D32" s="3" t="s">
        <v>751</v>
      </c>
      <c r="E32" s="3">
        <v>2021</v>
      </c>
      <c r="F32" s="3" t="s">
        <v>1264</v>
      </c>
      <c r="G32" s="3" t="s">
        <v>795</v>
      </c>
      <c r="H32" s="3" t="s">
        <v>754</v>
      </c>
      <c r="I32" s="3">
        <v>22.574999999999999</v>
      </c>
      <c r="J32" s="3">
        <v>90.775000000000006</v>
      </c>
      <c r="K32" s="19" t="s">
        <v>1770</v>
      </c>
      <c r="L32" s="3" t="s">
        <v>985</v>
      </c>
      <c r="M32" t="s">
        <v>1360</v>
      </c>
      <c r="N32" t="s">
        <v>1931</v>
      </c>
      <c r="O32" t="s">
        <v>1967</v>
      </c>
      <c r="P32" s="3" t="s">
        <v>763</v>
      </c>
      <c r="Q32" t="s">
        <v>1113</v>
      </c>
      <c r="R32" t="s">
        <v>1234</v>
      </c>
      <c r="S32" s="3" t="s">
        <v>787</v>
      </c>
      <c r="T32" s="3" t="s">
        <v>1235</v>
      </c>
      <c r="U32" s="8" t="s">
        <v>1995</v>
      </c>
      <c r="V32" t="s">
        <v>1744</v>
      </c>
      <c r="W32" s="3" t="s">
        <v>1188</v>
      </c>
      <c r="X32" s="3" t="s">
        <v>787</v>
      </c>
      <c r="Y32" s="3" t="s">
        <v>763</v>
      </c>
      <c r="Z32" s="3" t="s">
        <v>768</v>
      </c>
      <c r="AA32" t="s">
        <v>1233</v>
      </c>
      <c r="AB32" s="7" t="s">
        <v>763</v>
      </c>
      <c r="AC32" s="7" t="s">
        <v>1237</v>
      </c>
      <c r="AD32" s="7" t="s">
        <v>763</v>
      </c>
      <c r="AE32" s="7" t="s">
        <v>763</v>
      </c>
      <c r="AF32" t="s">
        <v>763</v>
      </c>
    </row>
    <row r="33" spans="1:32" x14ac:dyDescent="0.35">
      <c r="A33" s="3">
        <v>33</v>
      </c>
      <c r="B33" t="s">
        <v>263</v>
      </c>
      <c r="C33" t="s">
        <v>265</v>
      </c>
      <c r="D33" s="3" t="s">
        <v>751</v>
      </c>
      <c r="E33" s="3">
        <v>2009</v>
      </c>
      <c r="F33" s="3" t="s">
        <v>1901</v>
      </c>
      <c r="G33" s="3" t="s">
        <v>753</v>
      </c>
      <c r="H33" s="3" t="s">
        <v>754</v>
      </c>
      <c r="I33" s="3">
        <v>23.155556000000001</v>
      </c>
      <c r="J33" s="3">
        <v>77.366944000000004</v>
      </c>
      <c r="K33" t="s">
        <v>1012</v>
      </c>
      <c r="L33" s="3" t="s">
        <v>756</v>
      </c>
      <c r="M33" t="s">
        <v>1912</v>
      </c>
      <c r="N33" s="15"/>
      <c r="O33" s="15"/>
      <c r="P33" s="3" t="s">
        <v>948</v>
      </c>
      <c r="Q33" s="15"/>
      <c r="R33" s="3" t="s">
        <v>833</v>
      </c>
      <c r="S33" s="3" t="s">
        <v>787</v>
      </c>
      <c r="T33" s="3" t="s">
        <v>1238</v>
      </c>
      <c r="U33" s="7" t="s">
        <v>764</v>
      </c>
      <c r="V33" s="8" t="s">
        <v>2026</v>
      </c>
      <c r="W33" s="3" t="s">
        <v>1241</v>
      </c>
      <c r="X33" s="3" t="s">
        <v>787</v>
      </c>
      <c r="Y33" s="3" t="s">
        <v>763</v>
      </c>
      <c r="Z33" s="3" t="s">
        <v>789</v>
      </c>
      <c r="AA33" t="s">
        <v>1244</v>
      </c>
      <c r="AB33" s="7" t="s">
        <v>763</v>
      </c>
      <c r="AC33" t="s">
        <v>1245</v>
      </c>
      <c r="AD33" s="7" t="s">
        <v>763</v>
      </c>
      <c r="AE33" s="8" t="s">
        <v>1248</v>
      </c>
      <c r="AF33" t="s">
        <v>2049</v>
      </c>
    </row>
    <row r="34" spans="1:32" x14ac:dyDescent="0.35">
      <c r="A34" s="3">
        <v>34</v>
      </c>
      <c r="B34" t="s">
        <v>268</v>
      </c>
      <c r="C34" t="s">
        <v>270</v>
      </c>
      <c r="D34" s="3" t="s">
        <v>751</v>
      </c>
      <c r="E34" s="3">
        <v>2024</v>
      </c>
      <c r="F34" s="3" t="s">
        <v>763</v>
      </c>
      <c r="G34" s="3" t="s">
        <v>753</v>
      </c>
      <c r="H34" s="3" t="s">
        <v>754</v>
      </c>
      <c r="I34" s="3">
        <v>16.478860999999998</v>
      </c>
      <c r="J34" s="3">
        <v>120.586167</v>
      </c>
      <c r="K34" t="s">
        <v>1250</v>
      </c>
      <c r="L34" s="3" t="s">
        <v>1112</v>
      </c>
      <c r="M34" t="s">
        <v>1913</v>
      </c>
      <c r="N34" s="15"/>
      <c r="O34" s="15"/>
      <c r="P34" s="3" t="s">
        <v>763</v>
      </c>
      <c r="Q34" s="15"/>
      <c r="R34" s="3" t="s">
        <v>833</v>
      </c>
      <c r="S34" s="3" t="s">
        <v>787</v>
      </c>
      <c r="T34" s="3" t="s">
        <v>1238</v>
      </c>
      <c r="U34" s="7" t="s">
        <v>1996</v>
      </c>
      <c r="V34" t="s">
        <v>2031</v>
      </c>
      <c r="W34" s="3" t="s">
        <v>766</v>
      </c>
      <c r="X34" s="3" t="s">
        <v>787</v>
      </c>
      <c r="Y34" s="3" t="s">
        <v>763</v>
      </c>
      <c r="Z34" s="3" t="s">
        <v>768</v>
      </c>
      <c r="AA34" t="s">
        <v>1249</v>
      </c>
      <c r="AB34" s="3" t="s">
        <v>763</v>
      </c>
      <c r="AC34" t="s">
        <v>1252</v>
      </c>
      <c r="AD34" t="s">
        <v>1251</v>
      </c>
      <c r="AE34" t="s">
        <v>2015</v>
      </c>
      <c r="AF34" t="s">
        <v>763</v>
      </c>
    </row>
    <row r="35" spans="1:32" x14ac:dyDescent="0.35">
      <c r="A35" s="3">
        <v>35</v>
      </c>
      <c r="B35" t="s">
        <v>273</v>
      </c>
      <c r="C35" t="s">
        <v>275</v>
      </c>
      <c r="D35" s="3" t="s">
        <v>751</v>
      </c>
      <c r="E35" s="3">
        <v>2023</v>
      </c>
      <c r="F35" s="3">
        <v>2017</v>
      </c>
      <c r="G35" s="3" t="s">
        <v>753</v>
      </c>
      <c r="H35" s="3" t="s">
        <v>754</v>
      </c>
      <c r="I35" s="3">
        <v>23.2</v>
      </c>
      <c r="J35" s="3">
        <v>83.033332999999999</v>
      </c>
      <c r="K35" t="s">
        <v>1258</v>
      </c>
      <c r="L35" s="3" t="s">
        <v>756</v>
      </c>
      <c r="M35" s="3" t="s">
        <v>1019</v>
      </c>
      <c r="N35" t="s">
        <v>1261</v>
      </c>
      <c r="O35" t="s">
        <v>1968</v>
      </c>
      <c r="P35" s="3" t="s">
        <v>763</v>
      </c>
      <c r="Q35" s="15"/>
      <c r="R35" t="s">
        <v>786</v>
      </c>
      <c r="S35" s="3" t="s">
        <v>787</v>
      </c>
      <c r="T35" s="3" t="s">
        <v>834</v>
      </c>
      <c r="U35" s="7" t="s">
        <v>764</v>
      </c>
      <c r="V35" s="7" t="s">
        <v>2031</v>
      </c>
      <c r="W35" s="3" t="s">
        <v>766</v>
      </c>
      <c r="X35" s="3" t="s">
        <v>787</v>
      </c>
      <c r="Y35" s="3" t="s">
        <v>763</v>
      </c>
      <c r="Z35" s="3" t="s">
        <v>789</v>
      </c>
      <c r="AA35" t="s">
        <v>2050</v>
      </c>
      <c r="AB35" s="3" t="s">
        <v>1266</v>
      </c>
      <c r="AC35" t="s">
        <v>1269</v>
      </c>
      <c r="AD35" t="s">
        <v>763</v>
      </c>
      <c r="AE35" s="8" t="s">
        <v>1265</v>
      </c>
      <c r="AF35" s="8" t="s">
        <v>1270</v>
      </c>
    </row>
    <row r="36" spans="1:32" x14ac:dyDescent="0.35">
      <c r="A36" s="3">
        <v>36</v>
      </c>
      <c r="B36" t="s">
        <v>283</v>
      </c>
      <c r="C36" t="s">
        <v>1158</v>
      </c>
      <c r="D36" s="3" t="s">
        <v>751</v>
      </c>
      <c r="E36" s="3">
        <v>2017</v>
      </c>
      <c r="F36" s="3" t="s">
        <v>763</v>
      </c>
      <c r="G36" s="3" t="s">
        <v>753</v>
      </c>
      <c r="H36" s="3" t="s">
        <v>754</v>
      </c>
      <c r="I36" s="3">
        <v>8.75</v>
      </c>
      <c r="J36" s="3">
        <v>38.65</v>
      </c>
      <c r="K36" t="s">
        <v>1104</v>
      </c>
      <c r="L36" s="3" t="s">
        <v>1102</v>
      </c>
      <c r="M36" s="3" t="s">
        <v>1913</v>
      </c>
      <c r="N36" s="15"/>
      <c r="O36" s="15"/>
      <c r="P36" s="3" t="s">
        <v>763</v>
      </c>
      <c r="Q36" s="15"/>
      <c r="R36" s="3" t="s">
        <v>833</v>
      </c>
      <c r="S36" s="3" t="s">
        <v>787</v>
      </c>
      <c r="T36" s="3" t="s">
        <v>1238</v>
      </c>
      <c r="U36" s="7" t="s">
        <v>764</v>
      </c>
      <c r="V36" s="7" t="s">
        <v>2031</v>
      </c>
      <c r="W36" s="3" t="s">
        <v>766</v>
      </c>
      <c r="X36" s="3" t="s">
        <v>787</v>
      </c>
      <c r="Y36" s="3" t="s">
        <v>763</v>
      </c>
      <c r="Z36" s="3" t="s">
        <v>768</v>
      </c>
      <c r="AA36" t="s">
        <v>1273</v>
      </c>
      <c r="AB36" s="3" t="s">
        <v>1271</v>
      </c>
      <c r="AC36" t="s">
        <v>1272</v>
      </c>
      <c r="AD36" t="s">
        <v>763</v>
      </c>
      <c r="AE36" s="8" t="s">
        <v>1274</v>
      </c>
      <c r="AF36" t="s">
        <v>2051</v>
      </c>
    </row>
    <row r="37" spans="1:32" x14ac:dyDescent="0.35">
      <c r="A37" s="3">
        <v>43</v>
      </c>
      <c r="B37" t="s">
        <v>292</v>
      </c>
      <c r="C37" t="s">
        <v>294</v>
      </c>
      <c r="D37" s="3" t="s">
        <v>751</v>
      </c>
      <c r="E37" s="3">
        <v>2023</v>
      </c>
      <c r="F37" s="3" t="s">
        <v>1282</v>
      </c>
      <c r="G37" s="3" t="s">
        <v>795</v>
      </c>
      <c r="H37" s="3" t="s">
        <v>754</v>
      </c>
      <c r="I37" s="3">
        <v>6.6678009999999999</v>
      </c>
      <c r="J37" s="3">
        <v>2.1480250000000001</v>
      </c>
      <c r="K37" t="s">
        <v>1788</v>
      </c>
      <c r="L37" s="3" t="s">
        <v>1280</v>
      </c>
      <c r="M37" t="s">
        <v>1208</v>
      </c>
      <c r="N37" s="15"/>
      <c r="O37" s="15"/>
      <c r="P37" s="3" t="s">
        <v>763</v>
      </c>
      <c r="Q37" s="3" t="s">
        <v>1883</v>
      </c>
      <c r="R37" t="s">
        <v>1285</v>
      </c>
      <c r="S37" s="3" t="s">
        <v>787</v>
      </c>
      <c r="T37" s="3" t="s">
        <v>1284</v>
      </c>
      <c r="U37" s="7" t="s">
        <v>1281</v>
      </c>
      <c r="V37" t="s">
        <v>1744</v>
      </c>
      <c r="W37" s="7" t="s">
        <v>1188</v>
      </c>
      <c r="X37" s="3" t="s">
        <v>787</v>
      </c>
      <c r="Y37" s="3" t="s">
        <v>763</v>
      </c>
      <c r="Z37" s="3" t="s">
        <v>768</v>
      </c>
      <c r="AA37" s="8" t="s">
        <v>1283</v>
      </c>
      <c r="AB37" s="7" t="s">
        <v>1792</v>
      </c>
      <c r="AC37" s="8" t="s">
        <v>1286</v>
      </c>
      <c r="AD37" t="s">
        <v>763</v>
      </c>
      <c r="AE37" s="8" t="s">
        <v>2016</v>
      </c>
      <c r="AF37" t="s">
        <v>763</v>
      </c>
    </row>
    <row r="38" spans="1:32" x14ac:dyDescent="0.35">
      <c r="A38" s="3">
        <v>38</v>
      </c>
      <c r="B38" t="s">
        <v>330</v>
      </c>
      <c r="C38" t="s">
        <v>332</v>
      </c>
      <c r="D38" s="3" t="s">
        <v>751</v>
      </c>
      <c r="E38" s="3">
        <v>2016</v>
      </c>
      <c r="F38" s="3">
        <v>2013</v>
      </c>
      <c r="G38" s="3" t="s">
        <v>753</v>
      </c>
      <c r="H38" s="3" t="s">
        <v>754</v>
      </c>
      <c r="I38" s="3">
        <v>19.283332999999999</v>
      </c>
      <c r="J38" s="3">
        <v>-99.183333000000005</v>
      </c>
      <c r="K38" t="s">
        <v>1292</v>
      </c>
      <c r="L38" s="3" t="s">
        <v>1213</v>
      </c>
      <c r="M38" s="15"/>
      <c r="N38" t="s">
        <v>1932</v>
      </c>
      <c r="O38" t="s">
        <v>1969</v>
      </c>
      <c r="P38" s="3" t="s">
        <v>763</v>
      </c>
      <c r="Q38" s="15"/>
      <c r="R38" s="3" t="s">
        <v>833</v>
      </c>
      <c r="S38" s="3" t="s">
        <v>787</v>
      </c>
      <c r="T38" s="3" t="s">
        <v>1284</v>
      </c>
      <c r="U38" s="7" t="s">
        <v>764</v>
      </c>
      <c r="V38" s="7" t="s">
        <v>2031</v>
      </c>
      <c r="W38" s="7" t="s">
        <v>766</v>
      </c>
      <c r="X38" s="3" t="s">
        <v>787</v>
      </c>
      <c r="Y38" s="3" t="s">
        <v>763</v>
      </c>
      <c r="Z38" s="3" t="s">
        <v>789</v>
      </c>
      <c r="AA38" s="7" t="s">
        <v>1296</v>
      </c>
      <c r="AB38" s="7" t="s">
        <v>1289</v>
      </c>
      <c r="AC38" s="8" t="s">
        <v>1297</v>
      </c>
      <c r="AD38" s="8" t="s">
        <v>1295</v>
      </c>
      <c r="AE38" s="8" t="s">
        <v>2017</v>
      </c>
      <c r="AF38" t="s">
        <v>2052</v>
      </c>
    </row>
    <row r="39" spans="1:32" ht="15.5" x14ac:dyDescent="0.35">
      <c r="A39" s="3">
        <v>39</v>
      </c>
      <c r="B39" t="s">
        <v>335</v>
      </c>
      <c r="C39" t="s">
        <v>337</v>
      </c>
      <c r="D39" s="3" t="s">
        <v>751</v>
      </c>
      <c r="E39" s="3">
        <v>2022</v>
      </c>
      <c r="F39" s="3" t="s">
        <v>1304</v>
      </c>
      <c r="G39" s="3" t="s">
        <v>795</v>
      </c>
      <c r="H39" s="3" t="s">
        <v>754</v>
      </c>
      <c r="I39" s="3">
        <v>18.159199999999998</v>
      </c>
      <c r="J39" s="3">
        <v>42.397908000000001</v>
      </c>
      <c r="K39" t="s">
        <v>1301</v>
      </c>
      <c r="L39" s="3" t="s">
        <v>1300</v>
      </c>
      <c r="M39" s="15"/>
      <c r="N39" t="s">
        <v>1933</v>
      </c>
      <c r="O39" t="s">
        <v>1970</v>
      </c>
      <c r="P39" s="3" t="s">
        <v>763</v>
      </c>
      <c r="Q39" t="s">
        <v>1306</v>
      </c>
      <c r="R39" t="s">
        <v>1889</v>
      </c>
      <c r="S39" s="3" t="s">
        <v>787</v>
      </c>
      <c r="T39" s="3" t="s">
        <v>1310</v>
      </c>
      <c r="U39" s="8" t="s">
        <v>1997</v>
      </c>
      <c r="V39" t="s">
        <v>1744</v>
      </c>
      <c r="W39" s="7" t="s">
        <v>1188</v>
      </c>
      <c r="X39" s="3" t="s">
        <v>787</v>
      </c>
      <c r="Y39" s="3" t="s">
        <v>763</v>
      </c>
      <c r="Z39" s="3" t="s">
        <v>768</v>
      </c>
      <c r="AA39" s="9" t="s">
        <v>1311</v>
      </c>
      <c r="AB39" s="7" t="s">
        <v>763</v>
      </c>
      <c r="AC39" t="s">
        <v>1305</v>
      </c>
      <c r="AD39" s="8" t="s">
        <v>763</v>
      </c>
      <c r="AE39" t="s">
        <v>1307</v>
      </c>
      <c r="AF39" s="8" t="s">
        <v>1308</v>
      </c>
    </row>
    <row r="40" spans="1:32" x14ac:dyDescent="0.35">
      <c r="A40" s="3">
        <v>40</v>
      </c>
      <c r="B40" s="8" t="s">
        <v>360</v>
      </c>
      <c r="C40" s="8" t="s">
        <v>362</v>
      </c>
      <c r="D40" s="7" t="s">
        <v>751</v>
      </c>
      <c r="E40" s="7">
        <v>2018</v>
      </c>
      <c r="F40" s="7" t="s">
        <v>1312</v>
      </c>
      <c r="G40" s="7" t="s">
        <v>795</v>
      </c>
      <c r="H40" s="7" t="s">
        <v>776</v>
      </c>
      <c r="I40" s="3">
        <v>4.5980559999999997</v>
      </c>
      <c r="J40" s="3">
        <v>-74.075833000000003</v>
      </c>
      <c r="K40" s="8" t="s">
        <v>1292</v>
      </c>
      <c r="L40" s="7" t="s">
        <v>1213</v>
      </c>
      <c r="M40" s="8" t="s">
        <v>1914</v>
      </c>
      <c r="N40" s="8" t="s">
        <v>1916</v>
      </c>
      <c r="O40" s="8" t="s">
        <v>1971</v>
      </c>
      <c r="P40" s="7" t="s">
        <v>763</v>
      </c>
      <c r="Q40" s="8" t="s">
        <v>1884</v>
      </c>
      <c r="R40" s="3" t="s">
        <v>1560</v>
      </c>
      <c r="S40" s="7" t="s">
        <v>787</v>
      </c>
      <c r="T40" s="8" t="s">
        <v>1320</v>
      </c>
      <c r="U40" s="8" t="s">
        <v>1995</v>
      </c>
      <c r="V40" t="s">
        <v>1744</v>
      </c>
      <c r="W40" s="7" t="s">
        <v>1188</v>
      </c>
      <c r="X40" s="7" t="s">
        <v>787</v>
      </c>
      <c r="Y40" s="7" t="s">
        <v>763</v>
      </c>
      <c r="Z40" s="3" t="s">
        <v>768</v>
      </c>
      <c r="AA40" s="8" t="s">
        <v>1324</v>
      </c>
      <c r="AB40" s="7" t="s">
        <v>763</v>
      </c>
      <c r="AC40" s="8" t="s">
        <v>1323</v>
      </c>
      <c r="AD40" s="8" t="s">
        <v>763</v>
      </c>
      <c r="AE40" s="8" t="s">
        <v>763</v>
      </c>
      <c r="AF40" s="8" t="s">
        <v>1322</v>
      </c>
    </row>
    <row r="41" spans="1:32" x14ac:dyDescent="0.35">
      <c r="A41" s="3">
        <v>41</v>
      </c>
      <c r="B41" t="s">
        <v>364</v>
      </c>
      <c r="C41" t="s">
        <v>366</v>
      </c>
      <c r="D41" s="7" t="s">
        <v>751</v>
      </c>
      <c r="E41" s="7">
        <v>2021</v>
      </c>
      <c r="F41" s="3">
        <v>2018</v>
      </c>
      <c r="G41" s="7" t="s">
        <v>753</v>
      </c>
      <c r="H41" s="7" t="s">
        <v>754</v>
      </c>
      <c r="I41" s="3">
        <v>5.55</v>
      </c>
      <c r="J41" s="3">
        <v>-0.2</v>
      </c>
      <c r="K41" s="8" t="s">
        <v>1326</v>
      </c>
      <c r="L41" s="7" t="s">
        <v>1325</v>
      </c>
      <c r="M41" s="7" t="s">
        <v>1329</v>
      </c>
      <c r="N41" s="7" t="s">
        <v>1934</v>
      </c>
      <c r="O41" s="7" t="s">
        <v>1972</v>
      </c>
      <c r="P41" s="7" t="s">
        <v>763</v>
      </c>
      <c r="Q41" s="15"/>
      <c r="R41" s="8" t="s">
        <v>786</v>
      </c>
      <c r="S41" s="7" t="s">
        <v>787</v>
      </c>
      <c r="T41" s="7" t="s">
        <v>1031</v>
      </c>
      <c r="U41" s="8" t="s">
        <v>1998</v>
      </c>
      <c r="V41" s="7" t="s">
        <v>1032</v>
      </c>
      <c r="W41" s="7" t="s">
        <v>766</v>
      </c>
      <c r="X41" s="7" t="s">
        <v>787</v>
      </c>
      <c r="Y41" s="7" t="s">
        <v>1334</v>
      </c>
      <c r="Z41" s="7" t="s">
        <v>789</v>
      </c>
      <c r="AA41" s="7" t="s">
        <v>1335</v>
      </c>
      <c r="AB41" s="7" t="s">
        <v>763</v>
      </c>
      <c r="AC41" s="8" t="s">
        <v>1333</v>
      </c>
      <c r="AD41" s="8" t="s">
        <v>763</v>
      </c>
      <c r="AE41" s="8" t="s">
        <v>763</v>
      </c>
      <c r="AF41" s="8" t="s">
        <v>763</v>
      </c>
    </row>
    <row r="42" spans="1:32" x14ac:dyDescent="0.35">
      <c r="A42" s="3">
        <v>42</v>
      </c>
      <c r="B42" t="s">
        <v>374</v>
      </c>
      <c r="C42" t="s">
        <v>376</v>
      </c>
      <c r="D42" s="7" t="s">
        <v>751</v>
      </c>
      <c r="E42" s="7">
        <v>2010</v>
      </c>
      <c r="F42" s="3">
        <v>2009</v>
      </c>
      <c r="G42" s="7" t="s">
        <v>753</v>
      </c>
      <c r="H42" s="7" t="s">
        <v>776</v>
      </c>
      <c r="I42" s="3">
        <v>-23.15</v>
      </c>
      <c r="J42" s="3">
        <v>-46.333333000000003</v>
      </c>
      <c r="K42" s="8" t="s">
        <v>1349</v>
      </c>
      <c r="L42" s="7" t="s">
        <v>846</v>
      </c>
      <c r="M42" s="15"/>
      <c r="N42" s="15"/>
      <c r="O42" s="15"/>
      <c r="P42" s="3" t="s">
        <v>763</v>
      </c>
      <c r="Q42" t="s">
        <v>850</v>
      </c>
      <c r="R42" s="3" t="s">
        <v>833</v>
      </c>
      <c r="S42" s="3" t="s">
        <v>787</v>
      </c>
      <c r="T42" s="7" t="s">
        <v>1238</v>
      </c>
      <c r="U42" s="7" t="s">
        <v>764</v>
      </c>
      <c r="V42" t="s">
        <v>2031</v>
      </c>
      <c r="W42" s="7" t="s">
        <v>766</v>
      </c>
      <c r="X42" s="7" t="s">
        <v>787</v>
      </c>
      <c r="Y42" s="7" t="s">
        <v>763</v>
      </c>
      <c r="Z42" s="3" t="s">
        <v>768</v>
      </c>
      <c r="AA42" s="8" t="s">
        <v>1355</v>
      </c>
      <c r="AB42" s="7" t="s">
        <v>1350</v>
      </c>
      <c r="AC42" t="s">
        <v>1348</v>
      </c>
      <c r="AD42" s="8" t="s">
        <v>1351</v>
      </c>
      <c r="AE42" s="8" t="s">
        <v>763</v>
      </c>
      <c r="AF42" s="8" t="s">
        <v>1356</v>
      </c>
    </row>
    <row r="43" spans="1:32" x14ac:dyDescent="0.35">
      <c r="A43" s="3">
        <v>43</v>
      </c>
      <c r="B43" s="8" t="s">
        <v>394</v>
      </c>
      <c r="C43" s="8" t="s">
        <v>396</v>
      </c>
      <c r="D43" s="7" t="s">
        <v>751</v>
      </c>
      <c r="E43" s="7">
        <v>2019</v>
      </c>
      <c r="F43" s="7" t="s">
        <v>1357</v>
      </c>
      <c r="G43" s="7" t="s">
        <v>753</v>
      </c>
      <c r="H43" s="7" t="s">
        <v>754</v>
      </c>
      <c r="I43" s="3">
        <v>23.2</v>
      </c>
      <c r="J43" s="3">
        <v>83.033332999999999</v>
      </c>
      <c r="K43" s="8" t="s">
        <v>1358</v>
      </c>
      <c r="L43" s="7" t="s">
        <v>756</v>
      </c>
      <c r="M43" s="7" t="s">
        <v>1360</v>
      </c>
      <c r="N43" s="7" t="s">
        <v>1935</v>
      </c>
      <c r="O43" s="7" t="s">
        <v>1973</v>
      </c>
      <c r="P43" s="7" t="s">
        <v>1363</v>
      </c>
      <c r="Q43" s="16"/>
      <c r="R43" s="8" t="s">
        <v>786</v>
      </c>
      <c r="S43" s="7" t="s">
        <v>787</v>
      </c>
      <c r="T43" s="7" t="s">
        <v>834</v>
      </c>
      <c r="U43" s="7" t="s">
        <v>925</v>
      </c>
      <c r="V43" s="8" t="s">
        <v>2033</v>
      </c>
      <c r="W43" s="7" t="s">
        <v>1359</v>
      </c>
      <c r="X43" s="7" t="s">
        <v>787</v>
      </c>
      <c r="Y43" s="7" t="s">
        <v>763</v>
      </c>
      <c r="Z43" s="7" t="s">
        <v>768</v>
      </c>
      <c r="AA43" s="8" t="s">
        <v>1367</v>
      </c>
      <c r="AB43" s="7" t="s">
        <v>1368</v>
      </c>
      <c r="AC43" s="8" t="s">
        <v>1365</v>
      </c>
      <c r="AD43" s="8" t="s">
        <v>763</v>
      </c>
      <c r="AE43" s="8" t="s">
        <v>1366</v>
      </c>
      <c r="AF43" s="8" t="s">
        <v>1369</v>
      </c>
    </row>
    <row r="44" spans="1:32" x14ac:dyDescent="0.35">
      <c r="A44" s="3">
        <v>44</v>
      </c>
      <c r="B44" s="8" t="s">
        <v>399</v>
      </c>
      <c r="C44" s="8" t="s">
        <v>401</v>
      </c>
      <c r="D44" s="7" t="s">
        <v>751</v>
      </c>
      <c r="E44" s="7">
        <v>2023</v>
      </c>
      <c r="F44" s="7" t="s">
        <v>1902</v>
      </c>
      <c r="G44" s="7" t="s">
        <v>753</v>
      </c>
      <c r="H44" s="7" t="s">
        <v>754</v>
      </c>
      <c r="I44" s="3">
        <v>11.183332999999999</v>
      </c>
      <c r="J44" s="3">
        <v>-4.2833329999999998</v>
      </c>
      <c r="K44" s="23" t="s">
        <v>1374</v>
      </c>
      <c r="L44" s="7" t="s">
        <v>1373</v>
      </c>
      <c r="M44" s="8" t="s">
        <v>1383</v>
      </c>
      <c r="N44" s="7" t="s">
        <v>1936</v>
      </c>
      <c r="O44" s="7" t="s">
        <v>1974</v>
      </c>
      <c r="P44" s="7" t="s">
        <v>881</v>
      </c>
      <c r="Q44" s="8" t="s">
        <v>1337</v>
      </c>
      <c r="R44" s="3" t="s">
        <v>833</v>
      </c>
      <c r="S44" s="7" t="s">
        <v>787</v>
      </c>
      <c r="T44" s="7" t="s">
        <v>865</v>
      </c>
      <c r="U44" s="7" t="s">
        <v>764</v>
      </c>
      <c r="V44" s="8" t="s">
        <v>2026</v>
      </c>
      <c r="W44" s="7" t="s">
        <v>766</v>
      </c>
      <c r="X44" s="7" t="s">
        <v>787</v>
      </c>
      <c r="Y44" s="7" t="s">
        <v>763</v>
      </c>
      <c r="Z44" s="7" t="s">
        <v>789</v>
      </c>
      <c r="AA44" s="8" t="s">
        <v>1378</v>
      </c>
      <c r="AB44" s="7" t="s">
        <v>1377</v>
      </c>
      <c r="AC44" s="8" t="s">
        <v>1379</v>
      </c>
      <c r="AD44" s="8" t="s">
        <v>763</v>
      </c>
      <c r="AE44" s="8" t="s">
        <v>1375</v>
      </c>
      <c r="AF44" s="8" t="s">
        <v>1376</v>
      </c>
    </row>
    <row r="45" spans="1:32" x14ac:dyDescent="0.35">
      <c r="A45" s="3">
        <v>45</v>
      </c>
      <c r="B45" t="s">
        <v>414</v>
      </c>
      <c r="C45" t="s">
        <v>416</v>
      </c>
      <c r="D45" s="7" t="s">
        <v>873</v>
      </c>
      <c r="E45" s="7">
        <v>2018</v>
      </c>
      <c r="F45" s="27">
        <v>41913</v>
      </c>
      <c r="G45" s="7" t="s">
        <v>753</v>
      </c>
      <c r="H45" s="7" t="s">
        <v>754</v>
      </c>
      <c r="I45" s="3">
        <v>7.0998609999999998</v>
      </c>
      <c r="J45" s="3">
        <v>-73.111500000000007</v>
      </c>
      <c r="K45" s="17" t="s">
        <v>1384</v>
      </c>
      <c r="L45" s="7" t="s">
        <v>1213</v>
      </c>
      <c r="M45" s="15"/>
      <c r="N45" s="15"/>
      <c r="O45" s="15"/>
      <c r="P45" s="7" t="s">
        <v>881</v>
      </c>
      <c r="Q45" s="15"/>
      <c r="R45" s="8" t="s">
        <v>786</v>
      </c>
      <c r="S45" s="7" t="s">
        <v>762</v>
      </c>
      <c r="T45" s="7" t="s">
        <v>1031</v>
      </c>
      <c r="U45" s="7" t="s">
        <v>1386</v>
      </c>
      <c r="V45" s="7" t="s">
        <v>2026</v>
      </c>
      <c r="W45" s="7" t="s">
        <v>766</v>
      </c>
      <c r="X45" s="7" t="s">
        <v>762</v>
      </c>
      <c r="Y45" s="7" t="s">
        <v>763</v>
      </c>
      <c r="Z45" s="7" t="s">
        <v>768</v>
      </c>
      <c r="AA45" s="7" t="s">
        <v>1392</v>
      </c>
      <c r="AB45" s="7" t="s">
        <v>1390</v>
      </c>
      <c r="AC45" s="8" t="s">
        <v>1389</v>
      </c>
      <c r="AD45" s="8" t="s">
        <v>763</v>
      </c>
      <c r="AE45" s="8" t="s">
        <v>1391</v>
      </c>
      <c r="AF45" t="s">
        <v>1388</v>
      </c>
    </row>
    <row r="46" spans="1:32" x14ac:dyDescent="0.35">
      <c r="A46" s="3">
        <v>46</v>
      </c>
      <c r="B46" t="s">
        <v>434</v>
      </c>
      <c r="C46" t="s">
        <v>436</v>
      </c>
      <c r="D46" s="7" t="s">
        <v>751</v>
      </c>
      <c r="E46" s="7">
        <v>2019</v>
      </c>
      <c r="F46" s="3" t="s">
        <v>1903</v>
      </c>
      <c r="G46" s="7" t="s">
        <v>753</v>
      </c>
      <c r="H46" s="7" t="s">
        <v>754</v>
      </c>
      <c r="I46" s="3">
        <v>22.033332999999999</v>
      </c>
      <c r="J46" s="3">
        <v>96.458736000000002</v>
      </c>
      <c r="K46" t="s">
        <v>1395</v>
      </c>
      <c r="L46" s="7" t="s">
        <v>1396</v>
      </c>
      <c r="M46" t="s">
        <v>1208</v>
      </c>
      <c r="N46" t="s">
        <v>1937</v>
      </c>
      <c r="O46" t="s">
        <v>1978</v>
      </c>
      <c r="P46" s="3" t="s">
        <v>1016</v>
      </c>
      <c r="Q46" t="s">
        <v>1403</v>
      </c>
      <c r="R46" s="8" t="s">
        <v>1983</v>
      </c>
      <c r="S46" s="7" t="s">
        <v>787</v>
      </c>
      <c r="T46" s="7" t="s">
        <v>1397</v>
      </c>
      <c r="U46" s="7" t="s">
        <v>764</v>
      </c>
      <c r="V46" s="7" t="s">
        <v>2026</v>
      </c>
      <c r="W46" s="7" t="s">
        <v>1399</v>
      </c>
      <c r="X46" s="7" t="s">
        <v>787</v>
      </c>
      <c r="Y46" s="7" t="s">
        <v>763</v>
      </c>
      <c r="Z46" s="7" t="s">
        <v>768</v>
      </c>
      <c r="AA46" s="8" t="s">
        <v>1410</v>
      </c>
      <c r="AB46" s="7" t="s">
        <v>1408</v>
      </c>
      <c r="AC46" s="8" t="s">
        <v>1411</v>
      </c>
      <c r="AD46" s="8" t="s">
        <v>763</v>
      </c>
      <c r="AE46" s="8" t="s">
        <v>2018</v>
      </c>
      <c r="AF46" s="8" t="s">
        <v>763</v>
      </c>
    </row>
    <row r="47" spans="1:32" x14ac:dyDescent="0.35">
      <c r="A47" s="3">
        <v>47</v>
      </c>
      <c r="B47" t="s">
        <v>457</v>
      </c>
      <c r="C47" t="s">
        <v>459</v>
      </c>
      <c r="D47" s="7" t="s">
        <v>751</v>
      </c>
      <c r="E47" s="7">
        <v>2021</v>
      </c>
      <c r="F47" s="7" t="s">
        <v>1414</v>
      </c>
      <c r="G47" s="7" t="s">
        <v>795</v>
      </c>
      <c r="H47" s="7" t="s">
        <v>754</v>
      </c>
      <c r="I47" s="3">
        <v>9.0875000000000004</v>
      </c>
      <c r="J47" s="3">
        <v>38.905833000000001</v>
      </c>
      <c r="K47" t="s">
        <v>1104</v>
      </c>
      <c r="L47" s="7" t="s">
        <v>1102</v>
      </c>
      <c r="M47" s="15"/>
      <c r="N47" t="s">
        <v>1261</v>
      </c>
      <c r="O47" t="s">
        <v>1979</v>
      </c>
      <c r="P47" s="3" t="s">
        <v>763</v>
      </c>
      <c r="Q47" s="15"/>
      <c r="R47" s="8" t="s">
        <v>1418</v>
      </c>
      <c r="S47" s="7" t="s">
        <v>787</v>
      </c>
      <c r="T47" s="7" t="s">
        <v>1397</v>
      </c>
      <c r="U47" s="7" t="s">
        <v>1999</v>
      </c>
      <c r="V47" t="s">
        <v>1744</v>
      </c>
      <c r="W47" s="7" t="s">
        <v>1417</v>
      </c>
      <c r="X47" s="7" t="s">
        <v>787</v>
      </c>
      <c r="Y47" s="7" t="s">
        <v>763</v>
      </c>
      <c r="Z47" s="7" t="s">
        <v>768</v>
      </c>
      <c r="AA47" s="8" t="s">
        <v>1419</v>
      </c>
      <c r="AB47" s="7" t="s">
        <v>763</v>
      </c>
      <c r="AC47" s="8" t="s">
        <v>1420</v>
      </c>
      <c r="AD47" s="8" t="s">
        <v>763</v>
      </c>
      <c r="AE47" s="8" t="s">
        <v>763</v>
      </c>
      <c r="AF47" s="8" t="s">
        <v>763</v>
      </c>
    </row>
    <row r="48" spans="1:32" x14ac:dyDescent="0.35">
      <c r="A48" s="3">
        <v>48</v>
      </c>
      <c r="B48" t="s">
        <v>466</v>
      </c>
      <c r="C48" t="s">
        <v>468</v>
      </c>
      <c r="D48" s="7" t="s">
        <v>751</v>
      </c>
      <c r="E48" s="7">
        <v>2016</v>
      </c>
      <c r="F48" s="3" t="s">
        <v>1904</v>
      </c>
      <c r="G48" s="7" t="s">
        <v>753</v>
      </c>
      <c r="H48" s="7" t="s">
        <v>776</v>
      </c>
      <c r="I48" s="3">
        <v>1.517139</v>
      </c>
      <c r="J48" s="3">
        <v>103.667556</v>
      </c>
      <c r="K48" s="21" t="s">
        <v>1778</v>
      </c>
      <c r="L48" s="7" t="s">
        <v>799</v>
      </c>
      <c r="M48" s="15"/>
      <c r="N48" s="15"/>
      <c r="O48" s="15"/>
      <c r="P48" s="7" t="s">
        <v>1843</v>
      </c>
      <c r="Q48" t="s">
        <v>1885</v>
      </c>
      <c r="R48" s="8" t="s">
        <v>1777</v>
      </c>
      <c r="S48" s="7" t="s">
        <v>787</v>
      </c>
      <c r="T48" s="7" t="s">
        <v>1397</v>
      </c>
      <c r="U48" s="7" t="s">
        <v>2000</v>
      </c>
      <c r="V48" s="8" t="s">
        <v>2027</v>
      </c>
      <c r="W48" s="7" t="s">
        <v>766</v>
      </c>
      <c r="X48" s="7" t="s">
        <v>787</v>
      </c>
      <c r="Y48" s="7" t="s">
        <v>763</v>
      </c>
      <c r="Z48" s="7" t="s">
        <v>789</v>
      </c>
      <c r="AA48" s="8" t="s">
        <v>1427</v>
      </c>
      <c r="AB48" s="7" t="s">
        <v>1426</v>
      </c>
      <c r="AC48" s="8" t="s">
        <v>1428</v>
      </c>
      <c r="AD48" s="8" t="s">
        <v>763</v>
      </c>
      <c r="AE48" s="8" t="s">
        <v>763</v>
      </c>
      <c r="AF48" s="8" t="s">
        <v>763</v>
      </c>
    </row>
    <row r="49" spans="1:32" x14ac:dyDescent="0.35">
      <c r="A49" s="3">
        <v>49</v>
      </c>
      <c r="B49" t="s">
        <v>476</v>
      </c>
      <c r="C49" t="s">
        <v>478</v>
      </c>
      <c r="D49" s="7" t="s">
        <v>751</v>
      </c>
      <c r="E49" s="7">
        <v>2023</v>
      </c>
      <c r="F49" s="3">
        <v>2021</v>
      </c>
      <c r="G49" s="7" t="s">
        <v>753</v>
      </c>
      <c r="H49" s="7" t="s">
        <v>754</v>
      </c>
      <c r="I49" s="3">
        <v>19.997499999999999</v>
      </c>
      <c r="J49" s="3">
        <v>73.789805999999999</v>
      </c>
      <c r="K49" s="7" t="s">
        <v>1431</v>
      </c>
      <c r="L49" s="7" t="s">
        <v>756</v>
      </c>
      <c r="M49" s="15"/>
      <c r="N49" s="15"/>
      <c r="O49" s="15"/>
      <c r="P49" s="3" t="s">
        <v>763</v>
      </c>
      <c r="Q49" s="15"/>
      <c r="R49" s="3" t="s">
        <v>1560</v>
      </c>
      <c r="S49" s="7" t="s">
        <v>787</v>
      </c>
      <c r="T49" s="7" t="s">
        <v>1031</v>
      </c>
      <c r="U49" s="7" t="s">
        <v>764</v>
      </c>
      <c r="V49" s="8" t="s">
        <v>2026</v>
      </c>
      <c r="W49" s="7" t="s">
        <v>766</v>
      </c>
      <c r="X49" s="7" t="s">
        <v>787</v>
      </c>
      <c r="Y49" s="7" t="s">
        <v>1439</v>
      </c>
      <c r="Z49" s="7" t="s">
        <v>768</v>
      </c>
      <c r="AA49" s="7" t="s">
        <v>1440</v>
      </c>
      <c r="AB49" s="7" t="s">
        <v>1429</v>
      </c>
      <c r="AC49" t="s">
        <v>1438</v>
      </c>
      <c r="AD49" s="8" t="s">
        <v>763</v>
      </c>
      <c r="AE49" s="8" t="s">
        <v>763</v>
      </c>
      <c r="AF49" t="s">
        <v>1430</v>
      </c>
    </row>
    <row r="50" spans="1:32" x14ac:dyDescent="0.35">
      <c r="A50" s="3">
        <v>50</v>
      </c>
      <c r="B50" t="s">
        <v>481</v>
      </c>
      <c r="C50" t="s">
        <v>483</v>
      </c>
      <c r="D50" s="7" t="s">
        <v>751</v>
      </c>
      <c r="E50" s="7">
        <v>2022</v>
      </c>
      <c r="F50" s="3" t="s">
        <v>763</v>
      </c>
      <c r="G50" s="7" t="s">
        <v>753</v>
      </c>
      <c r="H50" s="7" t="s">
        <v>754</v>
      </c>
      <c r="I50" s="3">
        <v>11.016667</v>
      </c>
      <c r="J50" s="3">
        <v>76.966667000000001</v>
      </c>
      <c r="K50" s="24" t="s">
        <v>1441</v>
      </c>
      <c r="L50" s="7" t="s">
        <v>756</v>
      </c>
      <c r="M50" s="7" t="s">
        <v>1019</v>
      </c>
      <c r="N50" t="s">
        <v>1938</v>
      </c>
      <c r="O50" t="s">
        <v>1980</v>
      </c>
      <c r="P50" s="3" t="s">
        <v>763</v>
      </c>
      <c r="Q50" s="15"/>
      <c r="R50" s="8" t="s">
        <v>1055</v>
      </c>
      <c r="S50" s="7" t="s">
        <v>787</v>
      </c>
      <c r="T50" s="7" t="s">
        <v>1031</v>
      </c>
      <c r="U50" s="7" t="s">
        <v>2005</v>
      </c>
      <c r="V50" s="7" t="s">
        <v>2027</v>
      </c>
      <c r="W50" s="7" t="s">
        <v>766</v>
      </c>
      <c r="X50" s="7" t="s">
        <v>787</v>
      </c>
      <c r="Y50" s="8" t="s">
        <v>1450</v>
      </c>
      <c r="Z50" s="7" t="s">
        <v>768</v>
      </c>
      <c r="AA50" s="8" t="s">
        <v>1449</v>
      </c>
      <c r="AB50" s="7" t="s">
        <v>1451</v>
      </c>
      <c r="AC50" t="s">
        <v>763</v>
      </c>
      <c r="AD50" s="8" t="s">
        <v>763</v>
      </c>
      <c r="AE50" s="8" t="s">
        <v>1448</v>
      </c>
      <c r="AF50" t="s">
        <v>763</v>
      </c>
    </row>
    <row r="51" spans="1:32" x14ac:dyDescent="0.35">
      <c r="A51" s="3">
        <v>51</v>
      </c>
      <c r="B51" t="s">
        <v>486</v>
      </c>
      <c r="C51" t="s">
        <v>488</v>
      </c>
      <c r="D51" s="7" t="s">
        <v>751</v>
      </c>
      <c r="E51" s="7">
        <v>2018</v>
      </c>
      <c r="F51" s="3" t="s">
        <v>1905</v>
      </c>
      <c r="G51" s="7" t="s">
        <v>753</v>
      </c>
      <c r="H51" s="7" t="s">
        <v>754</v>
      </c>
      <c r="I51" s="3">
        <v>4.6626940000000001</v>
      </c>
      <c r="J51" s="3">
        <v>9.3976749999999996</v>
      </c>
      <c r="K51" s="7" t="s">
        <v>1456</v>
      </c>
      <c r="L51" s="7" t="s">
        <v>1457</v>
      </c>
      <c r="M51" s="7" t="s">
        <v>1458</v>
      </c>
      <c r="N51" t="s">
        <v>1939</v>
      </c>
      <c r="O51" t="s">
        <v>1460</v>
      </c>
      <c r="P51" s="7" t="s">
        <v>1843</v>
      </c>
      <c r="Q51" t="s">
        <v>1461</v>
      </c>
      <c r="R51" s="3" t="s">
        <v>833</v>
      </c>
      <c r="S51" s="7" t="s">
        <v>787</v>
      </c>
      <c r="T51" s="7" t="s">
        <v>865</v>
      </c>
      <c r="U51" s="7" t="s">
        <v>764</v>
      </c>
      <c r="V51" s="7" t="s">
        <v>2031</v>
      </c>
      <c r="W51" s="7" t="s">
        <v>766</v>
      </c>
      <c r="X51" s="7" t="s">
        <v>787</v>
      </c>
      <c r="Y51" s="7" t="s">
        <v>763</v>
      </c>
      <c r="Z51" s="7" t="s">
        <v>789</v>
      </c>
      <c r="AA51" s="8" t="s">
        <v>1464</v>
      </c>
      <c r="AB51" s="7" t="s">
        <v>1463</v>
      </c>
      <c r="AC51" t="s">
        <v>1465</v>
      </c>
      <c r="AD51" s="8" t="s">
        <v>763</v>
      </c>
      <c r="AE51" s="8" t="s">
        <v>2019</v>
      </c>
      <c r="AF51" t="s">
        <v>1452</v>
      </c>
    </row>
    <row r="52" spans="1:32" x14ac:dyDescent="0.35">
      <c r="A52" s="3">
        <v>53</v>
      </c>
      <c r="B52" t="s">
        <v>516</v>
      </c>
      <c r="C52" t="s">
        <v>518</v>
      </c>
      <c r="D52" s="7" t="s">
        <v>751</v>
      </c>
      <c r="E52" s="7">
        <v>2021</v>
      </c>
      <c r="F52" s="3">
        <v>2017</v>
      </c>
      <c r="G52" s="7" t="s">
        <v>753</v>
      </c>
      <c r="H52" s="7" t="s">
        <v>754</v>
      </c>
      <c r="I52" s="3">
        <v>18.428277999999999</v>
      </c>
      <c r="J52" s="3">
        <v>-66.037861000000007</v>
      </c>
      <c r="K52" s="7" t="s">
        <v>1858</v>
      </c>
      <c r="L52" s="7" t="s">
        <v>1502</v>
      </c>
      <c r="M52" s="8" t="s">
        <v>1019</v>
      </c>
      <c r="N52" s="15"/>
      <c r="O52" s="15"/>
      <c r="P52" s="3" t="s">
        <v>763</v>
      </c>
      <c r="Q52" t="s">
        <v>1113</v>
      </c>
      <c r="R52" s="3" t="s">
        <v>833</v>
      </c>
      <c r="S52" s="7" t="s">
        <v>787</v>
      </c>
      <c r="T52" s="7" t="s">
        <v>865</v>
      </c>
      <c r="U52" s="7" t="s">
        <v>764</v>
      </c>
      <c r="V52" s="7" t="s">
        <v>2031</v>
      </c>
      <c r="W52" s="7" t="s">
        <v>766</v>
      </c>
      <c r="X52" s="7" t="s">
        <v>787</v>
      </c>
      <c r="Y52" s="8" t="s">
        <v>1507</v>
      </c>
      <c r="Z52" s="7" t="s">
        <v>768</v>
      </c>
      <c r="AA52" s="8" t="s">
        <v>1508</v>
      </c>
      <c r="AB52" s="7" t="s">
        <v>1509</v>
      </c>
      <c r="AC52" s="8" t="s">
        <v>1504</v>
      </c>
      <c r="AD52" s="8" t="s">
        <v>1510</v>
      </c>
      <c r="AE52" s="8" t="s">
        <v>1503</v>
      </c>
      <c r="AF52" t="s">
        <v>2053</v>
      </c>
    </row>
    <row r="53" spans="1:32" x14ac:dyDescent="0.35">
      <c r="A53" s="3">
        <v>54</v>
      </c>
      <c r="B53" t="s">
        <v>521</v>
      </c>
      <c r="C53" t="s">
        <v>523</v>
      </c>
      <c r="D53" s="7" t="s">
        <v>751</v>
      </c>
      <c r="E53" s="7">
        <v>2014</v>
      </c>
      <c r="F53" s="3">
        <v>2010</v>
      </c>
      <c r="G53" s="7" t="s">
        <v>753</v>
      </c>
      <c r="H53" s="7" t="s">
        <v>754</v>
      </c>
      <c r="I53" s="3">
        <v>1.5100750000000001</v>
      </c>
      <c r="J53" s="3">
        <v>103.632458</v>
      </c>
      <c r="K53" s="7" t="s">
        <v>1512</v>
      </c>
      <c r="L53" s="8" t="s">
        <v>799</v>
      </c>
      <c r="M53" s="8" t="s">
        <v>1019</v>
      </c>
      <c r="N53" s="15"/>
      <c r="O53" t="s">
        <v>1964</v>
      </c>
      <c r="P53" s="3" t="s">
        <v>763</v>
      </c>
      <c r="Q53" t="s">
        <v>1886</v>
      </c>
      <c r="R53" s="3" t="s">
        <v>833</v>
      </c>
      <c r="S53" s="7" t="s">
        <v>762</v>
      </c>
      <c r="T53" s="7" t="s">
        <v>1031</v>
      </c>
      <c r="U53" s="7" t="s">
        <v>2002</v>
      </c>
      <c r="V53" t="s">
        <v>2031</v>
      </c>
      <c r="W53" s="7" t="s">
        <v>766</v>
      </c>
      <c r="X53" s="7" t="s">
        <v>787</v>
      </c>
      <c r="Y53" s="7" t="s">
        <v>763</v>
      </c>
      <c r="Z53" s="7" t="s">
        <v>789</v>
      </c>
      <c r="AA53" s="7" t="s">
        <v>1520</v>
      </c>
      <c r="AB53" s="7" t="s">
        <v>763</v>
      </c>
      <c r="AC53" t="s">
        <v>1518</v>
      </c>
      <c r="AD53" s="8" t="s">
        <v>763</v>
      </c>
      <c r="AE53" s="8" t="s">
        <v>2021</v>
      </c>
      <c r="AF53" t="s">
        <v>763</v>
      </c>
    </row>
    <row r="54" spans="1:32" x14ac:dyDescent="0.35">
      <c r="A54" s="3">
        <v>55</v>
      </c>
      <c r="B54" t="s">
        <v>535</v>
      </c>
      <c r="C54" t="s">
        <v>537</v>
      </c>
      <c r="D54" s="7" t="s">
        <v>751</v>
      </c>
      <c r="E54" s="7">
        <v>2025</v>
      </c>
      <c r="F54" s="3" t="s">
        <v>1534</v>
      </c>
      <c r="G54" s="7" t="s">
        <v>795</v>
      </c>
      <c r="H54" s="7" t="s">
        <v>754</v>
      </c>
      <c r="I54" s="3">
        <v>22.410833</v>
      </c>
      <c r="J54" s="3">
        <v>88.188610999999995</v>
      </c>
      <c r="K54" t="s">
        <v>1538</v>
      </c>
      <c r="L54" s="8" t="s">
        <v>756</v>
      </c>
      <c r="M54" s="8" t="s">
        <v>1360</v>
      </c>
      <c r="N54" s="15"/>
      <c r="O54" s="15"/>
      <c r="P54" s="3" t="s">
        <v>1016</v>
      </c>
      <c r="Q54" s="15"/>
      <c r="R54" s="3" t="s">
        <v>833</v>
      </c>
      <c r="S54" s="7" t="s">
        <v>762</v>
      </c>
      <c r="T54" s="7" t="s">
        <v>1986</v>
      </c>
      <c r="U54" s="7" t="s">
        <v>1541</v>
      </c>
      <c r="V54" t="s">
        <v>1744</v>
      </c>
      <c r="W54" s="7" t="s">
        <v>1188</v>
      </c>
      <c r="X54" s="7" t="s">
        <v>762</v>
      </c>
      <c r="Y54" s="7" t="s">
        <v>1545</v>
      </c>
      <c r="Z54" s="7" t="s">
        <v>768</v>
      </c>
      <c r="AA54" s="8" t="s">
        <v>1535</v>
      </c>
      <c r="AB54" s="7" t="s">
        <v>763</v>
      </c>
      <c r="AC54" t="s">
        <v>1537</v>
      </c>
      <c r="AD54" s="8" t="s">
        <v>763</v>
      </c>
      <c r="AE54" s="8" t="s">
        <v>763</v>
      </c>
      <c r="AF54" s="8" t="s">
        <v>1536</v>
      </c>
    </row>
    <row r="55" spans="1:32" x14ac:dyDescent="0.35">
      <c r="A55" s="3">
        <v>56</v>
      </c>
      <c r="B55" t="s">
        <v>544</v>
      </c>
      <c r="C55" t="s">
        <v>546</v>
      </c>
      <c r="D55" s="7" t="s">
        <v>751</v>
      </c>
      <c r="E55" s="7">
        <v>2014</v>
      </c>
      <c r="F55" s="3" t="s">
        <v>763</v>
      </c>
      <c r="G55" s="7" t="s">
        <v>753</v>
      </c>
      <c r="H55" s="7" t="s">
        <v>754</v>
      </c>
      <c r="I55" s="3">
        <v>22.866667</v>
      </c>
      <c r="J55" s="3">
        <v>113.841667</v>
      </c>
      <c r="K55" t="s">
        <v>1550</v>
      </c>
      <c r="L55" s="8" t="s">
        <v>1546</v>
      </c>
      <c r="M55" s="8" t="s">
        <v>1551</v>
      </c>
      <c r="N55" s="15"/>
      <c r="O55" s="15"/>
      <c r="P55" s="3" t="s">
        <v>763</v>
      </c>
      <c r="Q55" s="15"/>
      <c r="R55" t="s">
        <v>1055</v>
      </c>
      <c r="S55" s="7" t="s">
        <v>787</v>
      </c>
      <c r="T55" s="8" t="s">
        <v>1561</v>
      </c>
      <c r="U55" s="7" t="s">
        <v>764</v>
      </c>
      <c r="V55" s="7" t="s">
        <v>2026</v>
      </c>
      <c r="W55" s="7" t="s">
        <v>766</v>
      </c>
      <c r="X55" s="7" t="s">
        <v>787</v>
      </c>
      <c r="Y55" s="7" t="s">
        <v>763</v>
      </c>
      <c r="Z55" s="7" t="s">
        <v>789</v>
      </c>
      <c r="AA55" s="8" t="s">
        <v>1566</v>
      </c>
      <c r="AB55" s="7" t="s">
        <v>1563</v>
      </c>
      <c r="AC55" t="s">
        <v>763</v>
      </c>
      <c r="AD55" s="8" t="s">
        <v>763</v>
      </c>
      <c r="AE55" s="8" t="s">
        <v>1547</v>
      </c>
      <c r="AF55" s="8" t="s">
        <v>1553</v>
      </c>
    </row>
    <row r="56" spans="1:32" x14ac:dyDescent="0.35">
      <c r="A56" s="3">
        <v>57</v>
      </c>
      <c r="B56" t="s">
        <v>554</v>
      </c>
      <c r="C56" t="s">
        <v>556</v>
      </c>
      <c r="D56" s="7" t="s">
        <v>751</v>
      </c>
      <c r="E56" s="7">
        <v>2018</v>
      </c>
      <c r="F56" s="3">
        <v>2014</v>
      </c>
      <c r="G56" s="7" t="s">
        <v>753</v>
      </c>
      <c r="H56" s="7" t="s">
        <v>754</v>
      </c>
      <c r="I56" s="3">
        <v>6.6833330000000002</v>
      </c>
      <c r="J56" s="3">
        <v>-1.6166670000000001</v>
      </c>
      <c r="K56" t="s">
        <v>1554</v>
      </c>
      <c r="L56" s="8" t="s">
        <v>1325</v>
      </c>
      <c r="M56" s="8" t="s">
        <v>1019</v>
      </c>
      <c r="N56" s="8" t="s">
        <v>1944</v>
      </c>
      <c r="O56" s="28" t="s">
        <v>1952</v>
      </c>
      <c r="P56" s="3" t="s">
        <v>763</v>
      </c>
      <c r="Q56" t="s">
        <v>1886</v>
      </c>
      <c r="R56" t="s">
        <v>1560</v>
      </c>
      <c r="S56" s="7" t="s">
        <v>787</v>
      </c>
      <c r="T56" s="7" t="s">
        <v>1986</v>
      </c>
      <c r="U56" s="7" t="s">
        <v>764</v>
      </c>
      <c r="V56" s="7" t="s">
        <v>2026</v>
      </c>
      <c r="W56" s="7" t="s">
        <v>766</v>
      </c>
      <c r="X56" s="7" t="s">
        <v>787</v>
      </c>
      <c r="Y56" s="7" t="s">
        <v>763</v>
      </c>
      <c r="Z56" s="7" t="s">
        <v>789</v>
      </c>
      <c r="AA56" s="8" t="s">
        <v>1562</v>
      </c>
      <c r="AB56" s="7" t="s">
        <v>1568</v>
      </c>
      <c r="AC56" t="s">
        <v>1567</v>
      </c>
      <c r="AD56" s="8" t="s">
        <v>763</v>
      </c>
      <c r="AE56" s="8" t="s">
        <v>1569</v>
      </c>
      <c r="AF56" t="s">
        <v>2054</v>
      </c>
    </row>
    <row r="57" spans="1:32" x14ac:dyDescent="0.35">
      <c r="A57" s="3">
        <v>58</v>
      </c>
      <c r="B57" t="s">
        <v>549</v>
      </c>
      <c r="C57" t="s">
        <v>551</v>
      </c>
      <c r="D57" s="7" t="s">
        <v>751</v>
      </c>
      <c r="E57" s="7">
        <v>2022</v>
      </c>
      <c r="F57" s="3">
        <v>2018</v>
      </c>
      <c r="G57" s="7" t="s">
        <v>753</v>
      </c>
      <c r="H57" s="7" t="s">
        <v>754</v>
      </c>
      <c r="I57" s="3">
        <v>13.7525</v>
      </c>
      <c r="J57" s="3">
        <v>100.494167</v>
      </c>
      <c r="K57" t="s">
        <v>1572</v>
      </c>
      <c r="L57" s="8" t="s">
        <v>1068</v>
      </c>
      <c r="M57" s="8" t="s">
        <v>1019</v>
      </c>
      <c r="N57" s="15"/>
      <c r="O57" s="15"/>
      <c r="P57" s="3" t="s">
        <v>763</v>
      </c>
      <c r="Q57" t="s">
        <v>1573</v>
      </c>
      <c r="R57" t="s">
        <v>1560</v>
      </c>
      <c r="S57" s="7" t="s">
        <v>787</v>
      </c>
      <c r="T57" s="7" t="s">
        <v>1031</v>
      </c>
      <c r="U57" s="7" t="s">
        <v>764</v>
      </c>
      <c r="V57" s="7" t="s">
        <v>2026</v>
      </c>
      <c r="W57" s="7" t="s">
        <v>766</v>
      </c>
      <c r="X57" s="7" t="s">
        <v>787</v>
      </c>
      <c r="Y57" s="7" t="s">
        <v>763</v>
      </c>
      <c r="Z57" s="7" t="s">
        <v>768</v>
      </c>
      <c r="AA57" s="7" t="s">
        <v>1578</v>
      </c>
      <c r="AB57" s="7" t="s">
        <v>1577</v>
      </c>
      <c r="AC57" t="s">
        <v>1574</v>
      </c>
      <c r="AD57" s="8" t="s">
        <v>763</v>
      </c>
      <c r="AE57" s="8" t="s">
        <v>1570</v>
      </c>
      <c r="AF57" s="11" t="s">
        <v>2055</v>
      </c>
    </row>
    <row r="58" spans="1:32" x14ac:dyDescent="0.35">
      <c r="A58" s="3">
        <v>59</v>
      </c>
      <c r="B58" t="s">
        <v>564</v>
      </c>
      <c r="C58" t="s">
        <v>566</v>
      </c>
      <c r="D58" s="7" t="s">
        <v>751</v>
      </c>
      <c r="E58" s="7">
        <v>2022</v>
      </c>
      <c r="F58" s="3" t="s">
        <v>1907</v>
      </c>
      <c r="G58" s="7" t="s">
        <v>753</v>
      </c>
      <c r="H58" s="7" t="s">
        <v>776</v>
      </c>
      <c r="I58" s="3">
        <v>-5.1166669999999996</v>
      </c>
      <c r="J58" s="3">
        <v>105.3</v>
      </c>
      <c r="K58" t="s">
        <v>1583</v>
      </c>
      <c r="L58" s="8" t="s">
        <v>832</v>
      </c>
      <c r="M58" s="15"/>
      <c r="N58" s="15"/>
      <c r="O58" s="15"/>
      <c r="P58" s="3" t="s">
        <v>759</v>
      </c>
      <c r="Q58" s="15"/>
      <c r="R58" t="s">
        <v>786</v>
      </c>
      <c r="S58" s="7" t="s">
        <v>762</v>
      </c>
      <c r="T58" s="7" t="s">
        <v>834</v>
      </c>
      <c r="U58" s="7" t="s">
        <v>764</v>
      </c>
      <c r="V58" s="7" t="s">
        <v>2031</v>
      </c>
      <c r="W58" s="7" t="s">
        <v>766</v>
      </c>
      <c r="X58" s="7" t="s">
        <v>762</v>
      </c>
      <c r="Y58" s="7" t="s">
        <v>1584</v>
      </c>
      <c r="Z58" s="7" t="s">
        <v>789</v>
      </c>
      <c r="AA58" s="7" t="s">
        <v>1589</v>
      </c>
      <c r="AB58" s="7" t="s">
        <v>1585</v>
      </c>
      <c r="AC58" t="s">
        <v>763</v>
      </c>
      <c r="AD58" s="8" t="s">
        <v>763</v>
      </c>
      <c r="AE58" t="s">
        <v>1571</v>
      </c>
      <c r="AF58" t="s">
        <v>1581</v>
      </c>
    </row>
    <row r="59" spans="1:32" x14ac:dyDescent="0.35">
      <c r="A59" s="3">
        <v>60</v>
      </c>
      <c r="B59" t="s">
        <v>578</v>
      </c>
      <c r="C59" t="s">
        <v>580</v>
      </c>
      <c r="D59" s="7" t="s">
        <v>751</v>
      </c>
      <c r="E59" s="7">
        <v>2024</v>
      </c>
      <c r="F59" s="3" t="s">
        <v>763</v>
      </c>
      <c r="G59" s="7" t="s">
        <v>753</v>
      </c>
      <c r="H59" s="7" t="s">
        <v>754</v>
      </c>
      <c r="I59" s="3">
        <v>11.183332999999999</v>
      </c>
      <c r="J59" s="3">
        <v>-4.2833329999999998</v>
      </c>
      <c r="K59" s="25" t="s">
        <v>1374</v>
      </c>
      <c r="L59" s="8" t="s">
        <v>1373</v>
      </c>
      <c r="M59" s="8" t="s">
        <v>1591</v>
      </c>
      <c r="N59" s="8" t="s">
        <v>1945</v>
      </c>
      <c r="O59" s="8" t="s">
        <v>1982</v>
      </c>
      <c r="P59" s="3" t="s">
        <v>763</v>
      </c>
      <c r="Q59" t="s">
        <v>1887</v>
      </c>
      <c r="R59" s="3" t="s">
        <v>833</v>
      </c>
      <c r="S59" s="7" t="s">
        <v>787</v>
      </c>
      <c r="T59" s="7" t="s">
        <v>865</v>
      </c>
      <c r="U59" s="7" t="s">
        <v>764</v>
      </c>
      <c r="V59" s="7" t="s">
        <v>2026</v>
      </c>
      <c r="W59" s="7" t="s">
        <v>766</v>
      </c>
      <c r="X59" s="7" t="s">
        <v>787</v>
      </c>
      <c r="Y59" s="7" t="s">
        <v>763</v>
      </c>
      <c r="Z59" s="7" t="s">
        <v>789</v>
      </c>
      <c r="AA59" s="8" t="s">
        <v>1597</v>
      </c>
      <c r="AB59" s="7" t="s">
        <v>1598</v>
      </c>
      <c r="AC59" s="8" t="s">
        <v>1600</v>
      </c>
      <c r="AD59" s="8" t="s">
        <v>763</v>
      </c>
      <c r="AE59" s="8" t="s">
        <v>2022</v>
      </c>
      <c r="AF59" t="s">
        <v>2062</v>
      </c>
    </row>
    <row r="60" spans="1:32" x14ac:dyDescent="0.35">
      <c r="A60" s="3">
        <v>61</v>
      </c>
      <c r="B60" t="s">
        <v>593</v>
      </c>
      <c r="C60" t="s">
        <v>595</v>
      </c>
      <c r="D60" s="7" t="s">
        <v>751</v>
      </c>
      <c r="E60" s="7">
        <v>2025</v>
      </c>
      <c r="F60" s="3" t="s">
        <v>830</v>
      </c>
      <c r="G60" s="7" t="s">
        <v>753</v>
      </c>
      <c r="H60" s="7" t="s">
        <v>776</v>
      </c>
      <c r="I60" s="3">
        <v>-6.8848890000000003</v>
      </c>
      <c r="J60" s="3">
        <v>107.61061100000001</v>
      </c>
      <c r="K60" t="s">
        <v>831</v>
      </c>
      <c r="L60" s="8" t="s">
        <v>832</v>
      </c>
      <c r="M60" s="15"/>
      <c r="N60" s="15"/>
      <c r="O60" s="15"/>
      <c r="P60" s="3" t="s">
        <v>759</v>
      </c>
      <c r="Q60" t="s">
        <v>1886</v>
      </c>
      <c r="R60" s="3" t="s">
        <v>833</v>
      </c>
      <c r="S60" s="7" t="s">
        <v>762</v>
      </c>
      <c r="T60" s="7" t="s">
        <v>834</v>
      </c>
      <c r="U60" s="7" t="s">
        <v>2003</v>
      </c>
      <c r="V60" s="7" t="s">
        <v>2035</v>
      </c>
      <c r="W60" s="7" t="s">
        <v>766</v>
      </c>
      <c r="X60" s="7" t="s">
        <v>787</v>
      </c>
      <c r="Y60" s="7" t="s">
        <v>1606</v>
      </c>
      <c r="Z60" s="7" t="s">
        <v>768</v>
      </c>
      <c r="AA60" s="8" t="s">
        <v>1605</v>
      </c>
      <c r="AB60" s="7" t="s">
        <v>763</v>
      </c>
      <c r="AC60" s="8" t="s">
        <v>1604</v>
      </c>
      <c r="AD60" s="8" t="s">
        <v>763</v>
      </c>
      <c r="AE60" s="8" t="s">
        <v>2023</v>
      </c>
      <c r="AF60" t="s">
        <v>2056</v>
      </c>
    </row>
    <row r="61" spans="1:32" x14ac:dyDescent="0.35">
      <c r="A61" s="3">
        <v>62</v>
      </c>
      <c r="B61" t="s">
        <v>607</v>
      </c>
      <c r="C61" t="s">
        <v>1611</v>
      </c>
      <c r="D61" s="7" t="s">
        <v>751</v>
      </c>
      <c r="E61" s="7">
        <v>2013</v>
      </c>
      <c r="F61" s="3" t="s">
        <v>1626</v>
      </c>
      <c r="G61" s="7" t="s">
        <v>795</v>
      </c>
      <c r="H61" s="7" t="s">
        <v>754</v>
      </c>
      <c r="I61" s="3">
        <v>1.3142940000000001</v>
      </c>
      <c r="J61" s="3">
        <v>103.911197</v>
      </c>
      <c r="K61" t="s">
        <v>1159</v>
      </c>
      <c r="L61" s="8" t="s">
        <v>1159</v>
      </c>
      <c r="M61" s="8" t="s">
        <v>1360</v>
      </c>
      <c r="N61" s="8" t="s">
        <v>1950</v>
      </c>
      <c r="O61" t="s">
        <v>1963</v>
      </c>
      <c r="P61" s="3" t="s">
        <v>1843</v>
      </c>
      <c r="Q61" t="s">
        <v>1860</v>
      </c>
      <c r="R61" t="s">
        <v>1560</v>
      </c>
      <c r="S61" s="7" t="s">
        <v>787</v>
      </c>
      <c r="T61" s="7" t="s">
        <v>834</v>
      </c>
      <c r="U61" s="7" t="s">
        <v>764</v>
      </c>
      <c r="V61" s="7" t="s">
        <v>2027</v>
      </c>
      <c r="W61" s="7" t="s">
        <v>1619</v>
      </c>
      <c r="X61" s="7" t="s">
        <v>787</v>
      </c>
      <c r="Y61" s="8" t="s">
        <v>1621</v>
      </c>
      <c r="Z61" s="7" t="s">
        <v>768</v>
      </c>
      <c r="AA61" s="8" t="s">
        <v>1623</v>
      </c>
      <c r="AB61" s="3" t="s">
        <v>1625</v>
      </c>
      <c r="AC61" s="8" t="s">
        <v>1624</v>
      </c>
      <c r="AD61" s="8" t="s">
        <v>763</v>
      </c>
      <c r="AE61" s="8" t="s">
        <v>1636</v>
      </c>
      <c r="AF61" t="s">
        <v>2057</v>
      </c>
    </row>
    <row r="62" spans="1:32" x14ac:dyDescent="0.35">
      <c r="A62" s="3">
        <v>63</v>
      </c>
      <c r="B62" t="s">
        <v>624</v>
      </c>
      <c r="C62" t="s">
        <v>626</v>
      </c>
      <c r="D62" s="7" t="s">
        <v>751</v>
      </c>
      <c r="E62" s="7">
        <v>2020</v>
      </c>
      <c r="F62" s="3" t="s">
        <v>763</v>
      </c>
      <c r="G62" s="7" t="s">
        <v>753</v>
      </c>
      <c r="H62" s="7" t="s">
        <v>776</v>
      </c>
      <c r="I62" s="3">
        <v>-1.4837</v>
      </c>
      <c r="J62" s="3">
        <v>-78.002600000000001</v>
      </c>
      <c r="K62" t="s">
        <v>1628</v>
      </c>
      <c r="L62" t="s">
        <v>1627</v>
      </c>
      <c r="M62" s="8" t="s">
        <v>1019</v>
      </c>
      <c r="N62" s="8" t="s">
        <v>1946</v>
      </c>
      <c r="O62" s="8" t="s">
        <v>1977</v>
      </c>
      <c r="P62" s="3" t="s">
        <v>763</v>
      </c>
      <c r="Q62" t="s">
        <v>1633</v>
      </c>
      <c r="R62" s="3" t="s">
        <v>833</v>
      </c>
      <c r="S62" s="7" t="s">
        <v>787</v>
      </c>
      <c r="T62" s="7" t="s">
        <v>865</v>
      </c>
      <c r="U62" s="7" t="s">
        <v>764</v>
      </c>
      <c r="V62" s="7" t="s">
        <v>2036</v>
      </c>
      <c r="W62" s="7" t="s">
        <v>1241</v>
      </c>
      <c r="X62" s="7" t="s">
        <v>787</v>
      </c>
      <c r="Y62" s="7" t="s">
        <v>763</v>
      </c>
      <c r="Z62" s="7" t="s">
        <v>789</v>
      </c>
      <c r="AA62" s="8" t="s">
        <v>1637</v>
      </c>
      <c r="AB62" s="7" t="s">
        <v>1638</v>
      </c>
      <c r="AC62" s="8" t="s">
        <v>1639</v>
      </c>
      <c r="AD62" s="8" t="s">
        <v>763</v>
      </c>
      <c r="AE62" s="8" t="s">
        <v>1640</v>
      </c>
      <c r="AF62" t="s">
        <v>2058</v>
      </c>
    </row>
    <row r="63" spans="1:32" x14ac:dyDescent="0.35">
      <c r="A63" s="3">
        <v>65</v>
      </c>
      <c r="B63" t="s">
        <v>640</v>
      </c>
      <c r="C63" t="s">
        <v>1656</v>
      </c>
      <c r="D63" s="7" t="s">
        <v>751</v>
      </c>
      <c r="E63" s="7">
        <v>2020</v>
      </c>
      <c r="F63" s="3" t="s">
        <v>1659</v>
      </c>
      <c r="G63" s="7" t="s">
        <v>753</v>
      </c>
      <c r="H63" s="7" t="s">
        <v>754</v>
      </c>
      <c r="I63" s="3">
        <v>22.09</v>
      </c>
      <c r="J63" s="3">
        <v>82.15</v>
      </c>
      <c r="K63" t="s">
        <v>1658</v>
      </c>
      <c r="L63" t="s">
        <v>756</v>
      </c>
      <c r="M63" s="15"/>
      <c r="N63" s="15"/>
      <c r="O63" s="8" t="s">
        <v>1975</v>
      </c>
      <c r="P63" s="3" t="s">
        <v>913</v>
      </c>
      <c r="Q63" s="15"/>
      <c r="R63" s="8" t="s">
        <v>786</v>
      </c>
      <c r="S63" s="7" t="s">
        <v>787</v>
      </c>
      <c r="T63" s="7" t="s">
        <v>834</v>
      </c>
      <c r="U63" s="7" t="s">
        <v>764</v>
      </c>
      <c r="V63" s="7" t="s">
        <v>2026</v>
      </c>
      <c r="W63" s="7" t="s">
        <v>766</v>
      </c>
      <c r="X63" s="7" t="s">
        <v>787</v>
      </c>
      <c r="Y63" s="7" t="s">
        <v>763</v>
      </c>
      <c r="Z63" s="7" t="s">
        <v>768</v>
      </c>
      <c r="AA63" s="8" t="s">
        <v>1664</v>
      </c>
      <c r="AB63" s="7" t="s">
        <v>1667</v>
      </c>
      <c r="AC63" s="8" t="s">
        <v>1666</v>
      </c>
      <c r="AD63" s="8" t="s">
        <v>763</v>
      </c>
      <c r="AE63" s="8" t="s">
        <v>1665</v>
      </c>
      <c r="AF63" t="s">
        <v>1657</v>
      </c>
    </row>
    <row r="64" spans="1:32" x14ac:dyDescent="0.35">
      <c r="A64" s="3">
        <v>66</v>
      </c>
      <c r="B64" t="s">
        <v>646</v>
      </c>
      <c r="C64" t="s">
        <v>648</v>
      </c>
      <c r="D64" s="7" t="s">
        <v>751</v>
      </c>
      <c r="E64" s="7">
        <v>2021</v>
      </c>
      <c r="F64" s="7" t="s">
        <v>1669</v>
      </c>
      <c r="G64" s="7" t="s">
        <v>753</v>
      </c>
      <c r="H64" s="7" t="s">
        <v>754</v>
      </c>
      <c r="I64" s="3">
        <v>9.8333329999999997</v>
      </c>
      <c r="J64" s="3">
        <v>76.94</v>
      </c>
      <c r="K64" t="s">
        <v>1668</v>
      </c>
      <c r="L64" t="s">
        <v>756</v>
      </c>
      <c r="M64" s="15"/>
      <c r="N64" t="s">
        <v>1947</v>
      </c>
      <c r="O64" s="8" t="s">
        <v>1976</v>
      </c>
      <c r="P64" s="3" t="s">
        <v>763</v>
      </c>
      <c r="Q64" s="15"/>
      <c r="R64" s="8" t="s">
        <v>1673</v>
      </c>
      <c r="S64" s="7" t="s">
        <v>787</v>
      </c>
      <c r="T64" s="7" t="s">
        <v>1031</v>
      </c>
      <c r="U64" s="7" t="s">
        <v>764</v>
      </c>
      <c r="V64" s="7" t="s">
        <v>2026</v>
      </c>
      <c r="W64" s="7" t="s">
        <v>766</v>
      </c>
      <c r="X64" s="7" t="s">
        <v>787</v>
      </c>
      <c r="Y64" s="7" t="s">
        <v>763</v>
      </c>
      <c r="Z64" s="7" t="s">
        <v>768</v>
      </c>
      <c r="AA64" s="7" t="s">
        <v>1677</v>
      </c>
      <c r="AB64" s="7" t="s">
        <v>1678</v>
      </c>
      <c r="AC64" s="8" t="s">
        <v>1670</v>
      </c>
      <c r="AD64" s="8" t="s">
        <v>763</v>
      </c>
      <c r="AE64" s="8" t="s">
        <v>1676</v>
      </c>
      <c r="AF64" t="s">
        <v>2059</v>
      </c>
    </row>
    <row r="65" spans="1:32" x14ac:dyDescent="0.35">
      <c r="A65" s="3">
        <v>67</v>
      </c>
      <c r="B65" t="s">
        <v>651</v>
      </c>
      <c r="C65" t="s">
        <v>653</v>
      </c>
      <c r="D65" s="7" t="s">
        <v>751</v>
      </c>
      <c r="E65" s="7">
        <v>2021</v>
      </c>
      <c r="F65" s="3">
        <v>2016</v>
      </c>
      <c r="G65" s="7" t="s">
        <v>753</v>
      </c>
      <c r="H65" s="7" t="s">
        <v>754</v>
      </c>
      <c r="I65" s="3">
        <v>23.7</v>
      </c>
      <c r="J65" s="3">
        <v>90.366667000000007</v>
      </c>
      <c r="K65" t="s">
        <v>1679</v>
      </c>
      <c r="L65" t="s">
        <v>985</v>
      </c>
      <c r="M65" t="s">
        <v>1685</v>
      </c>
      <c r="N65" s="15"/>
      <c r="O65" s="15"/>
      <c r="P65" s="3" t="s">
        <v>763</v>
      </c>
      <c r="Q65" s="15"/>
      <c r="R65" s="8" t="s">
        <v>1615</v>
      </c>
      <c r="S65" s="7" t="s">
        <v>787</v>
      </c>
      <c r="T65" s="7" t="s">
        <v>834</v>
      </c>
      <c r="U65" s="7" t="s">
        <v>764</v>
      </c>
      <c r="V65" t="s">
        <v>2026</v>
      </c>
      <c r="W65" s="7" t="s">
        <v>766</v>
      </c>
      <c r="X65" s="7" t="s">
        <v>787</v>
      </c>
      <c r="Y65" s="7" t="s">
        <v>763</v>
      </c>
      <c r="Z65" s="7" t="s">
        <v>789</v>
      </c>
      <c r="AA65" s="8" t="s">
        <v>1686</v>
      </c>
      <c r="AB65" s="7" t="s">
        <v>1687</v>
      </c>
      <c r="AC65" s="8" t="s">
        <v>1681</v>
      </c>
      <c r="AD65" s="8" t="s">
        <v>763</v>
      </c>
      <c r="AE65" s="8" t="s">
        <v>1688</v>
      </c>
      <c r="AF65" t="s">
        <v>2049</v>
      </c>
    </row>
    <row r="66" spans="1:32" x14ac:dyDescent="0.35">
      <c r="A66" s="3">
        <v>68</v>
      </c>
      <c r="B66" t="s">
        <v>655</v>
      </c>
      <c r="C66" t="s">
        <v>657</v>
      </c>
      <c r="D66" s="7" t="s">
        <v>751</v>
      </c>
      <c r="E66" s="7">
        <v>2023</v>
      </c>
      <c r="F66" s="3" t="s">
        <v>1908</v>
      </c>
      <c r="G66" s="7" t="s">
        <v>795</v>
      </c>
      <c r="H66" s="7" t="s">
        <v>776</v>
      </c>
      <c r="I66" s="3">
        <v>-12.05</v>
      </c>
      <c r="J66" s="3">
        <v>-77.033332999999999</v>
      </c>
      <c r="K66" s="7" t="s">
        <v>1694</v>
      </c>
      <c r="L66" t="s">
        <v>1689</v>
      </c>
      <c r="M66" s="15"/>
      <c r="N66" s="15"/>
      <c r="O66" s="15"/>
      <c r="P66" s="3" t="s">
        <v>763</v>
      </c>
      <c r="Q66" t="s">
        <v>1888</v>
      </c>
      <c r="R66" s="8" t="s">
        <v>786</v>
      </c>
      <c r="S66" s="7" t="s">
        <v>787</v>
      </c>
      <c r="T66" s="7" t="s">
        <v>834</v>
      </c>
      <c r="U66" s="7" t="s">
        <v>764</v>
      </c>
      <c r="V66" s="7" t="s">
        <v>2031</v>
      </c>
      <c r="W66" s="7" t="s">
        <v>766</v>
      </c>
      <c r="X66" s="7" t="s">
        <v>787</v>
      </c>
      <c r="Y66" s="7" t="s">
        <v>1690</v>
      </c>
      <c r="Z66" s="7" t="s">
        <v>789</v>
      </c>
      <c r="AA66" s="7" t="s">
        <v>763</v>
      </c>
      <c r="AB66" s="7" t="s">
        <v>763</v>
      </c>
      <c r="AC66" s="8" t="s">
        <v>1691</v>
      </c>
      <c r="AD66" s="8" t="s">
        <v>763</v>
      </c>
      <c r="AE66" s="8" t="s">
        <v>2024</v>
      </c>
      <c r="AF66" t="s">
        <v>763</v>
      </c>
    </row>
    <row r="67" spans="1:32" x14ac:dyDescent="0.35">
      <c r="A67" s="3">
        <v>69</v>
      </c>
      <c r="B67" t="s">
        <v>660</v>
      </c>
      <c r="C67" t="s">
        <v>1701</v>
      </c>
      <c r="D67" s="7" t="s">
        <v>751</v>
      </c>
      <c r="E67" s="7">
        <v>2017</v>
      </c>
      <c r="F67" s="3" t="s">
        <v>1700</v>
      </c>
      <c r="G67" s="7" t="s">
        <v>753</v>
      </c>
      <c r="H67" s="7" t="s">
        <v>754</v>
      </c>
      <c r="I67" s="3">
        <v>6.6833330000000002</v>
      </c>
      <c r="J67" s="3">
        <v>-1.6166670000000001</v>
      </c>
      <c r="K67" s="7" t="s">
        <v>1554</v>
      </c>
      <c r="L67" t="s">
        <v>1325</v>
      </c>
      <c r="M67" t="s">
        <v>1019</v>
      </c>
      <c r="N67" t="s">
        <v>1944</v>
      </c>
      <c r="O67" t="s">
        <v>1952</v>
      </c>
      <c r="P67" s="3" t="s">
        <v>1859</v>
      </c>
      <c r="Q67" s="15"/>
      <c r="R67" t="s">
        <v>1984</v>
      </c>
      <c r="S67" s="7" t="s">
        <v>787</v>
      </c>
      <c r="T67" s="7" t="s">
        <v>1712</v>
      </c>
      <c r="U67" s="7" t="s">
        <v>1988</v>
      </c>
      <c r="V67" s="7" t="s">
        <v>2026</v>
      </c>
      <c r="W67" s="7" t="s">
        <v>1706</v>
      </c>
      <c r="X67" s="7" t="s">
        <v>787</v>
      </c>
      <c r="Y67" s="7" t="s">
        <v>763</v>
      </c>
      <c r="Z67" s="7" t="s">
        <v>768</v>
      </c>
      <c r="AA67" s="8" t="s">
        <v>1713</v>
      </c>
      <c r="AB67" s="7" t="s">
        <v>1714</v>
      </c>
      <c r="AC67" t="s">
        <v>1708</v>
      </c>
      <c r="AD67" s="8" t="s">
        <v>763</v>
      </c>
      <c r="AE67" s="8" t="s">
        <v>763</v>
      </c>
      <c r="AF67" t="s">
        <v>2060</v>
      </c>
    </row>
    <row r="68" spans="1:32" x14ac:dyDescent="0.35">
      <c r="A68" s="3">
        <v>70</v>
      </c>
      <c r="B68" s="8" t="s">
        <v>697</v>
      </c>
      <c r="C68" s="8" t="s">
        <v>699</v>
      </c>
      <c r="D68" s="7" t="s">
        <v>751</v>
      </c>
      <c r="E68" s="7">
        <v>2020</v>
      </c>
      <c r="F68" s="7" t="s">
        <v>1909</v>
      </c>
      <c r="G68" s="7" t="s">
        <v>753</v>
      </c>
      <c r="H68" s="7" t="s">
        <v>754</v>
      </c>
      <c r="I68" s="3">
        <v>21.15</v>
      </c>
      <c r="J68" s="3">
        <v>79.099999999999994</v>
      </c>
      <c r="K68" s="7" t="s">
        <v>1715</v>
      </c>
      <c r="L68" s="8" t="s">
        <v>756</v>
      </c>
      <c r="M68" t="s">
        <v>1208</v>
      </c>
      <c r="N68" s="8" t="s">
        <v>1948</v>
      </c>
      <c r="O68" s="8" t="s">
        <v>1958</v>
      </c>
      <c r="P68" s="7" t="s">
        <v>1016</v>
      </c>
      <c r="Q68" s="8" t="s">
        <v>1337</v>
      </c>
      <c r="R68" s="8" t="s">
        <v>1985</v>
      </c>
      <c r="S68" s="7" t="s">
        <v>787</v>
      </c>
      <c r="T68" s="7" t="s">
        <v>1031</v>
      </c>
      <c r="U68" s="7" t="s">
        <v>764</v>
      </c>
      <c r="V68" s="7" t="s">
        <v>2026</v>
      </c>
      <c r="W68" s="7" t="s">
        <v>766</v>
      </c>
      <c r="X68" s="7" t="s">
        <v>787</v>
      </c>
      <c r="Y68" s="7" t="s">
        <v>763</v>
      </c>
      <c r="Z68" s="7" t="s">
        <v>768</v>
      </c>
      <c r="AA68" s="8" t="s">
        <v>1724</v>
      </c>
      <c r="AB68" s="7" t="s">
        <v>1723</v>
      </c>
      <c r="AC68" s="8" t="s">
        <v>1719</v>
      </c>
      <c r="AD68" s="8" t="s">
        <v>763</v>
      </c>
      <c r="AE68" s="8" t="s">
        <v>1725</v>
      </c>
      <c r="AF68" s="8" t="s">
        <v>2061</v>
      </c>
    </row>
    <row r="69" spans="1:32" x14ac:dyDescent="0.35">
      <c r="A69" s="3">
        <v>73</v>
      </c>
      <c r="B69" s="8" t="s">
        <v>1759</v>
      </c>
      <c r="C69" s="8" t="s">
        <v>1760</v>
      </c>
      <c r="D69" s="7" t="s">
        <v>751</v>
      </c>
      <c r="E69" s="7">
        <v>2016</v>
      </c>
      <c r="F69" s="7" t="s">
        <v>1767</v>
      </c>
      <c r="G69" s="7" t="s">
        <v>795</v>
      </c>
      <c r="H69" s="7" t="s">
        <v>776</v>
      </c>
      <c r="I69" s="3">
        <v>-6.5590339999999996</v>
      </c>
      <c r="J69" s="3">
        <v>106.725227</v>
      </c>
      <c r="K69" s="8" t="s">
        <v>1757</v>
      </c>
      <c r="L69" s="8" t="s">
        <v>832</v>
      </c>
      <c r="M69" s="16"/>
      <c r="N69" s="8" t="s">
        <v>1949</v>
      </c>
      <c r="O69" s="8" t="s">
        <v>923</v>
      </c>
      <c r="P69" s="7" t="s">
        <v>913</v>
      </c>
      <c r="Q69" s="8" t="s">
        <v>1768</v>
      </c>
      <c r="R69" t="s">
        <v>1560</v>
      </c>
      <c r="S69" s="7" t="s">
        <v>762</v>
      </c>
      <c r="T69" s="7" t="s">
        <v>865</v>
      </c>
      <c r="U69" s="7" t="s">
        <v>1987</v>
      </c>
      <c r="V69" s="8" t="s">
        <v>2037</v>
      </c>
      <c r="W69" s="7" t="s">
        <v>766</v>
      </c>
      <c r="X69" s="7" t="s">
        <v>787</v>
      </c>
      <c r="Y69" s="7" t="s">
        <v>763</v>
      </c>
      <c r="Z69" s="7" t="s">
        <v>789</v>
      </c>
      <c r="AA69" s="8" t="s">
        <v>1761</v>
      </c>
      <c r="AB69" s="7" t="s">
        <v>1762</v>
      </c>
      <c r="AC69" s="8" t="s">
        <v>1763</v>
      </c>
      <c r="AD69" s="8" t="s">
        <v>763</v>
      </c>
      <c r="AE69" s="8" t="s">
        <v>763</v>
      </c>
      <c r="AF69" s="8" t="s">
        <v>763</v>
      </c>
    </row>
  </sheetData>
  <autoFilter ref="A1:AF69" xr:uid="{0C115DCC-FDCC-4B9A-9FDD-014E7DC9D4C5}"/>
  <hyperlinks>
    <hyperlink ref="C26" r:id="rId1" display="https://www.sciencedirect.com/author/57219425459/erik-velasco" xr:uid="{3B66E2A8-E51A-4C29-8DE0-AADD0BFF6B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DA11-9F1A-42FC-BFEE-50A2FA3C92AD}">
  <dimension ref="A1:AS28"/>
  <sheetViews>
    <sheetView workbookViewId="0">
      <selection activeCell="K33" sqref="K33"/>
    </sheetView>
  </sheetViews>
  <sheetFormatPr defaultRowHeight="14.5" x14ac:dyDescent="0.35"/>
  <cols>
    <col min="6" max="6" width="8.7265625" style="3" customWidth="1"/>
    <col min="13" max="13" width="9.453125" customWidth="1"/>
  </cols>
  <sheetData>
    <row r="1" spans="1:45"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2073</v>
      </c>
      <c r="O1" s="2" t="s">
        <v>2076</v>
      </c>
      <c r="P1" s="2" t="s">
        <v>735</v>
      </c>
      <c r="Q1" s="2" t="s">
        <v>736</v>
      </c>
      <c r="R1" s="2" t="s">
        <v>737</v>
      </c>
      <c r="S1" s="2" t="s">
        <v>738</v>
      </c>
      <c r="T1" s="2" t="s">
        <v>739</v>
      </c>
      <c r="U1" s="2" t="s">
        <v>740</v>
      </c>
      <c r="V1" s="2" t="s">
        <v>741</v>
      </c>
      <c r="W1" s="2" t="s">
        <v>742</v>
      </c>
      <c r="X1" s="2" t="s">
        <v>743</v>
      </c>
      <c r="Y1" s="2" t="s">
        <v>744</v>
      </c>
      <c r="Z1" s="12" t="s">
        <v>2227</v>
      </c>
      <c r="AA1" s="47" t="s">
        <v>2226</v>
      </c>
      <c r="AB1" s="12" t="s">
        <v>2214</v>
      </c>
      <c r="AC1" s="47" t="s">
        <v>2225</v>
      </c>
      <c r="AD1" s="2" t="s">
        <v>745</v>
      </c>
      <c r="AE1" s="2" t="s">
        <v>746</v>
      </c>
      <c r="AF1" s="47" t="s">
        <v>2215</v>
      </c>
      <c r="AG1" s="12" t="s">
        <v>2224</v>
      </c>
      <c r="AH1" s="12" t="s">
        <v>2216</v>
      </c>
      <c r="AI1" s="47" t="s">
        <v>2229</v>
      </c>
      <c r="AJ1" s="2" t="s">
        <v>747</v>
      </c>
      <c r="AK1" s="47" t="s">
        <v>2217</v>
      </c>
      <c r="AL1" s="12" t="s">
        <v>2218</v>
      </c>
      <c r="AM1" s="47" t="s">
        <v>2219</v>
      </c>
      <c r="AN1" s="47" t="s">
        <v>2220</v>
      </c>
      <c r="AO1" s="51" t="s">
        <v>748</v>
      </c>
      <c r="AP1" s="47" t="s">
        <v>2221</v>
      </c>
      <c r="AQ1" s="2" t="s">
        <v>2223</v>
      </c>
      <c r="AR1" s="2" t="s">
        <v>750</v>
      </c>
      <c r="AS1" s="2" t="s">
        <v>2004</v>
      </c>
    </row>
    <row r="2" spans="1:45" s="8" customFormat="1" x14ac:dyDescent="0.35">
      <c r="A2" s="7">
        <v>70</v>
      </c>
      <c r="B2" s="8" t="s">
        <v>163</v>
      </c>
      <c r="C2" s="8" t="s">
        <v>165</v>
      </c>
      <c r="D2" s="7" t="s">
        <v>751</v>
      </c>
      <c r="E2" s="7">
        <v>2023</v>
      </c>
      <c r="F2" s="7" t="s">
        <v>763</v>
      </c>
      <c r="G2" s="7" t="s">
        <v>753</v>
      </c>
      <c r="H2" s="7" t="s">
        <v>754</v>
      </c>
      <c r="I2" s="8">
        <v>8.5833329999999997</v>
      </c>
      <c r="J2" s="8">
        <v>124.45</v>
      </c>
      <c r="K2" s="8" t="s">
        <v>1794</v>
      </c>
      <c r="L2" s="7" t="s">
        <v>1112</v>
      </c>
      <c r="M2" s="3" t="s">
        <v>2077</v>
      </c>
      <c r="N2" s="7">
        <v>2080</v>
      </c>
      <c r="O2" s="7">
        <v>25.6</v>
      </c>
      <c r="P2" s="7" t="s">
        <v>763</v>
      </c>
      <c r="Q2" s="8" t="s">
        <v>1113</v>
      </c>
      <c r="R2" s="7" t="s">
        <v>2074</v>
      </c>
      <c r="S2" s="7" t="s">
        <v>914</v>
      </c>
      <c r="T2" s="7" t="s">
        <v>1235</v>
      </c>
      <c r="U2" s="7" t="s">
        <v>764</v>
      </c>
      <c r="V2" s="8" t="s">
        <v>2026</v>
      </c>
      <c r="W2" s="7" t="s">
        <v>766</v>
      </c>
      <c r="X2" s="7" t="s">
        <v>787</v>
      </c>
      <c r="Y2" s="7" t="s">
        <v>763</v>
      </c>
      <c r="Z2" s="7" t="s">
        <v>763</v>
      </c>
      <c r="AA2" s="7" t="s">
        <v>763</v>
      </c>
      <c r="AB2" s="7" t="s">
        <v>763</v>
      </c>
      <c r="AC2" s="7" t="s">
        <v>763</v>
      </c>
      <c r="AD2" s="7" t="s">
        <v>789</v>
      </c>
      <c r="AE2" s="7" t="s">
        <v>1817</v>
      </c>
      <c r="AF2" s="7">
        <v>41.76</v>
      </c>
      <c r="AG2" s="7">
        <f>AF2*AP2</f>
        <v>918.71999999999991</v>
      </c>
      <c r="AH2" s="7">
        <f>AG2*3.65</f>
        <v>3353.3279999999995</v>
      </c>
      <c r="AI2" s="7">
        <f>AF2*3.65</f>
        <v>152.42399999999998</v>
      </c>
      <c r="AJ2" s="7" t="s">
        <v>1818</v>
      </c>
      <c r="AK2" s="7">
        <f>AM2+AN2</f>
        <v>99.485200000000006</v>
      </c>
      <c r="AL2" s="7" t="s">
        <v>763</v>
      </c>
      <c r="AM2" s="7">
        <v>80.23</v>
      </c>
      <c r="AN2" s="7">
        <f>AM2*0.24</f>
        <v>19.255199999999999</v>
      </c>
      <c r="AO2" s="7" t="s">
        <v>763</v>
      </c>
      <c r="AP2" s="7">
        <v>22</v>
      </c>
      <c r="AQ2" s="8">
        <v>33</v>
      </c>
      <c r="AR2" s="7" t="s">
        <v>1118</v>
      </c>
      <c r="AS2" s="7" t="s">
        <v>763</v>
      </c>
    </row>
    <row r="3" spans="1:45" s="8" customFormat="1" x14ac:dyDescent="0.35">
      <c r="A3" s="7">
        <v>70</v>
      </c>
      <c r="B3" s="8" t="s">
        <v>163</v>
      </c>
      <c r="C3" s="8" t="s">
        <v>165</v>
      </c>
      <c r="D3" s="7" t="s">
        <v>751</v>
      </c>
      <c r="E3" s="7">
        <v>2023</v>
      </c>
      <c r="F3" s="7" t="s">
        <v>763</v>
      </c>
      <c r="G3" s="7" t="s">
        <v>753</v>
      </c>
      <c r="H3" s="7" t="s">
        <v>754</v>
      </c>
      <c r="I3" s="8">
        <v>8.5714109999999994</v>
      </c>
      <c r="J3" s="8">
        <v>124.4751</v>
      </c>
      <c r="K3" s="8" t="s">
        <v>1795</v>
      </c>
      <c r="L3" s="7" t="s">
        <v>1112</v>
      </c>
      <c r="M3" s="3" t="s">
        <v>2077</v>
      </c>
      <c r="N3" s="7">
        <v>2080</v>
      </c>
      <c r="O3" s="7">
        <v>25.7</v>
      </c>
      <c r="P3" s="7" t="s">
        <v>763</v>
      </c>
      <c r="Q3" s="8" t="s">
        <v>1113</v>
      </c>
      <c r="R3" s="7" t="s">
        <v>2074</v>
      </c>
      <c r="S3" s="7" t="s">
        <v>914</v>
      </c>
      <c r="T3" s="7" t="s">
        <v>1235</v>
      </c>
      <c r="U3" s="7" t="s">
        <v>764</v>
      </c>
      <c r="V3" s="8" t="s">
        <v>2026</v>
      </c>
      <c r="W3" s="7" t="s">
        <v>766</v>
      </c>
      <c r="X3" s="7" t="s">
        <v>787</v>
      </c>
      <c r="Y3" s="7" t="s">
        <v>763</v>
      </c>
      <c r="Z3" s="7" t="s">
        <v>763</v>
      </c>
      <c r="AA3" s="7" t="s">
        <v>763</v>
      </c>
      <c r="AB3" s="7" t="s">
        <v>763</v>
      </c>
      <c r="AC3" s="7" t="s">
        <v>763</v>
      </c>
      <c r="AD3" s="7" t="s">
        <v>789</v>
      </c>
      <c r="AE3" s="7" t="s">
        <v>1827</v>
      </c>
      <c r="AF3" s="7">
        <v>135.19999999999999</v>
      </c>
      <c r="AG3" s="7">
        <f t="shared" ref="AG3:AG4" si="0">AF3*AP3</f>
        <v>3379.9999999999995</v>
      </c>
      <c r="AH3" s="7">
        <f t="shared" ref="AH3:AH6" si="1">AG3*3.65</f>
        <v>12336.999999999998</v>
      </c>
      <c r="AI3" s="7">
        <f t="shared" ref="AI3:AI8" si="2">AF3*3.65</f>
        <v>493.47999999999996</v>
      </c>
      <c r="AJ3" s="7" t="s">
        <v>1825</v>
      </c>
      <c r="AK3" s="7">
        <f t="shared" ref="AK3:AK4" si="3">AM3+AN3</f>
        <v>318.55599999999998</v>
      </c>
      <c r="AL3" s="7" t="s">
        <v>763</v>
      </c>
      <c r="AM3" s="7">
        <v>256.89999999999998</v>
      </c>
      <c r="AN3" s="7">
        <f t="shared" ref="AN3:AN4" si="4">AM3*0.24</f>
        <v>61.655999999999992</v>
      </c>
      <c r="AO3" s="7" t="s">
        <v>763</v>
      </c>
      <c r="AP3" s="7">
        <v>25</v>
      </c>
      <c r="AQ3" s="8">
        <v>27</v>
      </c>
      <c r="AR3" s="7" t="s">
        <v>1118</v>
      </c>
      <c r="AS3" s="7" t="s">
        <v>763</v>
      </c>
    </row>
    <row r="4" spans="1:45" s="8" customFormat="1" x14ac:dyDescent="0.35">
      <c r="A4" s="7">
        <v>70</v>
      </c>
      <c r="B4" s="8" t="s">
        <v>163</v>
      </c>
      <c r="C4" s="8" t="s">
        <v>165</v>
      </c>
      <c r="D4" s="7" t="s">
        <v>751</v>
      </c>
      <c r="E4" s="7">
        <v>2023</v>
      </c>
      <c r="F4" s="7" t="s">
        <v>763</v>
      </c>
      <c r="G4" s="7" t="s">
        <v>753</v>
      </c>
      <c r="H4" s="7" t="s">
        <v>754</v>
      </c>
      <c r="I4" s="8">
        <v>8.5666670000000007</v>
      </c>
      <c r="J4" s="8">
        <v>124.5167</v>
      </c>
      <c r="K4" s="8" t="s">
        <v>1796</v>
      </c>
      <c r="L4" s="7" t="s">
        <v>1112</v>
      </c>
      <c r="M4" s="3" t="s">
        <v>2077</v>
      </c>
      <c r="N4" s="7">
        <v>2080</v>
      </c>
      <c r="O4">
        <v>24.6</v>
      </c>
      <c r="P4" s="7" t="s">
        <v>763</v>
      </c>
      <c r="Q4" s="8" t="s">
        <v>1113</v>
      </c>
      <c r="R4" s="7" t="s">
        <v>2074</v>
      </c>
      <c r="S4" s="7" t="s">
        <v>914</v>
      </c>
      <c r="T4" s="7" t="s">
        <v>1235</v>
      </c>
      <c r="U4" s="7" t="s">
        <v>764</v>
      </c>
      <c r="V4" s="8" t="s">
        <v>2026</v>
      </c>
      <c r="W4" s="7" t="s">
        <v>766</v>
      </c>
      <c r="X4" s="7" t="s">
        <v>787</v>
      </c>
      <c r="Y4" s="7" t="s">
        <v>763</v>
      </c>
      <c r="Z4" s="7" t="s">
        <v>763</v>
      </c>
      <c r="AA4" s="7" t="s">
        <v>763</v>
      </c>
      <c r="AB4" s="7" t="s">
        <v>763</v>
      </c>
      <c r="AC4" s="7" t="s">
        <v>763</v>
      </c>
      <c r="AD4" s="7" t="s">
        <v>789</v>
      </c>
      <c r="AE4" s="7" t="s">
        <v>1828</v>
      </c>
      <c r="AF4" s="7">
        <v>43.3</v>
      </c>
      <c r="AG4" s="7">
        <f t="shared" si="0"/>
        <v>1082.5</v>
      </c>
      <c r="AH4" s="7">
        <f t="shared" si="1"/>
        <v>3951.125</v>
      </c>
      <c r="AI4" s="7">
        <f t="shared" si="2"/>
        <v>158.04499999999999</v>
      </c>
      <c r="AJ4" s="7" t="s">
        <v>1826</v>
      </c>
      <c r="AK4" s="7">
        <f t="shared" si="3"/>
        <v>101.80399999999999</v>
      </c>
      <c r="AL4" s="7" t="s">
        <v>763</v>
      </c>
      <c r="AM4" s="7">
        <v>82.1</v>
      </c>
      <c r="AN4" s="7">
        <f t="shared" si="4"/>
        <v>19.703999999999997</v>
      </c>
      <c r="AO4" s="7" t="s">
        <v>763</v>
      </c>
      <c r="AP4" s="7">
        <v>25</v>
      </c>
      <c r="AQ4" s="8">
        <v>17</v>
      </c>
      <c r="AR4" s="7" t="s">
        <v>1118</v>
      </c>
      <c r="AS4" s="7" t="s">
        <v>763</v>
      </c>
    </row>
    <row r="5" spans="1:45" s="8" customFormat="1" x14ac:dyDescent="0.35">
      <c r="A5" s="7">
        <v>71</v>
      </c>
      <c r="B5" s="8" t="s">
        <v>639</v>
      </c>
      <c r="C5" s="8" t="s">
        <v>1642</v>
      </c>
      <c r="D5" s="7" t="s">
        <v>751</v>
      </c>
      <c r="E5" s="7">
        <v>2020</v>
      </c>
      <c r="F5" s="7" t="s">
        <v>1641</v>
      </c>
      <c r="G5" s="7" t="s">
        <v>753</v>
      </c>
      <c r="H5" s="7" t="s">
        <v>754</v>
      </c>
      <c r="I5" s="8">
        <v>4.7894439999999996</v>
      </c>
      <c r="J5" s="8">
        <v>6.9730559999999997</v>
      </c>
      <c r="K5" s="8" t="s">
        <v>1797</v>
      </c>
      <c r="L5" s="8" t="s">
        <v>823</v>
      </c>
      <c r="M5" s="8" t="s">
        <v>2098</v>
      </c>
      <c r="N5" s="26">
        <v>2708</v>
      </c>
      <c r="O5" s="8">
        <v>26.4</v>
      </c>
      <c r="P5" s="7" t="s">
        <v>2078</v>
      </c>
      <c r="Q5" s="8" t="s">
        <v>1860</v>
      </c>
      <c r="R5" s="8" t="s">
        <v>1560</v>
      </c>
      <c r="S5" s="7" t="s">
        <v>914</v>
      </c>
      <c r="T5" s="7" t="s">
        <v>1031</v>
      </c>
      <c r="U5" s="7" t="s">
        <v>764</v>
      </c>
      <c r="V5" s="7" t="s">
        <v>2039</v>
      </c>
      <c r="W5" s="7" t="s">
        <v>766</v>
      </c>
      <c r="X5" s="7" t="s">
        <v>787</v>
      </c>
      <c r="Y5" s="7" t="s">
        <v>763</v>
      </c>
      <c r="Z5" s="7" t="s">
        <v>763</v>
      </c>
      <c r="AA5" s="7" t="s">
        <v>763</v>
      </c>
      <c r="AB5" s="7" t="s">
        <v>763</v>
      </c>
      <c r="AC5" s="7" t="s">
        <v>763</v>
      </c>
      <c r="AD5" s="7" t="s">
        <v>768</v>
      </c>
      <c r="AE5" s="8" t="s">
        <v>1829</v>
      </c>
      <c r="AF5" s="8">
        <v>136.15</v>
      </c>
      <c r="AG5" s="8">
        <v>67979.08</v>
      </c>
      <c r="AH5" s="7">
        <f t="shared" si="1"/>
        <v>248123.64199999999</v>
      </c>
      <c r="AI5" s="7">
        <f t="shared" si="2"/>
        <v>496.94749999999999</v>
      </c>
      <c r="AJ5" s="33" t="s">
        <v>1830</v>
      </c>
      <c r="AK5" s="33">
        <f>AL5/AP5</f>
        <v>289.68983421232963</v>
      </c>
      <c r="AL5" s="33">
        <f xml:space="preserve"> 67979.08/0.47</f>
        <v>144636.34042553193</v>
      </c>
      <c r="AM5" s="33">
        <f>(56649.23/0.47)/AP5</f>
        <v>241.40818097208921</v>
      </c>
      <c r="AN5" s="33">
        <f>(11329.85/0.47)/AP5</f>
        <v>48.281653240240423</v>
      </c>
      <c r="AO5" s="7" t="s">
        <v>763</v>
      </c>
      <c r="AP5" s="8">
        <v>499.28</v>
      </c>
      <c r="AQ5" s="8" t="s">
        <v>763</v>
      </c>
      <c r="AR5" s="8" t="s">
        <v>2222</v>
      </c>
      <c r="AS5" s="8" t="s">
        <v>2063</v>
      </c>
    </row>
    <row r="6" spans="1:45" s="8" customFormat="1" x14ac:dyDescent="0.35">
      <c r="A6" s="7">
        <v>71</v>
      </c>
      <c r="B6" s="8" t="s">
        <v>639</v>
      </c>
      <c r="C6" s="8" t="s">
        <v>1642</v>
      </c>
      <c r="D6" s="7" t="s">
        <v>751</v>
      </c>
      <c r="E6" s="7">
        <v>2020</v>
      </c>
      <c r="F6" s="7" t="s">
        <v>1641</v>
      </c>
      <c r="G6" s="7" t="s">
        <v>753</v>
      </c>
      <c r="H6" s="7" t="s">
        <v>754</v>
      </c>
      <c r="I6" s="8">
        <v>8.4991669999999999</v>
      </c>
      <c r="J6" s="8">
        <v>4.5005559999999996</v>
      </c>
      <c r="K6" s="8" t="s">
        <v>1798</v>
      </c>
      <c r="L6" s="8" t="s">
        <v>823</v>
      </c>
      <c r="M6" s="8" t="s">
        <v>2095</v>
      </c>
      <c r="N6" s="8">
        <v>1217</v>
      </c>
      <c r="O6" s="8">
        <v>27.2</v>
      </c>
      <c r="P6" s="7" t="s">
        <v>2078</v>
      </c>
      <c r="Q6" s="7" t="s">
        <v>1861</v>
      </c>
      <c r="R6" s="8" t="s">
        <v>1560</v>
      </c>
      <c r="S6" s="7" t="s">
        <v>914</v>
      </c>
      <c r="T6" s="7" t="s">
        <v>1031</v>
      </c>
      <c r="U6" s="7" t="s">
        <v>764</v>
      </c>
      <c r="V6" s="7" t="s">
        <v>2039</v>
      </c>
      <c r="W6" s="7" t="s">
        <v>766</v>
      </c>
      <c r="X6" s="7" t="s">
        <v>787</v>
      </c>
      <c r="Y6" s="7" t="s">
        <v>763</v>
      </c>
      <c r="Z6" s="7" t="s">
        <v>763</v>
      </c>
      <c r="AA6" s="7" t="s">
        <v>763</v>
      </c>
      <c r="AB6" s="7" t="s">
        <v>763</v>
      </c>
      <c r="AC6" s="7" t="s">
        <v>763</v>
      </c>
      <c r="AD6" s="7" t="s">
        <v>768</v>
      </c>
      <c r="AE6" s="8" t="s">
        <v>1833</v>
      </c>
      <c r="AF6" s="8">
        <v>7.82</v>
      </c>
      <c r="AG6" s="8">
        <v>91512.49</v>
      </c>
      <c r="AH6" s="7">
        <f t="shared" si="1"/>
        <v>334020.58850000001</v>
      </c>
      <c r="AI6" s="7">
        <f t="shared" si="2"/>
        <v>28.542999999999999</v>
      </c>
      <c r="AJ6" s="33" t="s">
        <v>1834</v>
      </c>
      <c r="AK6" s="33">
        <f>AL6/AP6</f>
        <v>83.176310620665092</v>
      </c>
      <c r="AL6" s="33">
        <f xml:space="preserve"> 91512.49/0.47</f>
        <v>194707.42553191492</v>
      </c>
      <c r="AM6" s="33">
        <f>(76260.41/0.47)/AP6</f>
        <v>69.313593698731992</v>
      </c>
      <c r="AN6" s="33">
        <f>(15252.08/0.47)/AP6</f>
        <v>13.862716921933099</v>
      </c>
      <c r="AO6" s="7" t="s">
        <v>763</v>
      </c>
      <c r="AP6" s="8">
        <v>2340.9</v>
      </c>
      <c r="AQ6" s="8" t="s">
        <v>763</v>
      </c>
      <c r="AR6" s="8" t="s">
        <v>2242</v>
      </c>
      <c r="AS6" s="8" t="s">
        <v>2064</v>
      </c>
    </row>
    <row r="7" spans="1:45" s="8" customFormat="1" x14ac:dyDescent="0.35">
      <c r="A7" s="7">
        <v>72</v>
      </c>
      <c r="B7" s="8" t="s">
        <v>707</v>
      </c>
      <c r="C7" s="8" t="s">
        <v>709</v>
      </c>
      <c r="D7" s="7" t="s">
        <v>751</v>
      </c>
      <c r="E7" s="7">
        <v>2017</v>
      </c>
      <c r="F7" s="7" t="s">
        <v>763</v>
      </c>
      <c r="G7" s="7" t="s">
        <v>753</v>
      </c>
      <c r="H7" s="7" t="s">
        <v>754</v>
      </c>
      <c r="I7" s="8">
        <v>13.583333</v>
      </c>
      <c r="J7" s="8">
        <v>2.25</v>
      </c>
      <c r="K7" s="8" t="s">
        <v>1799</v>
      </c>
      <c r="L7" s="8" t="s">
        <v>1729</v>
      </c>
      <c r="M7" s="8" t="s">
        <v>2097</v>
      </c>
      <c r="N7" s="8">
        <v>340</v>
      </c>
      <c r="O7">
        <v>29.1</v>
      </c>
      <c r="P7" s="7" t="s">
        <v>763</v>
      </c>
      <c r="Q7" s="8" t="s">
        <v>1337</v>
      </c>
      <c r="R7" s="8" t="s">
        <v>2167</v>
      </c>
      <c r="S7" s="7" t="s">
        <v>914</v>
      </c>
      <c r="T7" s="7" t="s">
        <v>865</v>
      </c>
      <c r="U7" s="7" t="s">
        <v>764</v>
      </c>
      <c r="V7" s="7" t="s">
        <v>2026</v>
      </c>
      <c r="W7" s="7" t="s">
        <v>766</v>
      </c>
      <c r="X7" s="7" t="s">
        <v>787</v>
      </c>
      <c r="Y7" s="7" t="s">
        <v>763</v>
      </c>
      <c r="Z7" s="7" t="s">
        <v>763</v>
      </c>
      <c r="AA7" s="7" t="s">
        <v>763</v>
      </c>
      <c r="AB7" s="7" t="s">
        <v>763</v>
      </c>
      <c r="AC7" s="7" t="s">
        <v>763</v>
      </c>
      <c r="AD7" s="7" t="s">
        <v>768</v>
      </c>
      <c r="AE7" s="8" t="s">
        <v>2099</v>
      </c>
      <c r="AF7" s="8">
        <v>17.809999999999999</v>
      </c>
      <c r="AG7" s="8" t="s">
        <v>763</v>
      </c>
      <c r="AH7" s="7" t="s">
        <v>763</v>
      </c>
      <c r="AI7" s="7">
        <f>AF7*3.65</f>
        <v>65.006499999999988</v>
      </c>
      <c r="AJ7" s="8" t="s">
        <v>2102</v>
      </c>
      <c r="AK7" s="8">
        <f>AM7+AN7</f>
        <v>37.596800000000002</v>
      </c>
      <c r="AL7" s="8" t="s">
        <v>763</v>
      </c>
      <c r="AM7" s="8">
        <v>30.32</v>
      </c>
      <c r="AN7" s="8">
        <f>AM7*0.24</f>
        <v>7.2767999999999997</v>
      </c>
      <c r="AO7" s="7" t="s">
        <v>763</v>
      </c>
      <c r="AP7" s="8" t="s">
        <v>763</v>
      </c>
      <c r="AQ7" s="8" t="s">
        <v>763</v>
      </c>
      <c r="AR7" t="s">
        <v>2243</v>
      </c>
      <c r="AS7" s="8" t="s">
        <v>763</v>
      </c>
    </row>
    <row r="8" spans="1:45" s="8" customFormat="1" x14ac:dyDescent="0.35">
      <c r="A8" s="7">
        <v>72</v>
      </c>
      <c r="B8" s="8" t="s">
        <v>707</v>
      </c>
      <c r="C8" s="8" t="s">
        <v>709</v>
      </c>
      <c r="D8" s="7" t="s">
        <v>751</v>
      </c>
      <c r="E8" s="7">
        <v>2018</v>
      </c>
      <c r="F8" s="7" t="s">
        <v>763</v>
      </c>
      <c r="G8" s="7" t="s">
        <v>753</v>
      </c>
      <c r="H8" s="7" t="s">
        <v>754</v>
      </c>
      <c r="I8" s="8">
        <v>13.583333</v>
      </c>
      <c r="J8" s="8">
        <v>2.25</v>
      </c>
      <c r="K8" s="8" t="s">
        <v>1799</v>
      </c>
      <c r="L8" s="8" t="s">
        <v>1729</v>
      </c>
      <c r="M8" s="8" t="s">
        <v>2097</v>
      </c>
      <c r="N8" s="8">
        <v>340</v>
      </c>
      <c r="O8">
        <v>29.1</v>
      </c>
      <c r="P8" s="7" t="s">
        <v>763</v>
      </c>
      <c r="Q8" s="8" t="s">
        <v>1337</v>
      </c>
      <c r="R8" s="8" t="s">
        <v>2166</v>
      </c>
      <c r="S8" s="7" t="s">
        <v>914</v>
      </c>
      <c r="T8" s="7" t="s">
        <v>1031</v>
      </c>
      <c r="U8" s="7" t="s">
        <v>764</v>
      </c>
      <c r="V8" s="7" t="s">
        <v>2026</v>
      </c>
      <c r="W8" s="7" t="s">
        <v>766</v>
      </c>
      <c r="X8" s="7" t="s">
        <v>787</v>
      </c>
      <c r="Y8" s="7" t="s">
        <v>763</v>
      </c>
      <c r="Z8" s="7" t="s">
        <v>763</v>
      </c>
      <c r="AA8" s="7" t="s">
        <v>763</v>
      </c>
      <c r="AB8" s="7" t="s">
        <v>763</v>
      </c>
      <c r="AC8" s="7" t="s">
        <v>763</v>
      </c>
      <c r="AD8" s="7" t="s">
        <v>768</v>
      </c>
      <c r="AE8" s="8" t="s">
        <v>2100</v>
      </c>
      <c r="AF8" s="7">
        <f>185.81/5</f>
        <v>37.161999999999999</v>
      </c>
      <c r="AG8" s="7" t="s">
        <v>763</v>
      </c>
      <c r="AH8" s="7" t="s">
        <v>763</v>
      </c>
      <c r="AI8" s="7">
        <f t="shared" si="2"/>
        <v>135.6413</v>
      </c>
      <c r="AJ8" s="7" t="s">
        <v>2103</v>
      </c>
      <c r="AK8" s="8">
        <f>AM8+AN8</f>
        <v>80.96208</v>
      </c>
      <c r="AL8" s="7" t="s">
        <v>763</v>
      </c>
      <c r="AM8" s="7">
        <f>326.46/5</f>
        <v>65.292000000000002</v>
      </c>
      <c r="AN8" s="8">
        <f>AM8*0.24</f>
        <v>15.67008</v>
      </c>
      <c r="AO8" s="7" t="s">
        <v>763</v>
      </c>
      <c r="AP8" s="8" t="s">
        <v>763</v>
      </c>
      <c r="AQ8" s="8" t="s">
        <v>763</v>
      </c>
      <c r="AR8" t="s">
        <v>2243</v>
      </c>
      <c r="AS8" s="8" t="s">
        <v>763</v>
      </c>
    </row>
    <row r="9" spans="1:45" s="14" customFormat="1" x14ac:dyDescent="0.35">
      <c r="A9" s="7">
        <v>72</v>
      </c>
      <c r="B9" s="14" t="s">
        <v>707</v>
      </c>
      <c r="C9" s="14" t="s">
        <v>709</v>
      </c>
      <c r="D9" s="13" t="s">
        <v>751</v>
      </c>
      <c r="E9" s="13">
        <v>2019</v>
      </c>
      <c r="F9" s="13" t="s">
        <v>763</v>
      </c>
      <c r="G9" s="13" t="s">
        <v>753</v>
      </c>
      <c r="H9" s="13" t="s">
        <v>754</v>
      </c>
      <c r="I9" s="14">
        <v>13.583333</v>
      </c>
      <c r="J9" s="14">
        <v>2.25</v>
      </c>
      <c r="K9" s="14" t="s">
        <v>1799</v>
      </c>
      <c r="L9" s="14" t="s">
        <v>1729</v>
      </c>
      <c r="M9" s="14" t="s">
        <v>2097</v>
      </c>
      <c r="N9" s="14">
        <v>340</v>
      </c>
      <c r="O9" s="37">
        <v>29.1</v>
      </c>
      <c r="P9" s="13" t="s">
        <v>763</v>
      </c>
      <c r="Q9" s="14" t="s">
        <v>1337</v>
      </c>
      <c r="R9" s="14" t="s">
        <v>1736</v>
      </c>
      <c r="S9" s="13" t="s">
        <v>914</v>
      </c>
      <c r="T9" s="13" t="s">
        <v>1397</v>
      </c>
      <c r="U9" s="13" t="s">
        <v>764</v>
      </c>
      <c r="V9" s="13" t="s">
        <v>2026</v>
      </c>
      <c r="W9" s="13" t="s">
        <v>766</v>
      </c>
      <c r="X9" s="13" t="s">
        <v>787</v>
      </c>
      <c r="Y9" s="13" t="s">
        <v>763</v>
      </c>
      <c r="Z9" s="13" t="s">
        <v>763</v>
      </c>
      <c r="AA9" s="13" t="s">
        <v>763</v>
      </c>
      <c r="AB9" s="13" t="s">
        <v>763</v>
      </c>
      <c r="AC9" s="13" t="s">
        <v>763</v>
      </c>
      <c r="AD9" s="13" t="s">
        <v>768</v>
      </c>
      <c r="AE9" s="14" t="s">
        <v>1841</v>
      </c>
      <c r="AF9" s="13" t="s">
        <v>2068</v>
      </c>
      <c r="AG9" s="13" t="s">
        <v>763</v>
      </c>
      <c r="AH9" s="13" t="s">
        <v>763</v>
      </c>
      <c r="AI9" s="13" t="s">
        <v>763</v>
      </c>
      <c r="AJ9" s="13" t="s">
        <v>1839</v>
      </c>
      <c r="AK9" s="13" t="s">
        <v>763</v>
      </c>
      <c r="AL9" s="13" t="s">
        <v>763</v>
      </c>
      <c r="AM9" s="13" t="s">
        <v>1839</v>
      </c>
      <c r="AN9" s="14" t="s">
        <v>763</v>
      </c>
      <c r="AO9" s="7" t="s">
        <v>763</v>
      </c>
      <c r="AP9" s="14">
        <v>30.7</v>
      </c>
      <c r="AQ9" s="14" t="s">
        <v>763</v>
      </c>
      <c r="AR9" s="37" t="s">
        <v>2243</v>
      </c>
      <c r="AS9" s="14" t="s">
        <v>2065</v>
      </c>
    </row>
    <row r="10" spans="1:45" s="8" customFormat="1" x14ac:dyDescent="0.35">
      <c r="A10" s="7">
        <v>72</v>
      </c>
      <c r="B10" s="8" t="s">
        <v>707</v>
      </c>
      <c r="C10" s="8" t="s">
        <v>709</v>
      </c>
      <c r="D10" s="7" t="s">
        <v>751</v>
      </c>
      <c r="E10" s="7">
        <v>2017</v>
      </c>
      <c r="F10" s="7" t="s">
        <v>763</v>
      </c>
      <c r="G10" s="7" t="s">
        <v>753</v>
      </c>
      <c r="H10" s="7" t="s">
        <v>754</v>
      </c>
      <c r="I10" s="8">
        <v>13.533333000000001</v>
      </c>
      <c r="J10" s="8">
        <v>7.6666670000000003</v>
      </c>
      <c r="K10" s="8" t="s">
        <v>1800</v>
      </c>
      <c r="L10" s="8" t="s">
        <v>1729</v>
      </c>
      <c r="M10" s="8" t="s">
        <v>2097</v>
      </c>
      <c r="N10" s="8">
        <v>340</v>
      </c>
      <c r="O10">
        <v>27.8</v>
      </c>
      <c r="P10" s="7" t="s">
        <v>763</v>
      </c>
      <c r="Q10" s="8" t="s">
        <v>1337</v>
      </c>
      <c r="R10" s="8" t="s">
        <v>833</v>
      </c>
      <c r="S10" s="7" t="s">
        <v>914</v>
      </c>
      <c r="T10" s="7" t="s">
        <v>865</v>
      </c>
      <c r="U10" s="7" t="s">
        <v>764</v>
      </c>
      <c r="V10" s="7" t="s">
        <v>2026</v>
      </c>
      <c r="W10" s="7" t="s">
        <v>766</v>
      </c>
      <c r="X10" s="7" t="s">
        <v>787</v>
      </c>
      <c r="Y10" s="7" t="s">
        <v>763</v>
      </c>
      <c r="Z10" s="7" t="s">
        <v>763</v>
      </c>
      <c r="AA10" s="7" t="s">
        <v>763</v>
      </c>
      <c r="AB10" s="7" t="s">
        <v>763</v>
      </c>
      <c r="AC10" s="7" t="s">
        <v>763</v>
      </c>
      <c r="AD10" s="7" t="s">
        <v>768</v>
      </c>
      <c r="AE10" s="8" t="s">
        <v>2101</v>
      </c>
      <c r="AF10" s="7">
        <f>24.61/2</f>
        <v>12.305</v>
      </c>
      <c r="AG10" s="7" t="s">
        <v>763</v>
      </c>
      <c r="AH10" s="7" t="s">
        <v>763</v>
      </c>
      <c r="AI10" s="7">
        <f>AF10*3.65</f>
        <v>44.913249999999998</v>
      </c>
      <c r="AJ10" s="7" t="s">
        <v>2105</v>
      </c>
      <c r="AK10" s="7">
        <f>AM10+AN10</f>
        <v>25.959399999999999</v>
      </c>
      <c r="AL10" s="7" t="s">
        <v>763</v>
      </c>
      <c r="AM10" s="7">
        <f>41.87/2</f>
        <v>20.934999999999999</v>
      </c>
      <c r="AN10" s="8">
        <f>AM10*0.24</f>
        <v>5.0243999999999991</v>
      </c>
      <c r="AO10" s="7" t="s">
        <v>763</v>
      </c>
      <c r="AP10" s="8" t="s">
        <v>763</v>
      </c>
      <c r="AQ10" s="8" t="s">
        <v>763</v>
      </c>
      <c r="AR10" t="s">
        <v>2243</v>
      </c>
      <c r="AS10" s="8" t="s">
        <v>763</v>
      </c>
    </row>
    <row r="11" spans="1:45" s="8" customFormat="1" x14ac:dyDescent="0.35">
      <c r="A11" s="7">
        <v>72</v>
      </c>
      <c r="B11" s="8" t="s">
        <v>707</v>
      </c>
      <c r="C11" s="8" t="s">
        <v>709</v>
      </c>
      <c r="D11" s="7" t="s">
        <v>751</v>
      </c>
      <c r="E11" s="7">
        <v>2018</v>
      </c>
      <c r="F11" s="7" t="s">
        <v>763</v>
      </c>
      <c r="G11" s="7" t="s">
        <v>753</v>
      </c>
      <c r="H11" s="7" t="s">
        <v>754</v>
      </c>
      <c r="I11" s="8">
        <v>13.533333000000001</v>
      </c>
      <c r="J11" s="8">
        <v>7.6666670000000003</v>
      </c>
      <c r="K11" s="8" t="s">
        <v>1800</v>
      </c>
      <c r="L11" s="8" t="s">
        <v>1729</v>
      </c>
      <c r="M11" s="8" t="s">
        <v>2097</v>
      </c>
      <c r="N11" s="8">
        <v>340</v>
      </c>
      <c r="O11">
        <v>27.8</v>
      </c>
      <c r="P11" s="7" t="s">
        <v>763</v>
      </c>
      <c r="Q11" s="8" t="s">
        <v>1337</v>
      </c>
      <c r="R11" s="8" t="s">
        <v>2166</v>
      </c>
      <c r="S11" s="7" t="s">
        <v>914</v>
      </c>
      <c r="T11" s="7" t="s">
        <v>1031</v>
      </c>
      <c r="U11" s="7" t="s">
        <v>764</v>
      </c>
      <c r="V11" s="7" t="s">
        <v>2026</v>
      </c>
      <c r="W11" s="7" t="s">
        <v>766</v>
      </c>
      <c r="X11" s="7" t="s">
        <v>787</v>
      </c>
      <c r="Y11" s="7" t="s">
        <v>763</v>
      </c>
      <c r="Z11" s="7" t="s">
        <v>763</v>
      </c>
      <c r="AA11" s="7" t="s">
        <v>763</v>
      </c>
      <c r="AB11" s="7" t="s">
        <v>763</v>
      </c>
      <c r="AC11" s="7" t="s">
        <v>763</v>
      </c>
      <c r="AD11" s="7" t="s">
        <v>768</v>
      </c>
      <c r="AE11" s="8" t="s">
        <v>2208</v>
      </c>
      <c r="AF11" s="7">
        <f>383.51/5</f>
        <v>76.701999999999998</v>
      </c>
      <c r="AG11" s="7" t="s">
        <v>763</v>
      </c>
      <c r="AH11" s="7" t="s">
        <v>763</v>
      </c>
      <c r="AI11" s="7">
        <f>AF11*3.65</f>
        <v>279.96229999999997</v>
      </c>
      <c r="AJ11" s="7" t="s">
        <v>2104</v>
      </c>
      <c r="AK11" s="7">
        <f>AM11+AN11</f>
        <v>161.87456</v>
      </c>
      <c r="AL11" s="7" t="s">
        <v>763</v>
      </c>
      <c r="AM11" s="7">
        <f>652.72/5</f>
        <v>130.54400000000001</v>
      </c>
      <c r="AN11" s="8">
        <f>AM11*0.24</f>
        <v>31.330560000000002</v>
      </c>
      <c r="AO11" s="7" t="s">
        <v>763</v>
      </c>
      <c r="AP11" s="8" t="s">
        <v>763</v>
      </c>
      <c r="AQ11" s="8" t="s">
        <v>763</v>
      </c>
      <c r="AR11" t="s">
        <v>2243</v>
      </c>
      <c r="AS11" s="8" t="s">
        <v>763</v>
      </c>
    </row>
    <row r="12" spans="1:45" s="14" customFormat="1" x14ac:dyDescent="0.35">
      <c r="A12" s="7">
        <v>72</v>
      </c>
      <c r="B12" s="14" t="s">
        <v>707</v>
      </c>
      <c r="C12" s="14" t="s">
        <v>709</v>
      </c>
      <c r="D12" s="13" t="s">
        <v>751</v>
      </c>
      <c r="E12" s="13">
        <v>2019</v>
      </c>
      <c r="F12" s="13" t="s">
        <v>763</v>
      </c>
      <c r="G12" s="13" t="s">
        <v>753</v>
      </c>
      <c r="H12" s="13" t="s">
        <v>754</v>
      </c>
      <c r="I12" s="14">
        <v>13.533333000000001</v>
      </c>
      <c r="J12" s="14">
        <v>7.6666670000000003</v>
      </c>
      <c r="K12" s="14" t="s">
        <v>1800</v>
      </c>
      <c r="L12" s="14" t="s">
        <v>1729</v>
      </c>
      <c r="M12" s="14" t="s">
        <v>2097</v>
      </c>
      <c r="N12" s="14">
        <v>340</v>
      </c>
      <c r="O12" s="37">
        <v>27.8</v>
      </c>
      <c r="P12" s="13" t="s">
        <v>763</v>
      </c>
      <c r="Q12" s="14" t="s">
        <v>1337</v>
      </c>
      <c r="R12" s="14" t="s">
        <v>1736</v>
      </c>
      <c r="S12" s="13" t="s">
        <v>914</v>
      </c>
      <c r="T12" s="13" t="s">
        <v>1397</v>
      </c>
      <c r="U12" s="13" t="s">
        <v>764</v>
      </c>
      <c r="V12" s="13" t="s">
        <v>2026</v>
      </c>
      <c r="W12" s="13" t="s">
        <v>766</v>
      </c>
      <c r="X12" s="13" t="s">
        <v>787</v>
      </c>
      <c r="Y12" s="13" t="s">
        <v>763</v>
      </c>
      <c r="Z12" s="13" t="s">
        <v>763</v>
      </c>
      <c r="AA12" s="13" t="s">
        <v>763</v>
      </c>
      <c r="AB12" s="13" t="s">
        <v>763</v>
      </c>
      <c r="AC12" s="13" t="s">
        <v>763</v>
      </c>
      <c r="AD12" s="13" t="s">
        <v>768</v>
      </c>
      <c r="AE12" s="14" t="s">
        <v>1842</v>
      </c>
      <c r="AF12" s="14" t="s">
        <v>2069</v>
      </c>
      <c r="AG12" s="14" t="s">
        <v>763</v>
      </c>
      <c r="AH12" s="13" t="s">
        <v>763</v>
      </c>
      <c r="AI12" s="13" t="s">
        <v>763</v>
      </c>
      <c r="AJ12" s="14" t="s">
        <v>1840</v>
      </c>
      <c r="AK12" s="14" t="s">
        <v>1840</v>
      </c>
      <c r="AL12" s="14" t="s">
        <v>763</v>
      </c>
      <c r="AM12" s="14" t="s">
        <v>1840</v>
      </c>
      <c r="AN12" s="14" t="s">
        <v>763</v>
      </c>
      <c r="AO12" s="7" t="s">
        <v>763</v>
      </c>
      <c r="AP12" s="14">
        <v>20.25</v>
      </c>
      <c r="AQ12" s="14" t="s">
        <v>763</v>
      </c>
      <c r="AR12" s="37" t="s">
        <v>2243</v>
      </c>
      <c r="AS12" s="14" t="s">
        <v>2066</v>
      </c>
    </row>
    <row r="13" spans="1:45" x14ac:dyDescent="0.35">
      <c r="A13" s="3">
        <v>69</v>
      </c>
      <c r="B13" t="s">
        <v>712</v>
      </c>
      <c r="C13" t="s">
        <v>714</v>
      </c>
      <c r="D13" s="7" t="s">
        <v>751</v>
      </c>
      <c r="E13" s="7">
        <v>2025</v>
      </c>
      <c r="F13" s="7" t="s">
        <v>1742</v>
      </c>
      <c r="G13" s="7" t="s">
        <v>795</v>
      </c>
      <c r="H13" s="7" t="s">
        <v>776</v>
      </c>
      <c r="I13">
        <v>-10.9095</v>
      </c>
      <c r="J13">
        <v>-37.074800000000003</v>
      </c>
      <c r="K13" t="s">
        <v>1801</v>
      </c>
      <c r="L13" s="8" t="s">
        <v>846</v>
      </c>
      <c r="M13" s="8" t="s">
        <v>2098</v>
      </c>
      <c r="N13" s="3">
        <v>1222</v>
      </c>
      <c r="O13" s="3">
        <v>24.5</v>
      </c>
      <c r="P13" s="3" t="s">
        <v>763</v>
      </c>
      <c r="Q13" s="8" t="s">
        <v>850</v>
      </c>
      <c r="R13" s="8" t="s">
        <v>1560</v>
      </c>
      <c r="S13" s="3" t="s">
        <v>914</v>
      </c>
      <c r="T13" s="7" t="s">
        <v>1031</v>
      </c>
      <c r="U13" s="7" t="s">
        <v>1745</v>
      </c>
      <c r="V13" s="7" t="s">
        <v>1744</v>
      </c>
      <c r="W13" s="7" t="s">
        <v>2165</v>
      </c>
      <c r="X13" s="7" t="s">
        <v>787</v>
      </c>
      <c r="Y13" s="8" t="s">
        <v>1846</v>
      </c>
      <c r="Z13" s="8">
        <v>5320</v>
      </c>
      <c r="AA13" s="8">
        <f>Z13/AP13</f>
        <v>0.62906468014662409</v>
      </c>
      <c r="AB13" s="7">
        <v>19500</v>
      </c>
      <c r="AC13" s="7">
        <f>AB13/AP13</f>
        <v>2.3057821922667614</v>
      </c>
      <c r="AD13" s="7" t="s">
        <v>768</v>
      </c>
      <c r="AE13" s="8" t="s">
        <v>1866</v>
      </c>
      <c r="AF13" s="8">
        <f>AG13/AP13</f>
        <v>12.989239683102754</v>
      </c>
      <c r="AG13" s="8">
        <v>109850</v>
      </c>
      <c r="AH13" s="8">
        <v>402780</v>
      </c>
      <c r="AI13" s="8">
        <f>AH13/AP13</f>
        <v>47.626818020574675</v>
      </c>
      <c r="AJ13" s="8" t="s">
        <v>763</v>
      </c>
      <c r="AK13" s="8">
        <f>AF13/0.47</f>
        <v>27.636680176814373</v>
      </c>
      <c r="AL13" s="8">
        <f>AG13/0.47</f>
        <v>233723.40425531915</v>
      </c>
      <c r="AM13" s="7">
        <f>AK13/1.24</f>
        <v>22.287645303882559</v>
      </c>
      <c r="AN13" s="7">
        <f>AM13*0.24</f>
        <v>5.3490348729318145</v>
      </c>
      <c r="AO13" s="7" t="s">
        <v>763</v>
      </c>
      <c r="AP13">
        <v>8457</v>
      </c>
      <c r="AQ13" s="8" t="s">
        <v>763</v>
      </c>
      <c r="AR13" s="8" t="s">
        <v>763</v>
      </c>
      <c r="AS13" s="8" t="s">
        <v>763</v>
      </c>
    </row>
    <row r="14" spans="1:45" x14ac:dyDescent="0.35">
      <c r="A14" s="3">
        <v>69</v>
      </c>
      <c r="B14" t="s">
        <v>712</v>
      </c>
      <c r="C14" t="s">
        <v>714</v>
      </c>
      <c r="D14" s="7" t="s">
        <v>751</v>
      </c>
      <c r="E14" s="7">
        <v>2025</v>
      </c>
      <c r="F14" s="7" t="s">
        <v>1742</v>
      </c>
      <c r="G14" s="7" t="s">
        <v>795</v>
      </c>
      <c r="H14" s="7" t="s">
        <v>776</v>
      </c>
      <c r="I14">
        <v>-19.916699999999999</v>
      </c>
      <c r="J14">
        <v>-43.933300000000003</v>
      </c>
      <c r="K14" t="s">
        <v>1802</v>
      </c>
      <c r="L14" s="8" t="s">
        <v>846</v>
      </c>
      <c r="M14" t="s">
        <v>2092</v>
      </c>
      <c r="N14" s="3">
        <v>1205</v>
      </c>
      <c r="O14" s="3">
        <v>20.8</v>
      </c>
      <c r="P14" s="3" t="s">
        <v>763</v>
      </c>
      <c r="Q14" s="8" t="s">
        <v>850</v>
      </c>
      <c r="R14" s="8" t="s">
        <v>1560</v>
      </c>
      <c r="S14" s="3" t="s">
        <v>914</v>
      </c>
      <c r="T14" s="7" t="s">
        <v>1031</v>
      </c>
      <c r="U14" s="7" t="s">
        <v>1745</v>
      </c>
      <c r="V14" s="7" t="s">
        <v>1744</v>
      </c>
      <c r="W14" s="7" t="s">
        <v>2165</v>
      </c>
      <c r="X14" s="7" t="s">
        <v>787</v>
      </c>
      <c r="Y14" s="8" t="s">
        <v>1847</v>
      </c>
      <c r="Z14" s="8">
        <v>17200</v>
      </c>
      <c r="AA14" s="8">
        <f t="shared" ref="AA14:AA28" si="5">Z14/AP14</f>
        <v>0.6276455991826011</v>
      </c>
      <c r="AB14" s="7">
        <v>63060</v>
      </c>
      <c r="AC14" s="7">
        <f t="shared" ref="AC14:AC28" si="6">AB14/AP14</f>
        <v>2.3011239235148153</v>
      </c>
      <c r="AD14" s="7" t="s">
        <v>768</v>
      </c>
      <c r="AE14" s="8" t="s">
        <v>1867</v>
      </c>
      <c r="AF14" s="8">
        <f t="shared" ref="AF14:AF28" si="7">AG14/AP14</f>
        <v>12.964165815209459</v>
      </c>
      <c r="AG14" s="8">
        <v>355270</v>
      </c>
      <c r="AH14" s="8">
        <v>1302640</v>
      </c>
      <c r="AI14" s="8">
        <f t="shared" ref="AI14:AI28" si="8">AH14/AP14</f>
        <v>47.534666472047874</v>
      </c>
      <c r="AJ14" s="8" t="s">
        <v>763</v>
      </c>
      <c r="AK14" s="8">
        <f t="shared" ref="AK14:AL28" si="9">AF14/0.47</f>
        <v>27.583331521722254</v>
      </c>
      <c r="AL14" s="8">
        <f t="shared" si="9"/>
        <v>755893.61702127662</v>
      </c>
      <c r="AM14" s="7">
        <f t="shared" ref="AM14:AM28" si="10">AK14/1.24</f>
        <v>22.244622194937303</v>
      </c>
      <c r="AN14" s="7">
        <f t="shared" ref="AN14:AN28" si="11">AM14*0.24</f>
        <v>5.3387093267849526</v>
      </c>
      <c r="AO14" s="7" t="s">
        <v>763</v>
      </c>
      <c r="AP14">
        <v>27404</v>
      </c>
      <c r="AQ14" s="8" t="s">
        <v>763</v>
      </c>
      <c r="AR14" s="8" t="s">
        <v>763</v>
      </c>
      <c r="AS14" s="8" t="s">
        <v>763</v>
      </c>
    </row>
    <row r="15" spans="1:45" x14ac:dyDescent="0.35">
      <c r="A15" s="3">
        <v>69</v>
      </c>
      <c r="B15" t="s">
        <v>712</v>
      </c>
      <c r="C15" t="s">
        <v>714</v>
      </c>
      <c r="D15" s="7" t="s">
        <v>751</v>
      </c>
      <c r="E15" s="7">
        <v>2025</v>
      </c>
      <c r="F15" s="7" t="s">
        <v>1742</v>
      </c>
      <c r="G15" s="7" t="s">
        <v>795</v>
      </c>
      <c r="H15" s="7" t="s">
        <v>776</v>
      </c>
      <c r="I15">
        <v>-12.697800000000001</v>
      </c>
      <c r="J15">
        <v>-38.324199999999998</v>
      </c>
      <c r="K15" t="s">
        <v>1803</v>
      </c>
      <c r="L15" s="8" t="s">
        <v>846</v>
      </c>
      <c r="M15" s="8" t="s">
        <v>2095</v>
      </c>
      <c r="N15">
        <v>919</v>
      </c>
      <c r="O15" s="3">
        <v>25.4</v>
      </c>
      <c r="P15" s="3" t="s">
        <v>763</v>
      </c>
      <c r="Q15" s="8" t="s">
        <v>850</v>
      </c>
      <c r="R15" s="8" t="s">
        <v>1560</v>
      </c>
      <c r="S15" s="3" t="s">
        <v>914</v>
      </c>
      <c r="T15" s="7" t="s">
        <v>1031</v>
      </c>
      <c r="U15" s="7" t="s">
        <v>1745</v>
      </c>
      <c r="V15" s="7" t="s">
        <v>1744</v>
      </c>
      <c r="W15" s="7" t="s">
        <v>2165</v>
      </c>
      <c r="X15" s="7" t="s">
        <v>787</v>
      </c>
      <c r="Y15" s="8" t="s">
        <v>1848</v>
      </c>
      <c r="Z15" s="8">
        <v>21210</v>
      </c>
      <c r="AA15" s="8">
        <f t="shared" si="5"/>
        <v>2.070682417260568</v>
      </c>
      <c r="AB15" s="7">
        <v>77790</v>
      </c>
      <c r="AC15" s="7">
        <f t="shared" si="6"/>
        <v>7.5944547495850827</v>
      </c>
      <c r="AD15" s="7" t="s">
        <v>768</v>
      </c>
      <c r="AE15" s="8" t="s">
        <v>1868</v>
      </c>
      <c r="AF15" s="8">
        <f t="shared" si="7"/>
        <v>42.785316801718245</v>
      </c>
      <c r="AG15" s="8">
        <v>438250</v>
      </c>
      <c r="AH15" s="8">
        <v>1606900</v>
      </c>
      <c r="AI15" s="8">
        <f t="shared" si="8"/>
        <v>156.8778678121644</v>
      </c>
      <c r="AJ15" s="8" t="s">
        <v>763</v>
      </c>
      <c r="AK15" s="8">
        <f t="shared" si="9"/>
        <v>91.032588939826056</v>
      </c>
      <c r="AL15" s="8">
        <f t="shared" si="9"/>
        <v>932446.80851063831</v>
      </c>
      <c r="AM15" s="7">
        <f t="shared" si="10"/>
        <v>73.413378177279071</v>
      </c>
      <c r="AN15" s="7">
        <f t="shared" si="11"/>
        <v>17.619210762546977</v>
      </c>
      <c r="AO15" s="7" t="s">
        <v>763</v>
      </c>
      <c r="AP15">
        <v>10243</v>
      </c>
      <c r="AQ15" s="8" t="s">
        <v>763</v>
      </c>
      <c r="AR15" s="8" t="s">
        <v>763</v>
      </c>
      <c r="AS15" s="8" t="s">
        <v>763</v>
      </c>
    </row>
    <row r="16" spans="1:45" x14ac:dyDescent="0.35">
      <c r="A16" s="3">
        <v>69</v>
      </c>
      <c r="B16" t="s">
        <v>712</v>
      </c>
      <c r="C16" t="s">
        <v>714</v>
      </c>
      <c r="D16" s="7" t="s">
        <v>751</v>
      </c>
      <c r="E16" s="7">
        <v>2025</v>
      </c>
      <c r="F16" s="7" t="s">
        <v>1742</v>
      </c>
      <c r="G16" s="7" t="s">
        <v>795</v>
      </c>
      <c r="H16" s="7" t="s">
        <v>776</v>
      </c>
      <c r="I16">
        <v>-21.752199999999998</v>
      </c>
      <c r="J16">
        <v>-41.324399999999997</v>
      </c>
      <c r="K16" t="s">
        <v>1804</v>
      </c>
      <c r="L16" s="8" t="s">
        <v>846</v>
      </c>
      <c r="M16" s="8" t="s">
        <v>2095</v>
      </c>
      <c r="N16" s="3">
        <v>1112</v>
      </c>
      <c r="O16">
        <v>23.9</v>
      </c>
      <c r="P16" s="3" t="s">
        <v>763</v>
      </c>
      <c r="Q16" s="8" t="s">
        <v>850</v>
      </c>
      <c r="R16" s="8" t="s">
        <v>1560</v>
      </c>
      <c r="S16" s="3" t="s">
        <v>914</v>
      </c>
      <c r="T16" s="7" t="s">
        <v>1031</v>
      </c>
      <c r="U16" s="7" t="s">
        <v>1745</v>
      </c>
      <c r="V16" s="7" t="s">
        <v>1744</v>
      </c>
      <c r="W16" s="7" t="s">
        <v>2165</v>
      </c>
      <c r="X16" s="7" t="s">
        <v>787</v>
      </c>
      <c r="Y16" s="8" t="s">
        <v>1849</v>
      </c>
      <c r="Z16" s="8">
        <v>10630</v>
      </c>
      <c r="AA16" s="8">
        <f t="shared" si="5"/>
        <v>1.1169486182620574</v>
      </c>
      <c r="AB16" s="7">
        <v>38970</v>
      </c>
      <c r="AC16" s="7">
        <f t="shared" si="6"/>
        <v>4.0947777661027631</v>
      </c>
      <c r="AD16" s="7" t="s">
        <v>768</v>
      </c>
      <c r="AE16" s="8" t="s">
        <v>1869</v>
      </c>
      <c r="AF16" s="8">
        <f t="shared" si="7"/>
        <v>23.068193758537355</v>
      </c>
      <c r="AG16" s="8">
        <v>219540</v>
      </c>
      <c r="AH16" s="8">
        <v>804990</v>
      </c>
      <c r="AI16" s="8">
        <f t="shared" si="8"/>
        <v>84.584427865924141</v>
      </c>
      <c r="AJ16" s="8" t="s">
        <v>763</v>
      </c>
      <c r="AK16" s="8">
        <f t="shared" si="9"/>
        <v>49.081263316036924</v>
      </c>
      <c r="AL16" s="8">
        <f t="shared" si="9"/>
        <v>467106.38297872344</v>
      </c>
      <c r="AM16" s="7">
        <f t="shared" si="10"/>
        <v>39.581663964545911</v>
      </c>
      <c r="AN16" s="7">
        <f t="shared" si="11"/>
        <v>9.4995993514910175</v>
      </c>
      <c r="AO16" s="7" t="s">
        <v>763</v>
      </c>
      <c r="AP16" s="8">
        <v>9517</v>
      </c>
      <c r="AQ16" s="8" t="s">
        <v>763</v>
      </c>
      <c r="AR16" s="8" t="s">
        <v>763</v>
      </c>
      <c r="AS16" s="8" t="s">
        <v>763</v>
      </c>
    </row>
    <row r="17" spans="1:45" x14ac:dyDescent="0.35">
      <c r="A17" s="3">
        <v>69</v>
      </c>
      <c r="B17" t="s">
        <v>712</v>
      </c>
      <c r="C17" t="s">
        <v>714</v>
      </c>
      <c r="D17" s="7" t="s">
        <v>751</v>
      </c>
      <c r="E17" s="7">
        <v>2025</v>
      </c>
      <c r="F17" s="7" t="s">
        <v>1742</v>
      </c>
      <c r="G17" s="7" t="s">
        <v>795</v>
      </c>
      <c r="H17" s="7" t="s">
        <v>776</v>
      </c>
      <c r="I17">
        <v>-22.785799999999998</v>
      </c>
      <c r="J17">
        <v>-43.309699999999999</v>
      </c>
      <c r="K17" t="s">
        <v>1805</v>
      </c>
      <c r="L17" s="8" t="s">
        <v>846</v>
      </c>
      <c r="M17" s="7" t="s">
        <v>2082</v>
      </c>
      <c r="N17" s="3">
        <v>1704</v>
      </c>
      <c r="O17">
        <v>23.4</v>
      </c>
      <c r="P17" s="3" t="s">
        <v>763</v>
      </c>
      <c r="Q17" s="8" t="s">
        <v>850</v>
      </c>
      <c r="R17" s="8" t="s">
        <v>1560</v>
      </c>
      <c r="S17" s="3" t="s">
        <v>914</v>
      </c>
      <c r="T17" s="7" t="s">
        <v>1031</v>
      </c>
      <c r="U17" s="7" t="s">
        <v>1745</v>
      </c>
      <c r="V17" s="7" t="s">
        <v>1744</v>
      </c>
      <c r="W17" s="7" t="s">
        <v>2165</v>
      </c>
      <c r="X17" s="7" t="s">
        <v>787</v>
      </c>
      <c r="Y17" s="8" t="s">
        <v>1850</v>
      </c>
      <c r="Z17" s="8">
        <v>12730</v>
      </c>
      <c r="AA17" s="8">
        <f t="shared" si="5"/>
        <v>0.91794058263628497</v>
      </c>
      <c r="AB17" s="7">
        <v>48680</v>
      </c>
      <c r="AC17" s="7">
        <f t="shared" si="6"/>
        <v>3.5102394000576869</v>
      </c>
      <c r="AD17" s="7" t="s">
        <v>768</v>
      </c>
      <c r="AE17" s="8" t="s">
        <v>1870</v>
      </c>
      <c r="AF17" s="8">
        <f t="shared" si="7"/>
        <v>18.965243726564754</v>
      </c>
      <c r="AG17" s="8">
        <v>263010</v>
      </c>
      <c r="AH17" s="8">
        <v>964370</v>
      </c>
      <c r="AI17" s="8">
        <f t="shared" si="8"/>
        <v>69.5392269974041</v>
      </c>
      <c r="AJ17" s="8" t="s">
        <v>763</v>
      </c>
      <c r="AK17" s="8">
        <f t="shared" si="9"/>
        <v>40.351582396946284</v>
      </c>
      <c r="AL17" s="8">
        <f t="shared" si="9"/>
        <v>559595.74468085112</v>
      </c>
      <c r="AM17" s="7">
        <f t="shared" si="10"/>
        <v>32.541598707214746</v>
      </c>
      <c r="AN17" s="7">
        <f t="shared" si="11"/>
        <v>7.8099836897315384</v>
      </c>
      <c r="AO17" s="7" t="s">
        <v>763</v>
      </c>
      <c r="AP17" s="8">
        <v>13868</v>
      </c>
      <c r="AQ17" s="8" t="s">
        <v>763</v>
      </c>
      <c r="AR17" s="8" t="s">
        <v>763</v>
      </c>
      <c r="AS17" s="8" t="s">
        <v>763</v>
      </c>
    </row>
    <row r="18" spans="1:45" x14ac:dyDescent="0.35">
      <c r="A18" s="3">
        <v>69</v>
      </c>
      <c r="B18" t="s">
        <v>712</v>
      </c>
      <c r="C18" t="s">
        <v>714</v>
      </c>
      <c r="D18" s="7" t="s">
        <v>751</v>
      </c>
      <c r="E18" s="7">
        <v>2025</v>
      </c>
      <c r="F18" s="7" t="s">
        <v>1742</v>
      </c>
      <c r="G18" s="7" t="s">
        <v>795</v>
      </c>
      <c r="H18" s="7" t="s">
        <v>776</v>
      </c>
      <c r="I18">
        <v>-12.2669</v>
      </c>
      <c r="J18">
        <v>-38.966900000000003</v>
      </c>
      <c r="K18" t="s">
        <v>1806</v>
      </c>
      <c r="L18" s="8" t="s">
        <v>846</v>
      </c>
      <c r="M18" s="8" t="s">
        <v>2095</v>
      </c>
      <c r="N18">
        <v>692</v>
      </c>
      <c r="O18" s="3">
        <v>24.5</v>
      </c>
      <c r="P18" s="3" t="s">
        <v>763</v>
      </c>
      <c r="Q18" s="8" t="s">
        <v>850</v>
      </c>
      <c r="R18" s="8" t="s">
        <v>1560</v>
      </c>
      <c r="S18" s="3" t="s">
        <v>914</v>
      </c>
      <c r="T18" s="7" t="s">
        <v>1031</v>
      </c>
      <c r="U18" s="7" t="s">
        <v>1745</v>
      </c>
      <c r="V18" s="7" t="s">
        <v>1744</v>
      </c>
      <c r="W18" s="7" t="s">
        <v>2165</v>
      </c>
      <c r="X18" s="7" t="s">
        <v>787</v>
      </c>
      <c r="Y18" s="8" t="s">
        <v>1851</v>
      </c>
      <c r="Z18" s="8">
        <v>8590</v>
      </c>
      <c r="AA18" s="8">
        <f t="shared" si="5"/>
        <v>0.60006985679357316</v>
      </c>
      <c r="AB18" s="7">
        <v>31490</v>
      </c>
      <c r="AC18" s="7">
        <f t="shared" si="6"/>
        <v>2.1997904296192803</v>
      </c>
      <c r="AD18" s="7" t="s">
        <v>768</v>
      </c>
      <c r="AE18" s="8" t="s">
        <v>1871</v>
      </c>
      <c r="AF18" s="8">
        <f t="shared" si="7"/>
        <v>12.391896611945512</v>
      </c>
      <c r="AG18" s="8">
        <v>177390</v>
      </c>
      <c r="AH18" s="8">
        <v>650450</v>
      </c>
      <c r="AI18" s="8">
        <f t="shared" si="8"/>
        <v>45.438351379671673</v>
      </c>
      <c r="AJ18" s="8" t="s">
        <v>763</v>
      </c>
      <c r="AK18" s="8">
        <f t="shared" si="9"/>
        <v>26.365737472224495</v>
      </c>
      <c r="AL18" s="8">
        <f t="shared" si="9"/>
        <v>377425.53191489365</v>
      </c>
      <c r="AM18" s="7">
        <f t="shared" si="10"/>
        <v>21.262691509858463</v>
      </c>
      <c r="AN18" s="7">
        <f t="shared" si="11"/>
        <v>5.1030459623660311</v>
      </c>
      <c r="AO18" s="7" t="s">
        <v>763</v>
      </c>
      <c r="AP18">
        <v>14315</v>
      </c>
      <c r="AQ18" s="8" t="s">
        <v>763</v>
      </c>
      <c r="AR18" s="8" t="s">
        <v>763</v>
      </c>
      <c r="AS18" s="8" t="s">
        <v>763</v>
      </c>
    </row>
    <row r="19" spans="1:45" x14ac:dyDescent="0.35">
      <c r="A19" s="3">
        <v>69</v>
      </c>
      <c r="B19" t="s">
        <v>712</v>
      </c>
      <c r="C19" t="s">
        <v>714</v>
      </c>
      <c r="D19" s="7" t="s">
        <v>751</v>
      </c>
      <c r="E19" s="7">
        <v>2025</v>
      </c>
      <c r="F19" s="7" t="s">
        <v>1742</v>
      </c>
      <c r="G19" s="7" t="s">
        <v>795</v>
      </c>
      <c r="H19" s="7" t="s">
        <v>776</v>
      </c>
      <c r="I19">
        <v>-14.7889</v>
      </c>
      <c r="J19">
        <v>-39.049399999999999</v>
      </c>
      <c r="K19" t="s">
        <v>1807</v>
      </c>
      <c r="L19" s="8" t="s">
        <v>846</v>
      </c>
      <c r="M19" s="3" t="s">
        <v>2077</v>
      </c>
      <c r="N19" s="3">
        <v>1325</v>
      </c>
      <c r="O19" s="3">
        <v>23.9</v>
      </c>
      <c r="P19" s="3" t="s">
        <v>763</v>
      </c>
      <c r="Q19" s="8" t="s">
        <v>850</v>
      </c>
      <c r="R19" s="8" t="s">
        <v>1560</v>
      </c>
      <c r="S19" s="3" t="s">
        <v>914</v>
      </c>
      <c r="T19" s="7" t="s">
        <v>1031</v>
      </c>
      <c r="U19" s="7" t="s">
        <v>1745</v>
      </c>
      <c r="V19" s="7" t="s">
        <v>1744</v>
      </c>
      <c r="W19" s="7" t="s">
        <v>2165</v>
      </c>
      <c r="X19" s="7" t="s">
        <v>787</v>
      </c>
      <c r="Y19" s="8" t="s">
        <v>1852</v>
      </c>
      <c r="Z19" s="8">
        <v>2800</v>
      </c>
      <c r="AA19" s="8">
        <f t="shared" si="5"/>
        <v>0.79252759694310781</v>
      </c>
      <c r="AB19" s="7">
        <v>10280</v>
      </c>
      <c r="AC19" s="7">
        <f t="shared" si="6"/>
        <v>2.9097084630625529</v>
      </c>
      <c r="AD19" s="7" t="s">
        <v>768</v>
      </c>
      <c r="AE19" s="8" t="s">
        <v>1872</v>
      </c>
      <c r="AF19" s="8">
        <f t="shared" si="7"/>
        <v>16.391168978205492</v>
      </c>
      <c r="AG19" s="8">
        <v>57910</v>
      </c>
      <c r="AH19" s="8">
        <v>212320</v>
      </c>
      <c r="AI19" s="8">
        <f t="shared" si="8"/>
        <v>60.09623549391452</v>
      </c>
      <c r="AJ19" s="8" t="s">
        <v>763</v>
      </c>
      <c r="AK19" s="8">
        <f t="shared" si="9"/>
        <v>34.874827613203173</v>
      </c>
      <c r="AL19" s="8">
        <f t="shared" si="9"/>
        <v>123212.76595744681</v>
      </c>
      <c r="AM19" s="7">
        <f t="shared" si="10"/>
        <v>28.124860978389655</v>
      </c>
      <c r="AN19" s="7">
        <f t="shared" si="11"/>
        <v>6.749966634813517</v>
      </c>
      <c r="AO19" s="7" t="s">
        <v>763</v>
      </c>
      <c r="AP19">
        <v>3533</v>
      </c>
      <c r="AQ19" s="8" t="s">
        <v>763</v>
      </c>
      <c r="AR19" s="8" t="s">
        <v>763</v>
      </c>
      <c r="AS19" s="8" t="s">
        <v>763</v>
      </c>
    </row>
    <row r="20" spans="1:45" x14ac:dyDescent="0.35">
      <c r="A20" s="3">
        <v>69</v>
      </c>
      <c r="B20" t="s">
        <v>712</v>
      </c>
      <c r="C20" t="s">
        <v>714</v>
      </c>
      <c r="D20" s="7" t="s">
        <v>751</v>
      </c>
      <c r="E20" s="7">
        <v>2025</v>
      </c>
      <c r="F20" s="7" t="s">
        <v>1742</v>
      </c>
      <c r="G20" s="7" t="s">
        <v>795</v>
      </c>
      <c r="H20" s="7" t="s">
        <v>776</v>
      </c>
      <c r="I20">
        <v>-8.1130999999999993</v>
      </c>
      <c r="J20">
        <v>-35.015000000000001</v>
      </c>
      <c r="K20" t="s">
        <v>1808</v>
      </c>
      <c r="L20" s="8" t="s">
        <v>846</v>
      </c>
      <c r="M20" s="8" t="s">
        <v>2095</v>
      </c>
      <c r="N20" s="3">
        <v>988</v>
      </c>
      <c r="O20" s="3">
        <v>25.4</v>
      </c>
      <c r="P20" s="3" t="s">
        <v>763</v>
      </c>
      <c r="Q20" s="8" t="s">
        <v>850</v>
      </c>
      <c r="R20" s="8" t="s">
        <v>1560</v>
      </c>
      <c r="S20" s="3" t="s">
        <v>914</v>
      </c>
      <c r="T20" s="7" t="s">
        <v>1031</v>
      </c>
      <c r="U20" s="7" t="s">
        <v>1745</v>
      </c>
      <c r="V20" s="7" t="s">
        <v>1744</v>
      </c>
      <c r="W20" s="7" t="s">
        <v>2165</v>
      </c>
      <c r="X20" s="7" t="s">
        <v>787</v>
      </c>
      <c r="Y20" s="8" t="s">
        <v>1853</v>
      </c>
      <c r="Z20" s="8">
        <v>6740</v>
      </c>
      <c r="AA20" s="8">
        <f t="shared" si="5"/>
        <v>0.90445517981749868</v>
      </c>
      <c r="AB20" s="7">
        <v>24720</v>
      </c>
      <c r="AC20" s="7">
        <f t="shared" si="6"/>
        <v>3.317230273752013</v>
      </c>
      <c r="AD20" s="7" t="s">
        <v>768</v>
      </c>
      <c r="AE20" s="8" t="s">
        <v>1873</v>
      </c>
      <c r="AF20" s="8">
        <f t="shared" si="7"/>
        <v>18.691626409017715</v>
      </c>
      <c r="AG20" s="8">
        <v>139290</v>
      </c>
      <c r="AH20" s="8">
        <v>510720</v>
      </c>
      <c r="AI20" s="8">
        <f t="shared" si="8"/>
        <v>68.534621578099845</v>
      </c>
      <c r="AJ20" s="8" t="s">
        <v>763</v>
      </c>
      <c r="AK20" s="8">
        <f t="shared" si="9"/>
        <v>39.769417891527056</v>
      </c>
      <c r="AL20" s="8">
        <f t="shared" si="9"/>
        <v>296361.70212765958</v>
      </c>
      <c r="AM20" s="7">
        <f t="shared" si="10"/>
        <v>32.072111202844397</v>
      </c>
      <c r="AN20" s="7">
        <f t="shared" si="11"/>
        <v>7.6973066886826551</v>
      </c>
      <c r="AO20" s="7" t="s">
        <v>763</v>
      </c>
      <c r="AP20">
        <v>7452</v>
      </c>
      <c r="AQ20" s="8" t="s">
        <v>763</v>
      </c>
      <c r="AR20" s="8" t="s">
        <v>763</v>
      </c>
      <c r="AS20" s="8" t="s">
        <v>763</v>
      </c>
    </row>
    <row r="21" spans="1:45" x14ac:dyDescent="0.35">
      <c r="A21" s="3">
        <v>69</v>
      </c>
      <c r="B21" t="s">
        <v>712</v>
      </c>
      <c r="C21" t="s">
        <v>714</v>
      </c>
      <c r="D21" s="7" t="s">
        <v>751</v>
      </c>
      <c r="E21" s="7">
        <v>2025</v>
      </c>
      <c r="F21" s="7" t="s">
        <v>1742</v>
      </c>
      <c r="G21" s="7" t="s">
        <v>795</v>
      </c>
      <c r="H21" s="7" t="s">
        <v>776</v>
      </c>
      <c r="I21">
        <v>-22.185600000000001</v>
      </c>
      <c r="J21">
        <v>-47.39</v>
      </c>
      <c r="K21" t="s">
        <v>1809</v>
      </c>
      <c r="L21" s="8" t="s">
        <v>846</v>
      </c>
      <c r="M21" s="8" t="s">
        <v>2095</v>
      </c>
      <c r="N21">
        <v>1575</v>
      </c>
      <c r="O21" s="3">
        <v>21.6</v>
      </c>
      <c r="P21" s="3" t="s">
        <v>763</v>
      </c>
      <c r="Q21" s="8" t="s">
        <v>850</v>
      </c>
      <c r="R21" s="8" t="s">
        <v>1560</v>
      </c>
      <c r="S21" s="3" t="s">
        <v>914</v>
      </c>
      <c r="T21" s="7" t="s">
        <v>1031</v>
      </c>
      <c r="U21" s="7" t="s">
        <v>1745</v>
      </c>
      <c r="V21" s="7" t="s">
        <v>1744</v>
      </c>
      <c r="W21" s="7" t="s">
        <v>2165</v>
      </c>
      <c r="X21" s="7" t="s">
        <v>787</v>
      </c>
      <c r="Y21" s="8" t="s">
        <v>1854</v>
      </c>
      <c r="Z21" s="8">
        <v>950</v>
      </c>
      <c r="AA21" s="8">
        <f t="shared" si="5"/>
        <v>0.3763866877971474</v>
      </c>
      <c r="AB21" s="7">
        <v>3500</v>
      </c>
      <c r="AC21" s="7">
        <f t="shared" si="6"/>
        <v>1.386687797147385</v>
      </c>
      <c r="AD21" s="7" t="s">
        <v>768</v>
      </c>
      <c r="AE21" s="8" t="s">
        <v>1874</v>
      </c>
      <c r="AF21" s="8">
        <f t="shared" si="7"/>
        <v>7.8129952456418383</v>
      </c>
      <c r="AG21" s="8">
        <v>19720</v>
      </c>
      <c r="AH21" s="8">
        <v>72310</v>
      </c>
      <c r="AI21" s="8">
        <f t="shared" si="8"/>
        <v>28.648969889064976</v>
      </c>
      <c r="AJ21" s="8" t="s">
        <v>763</v>
      </c>
      <c r="AK21" s="8">
        <f t="shared" si="9"/>
        <v>16.623394139663485</v>
      </c>
      <c r="AL21" s="8">
        <f t="shared" si="9"/>
        <v>41957.446808510642</v>
      </c>
      <c r="AM21" s="7">
        <f t="shared" si="10"/>
        <v>13.405963015857649</v>
      </c>
      <c r="AN21" s="7">
        <f t="shared" si="11"/>
        <v>3.2174311238058357</v>
      </c>
      <c r="AO21" s="7" t="s">
        <v>763</v>
      </c>
      <c r="AP21">
        <v>2524</v>
      </c>
      <c r="AQ21" s="8" t="s">
        <v>763</v>
      </c>
      <c r="AR21" s="8" t="s">
        <v>763</v>
      </c>
      <c r="AS21" s="8" t="s">
        <v>763</v>
      </c>
    </row>
    <row r="22" spans="1:45" x14ac:dyDescent="0.35">
      <c r="A22" s="3">
        <v>69</v>
      </c>
      <c r="B22" t="s">
        <v>712</v>
      </c>
      <c r="C22" t="s">
        <v>714</v>
      </c>
      <c r="D22" s="7" t="s">
        <v>751</v>
      </c>
      <c r="E22" s="7">
        <v>2025</v>
      </c>
      <c r="F22" s="7" t="s">
        <v>1742</v>
      </c>
      <c r="G22" s="7" t="s">
        <v>795</v>
      </c>
      <c r="H22" s="7" t="s">
        <v>776</v>
      </c>
      <c r="I22">
        <v>-22.370799999999999</v>
      </c>
      <c r="J22">
        <v>-41.786900000000003</v>
      </c>
      <c r="K22" t="s">
        <v>1810</v>
      </c>
      <c r="L22" s="8" t="s">
        <v>846</v>
      </c>
      <c r="M22" s="8" t="s">
        <v>2095</v>
      </c>
      <c r="N22" s="3">
        <v>1222</v>
      </c>
      <c r="O22" s="3">
        <v>23.3</v>
      </c>
      <c r="P22" s="3" t="s">
        <v>763</v>
      </c>
      <c r="Q22" s="8" t="s">
        <v>850</v>
      </c>
      <c r="R22" s="8" t="s">
        <v>1560</v>
      </c>
      <c r="S22" s="3" t="s">
        <v>914</v>
      </c>
      <c r="T22" s="7" t="s">
        <v>1031</v>
      </c>
      <c r="U22" s="7" t="s">
        <v>1745</v>
      </c>
      <c r="V22" s="7" t="s">
        <v>1744</v>
      </c>
      <c r="W22" s="7" t="s">
        <v>2165</v>
      </c>
      <c r="X22" s="7" t="s">
        <v>787</v>
      </c>
      <c r="Y22" s="8" t="s">
        <v>1855</v>
      </c>
      <c r="Z22" s="8">
        <v>4300</v>
      </c>
      <c r="AA22" s="8">
        <f t="shared" si="5"/>
        <v>0.89639357932040864</v>
      </c>
      <c r="AB22" s="7">
        <v>15780</v>
      </c>
      <c r="AC22" s="7">
        <f t="shared" si="6"/>
        <v>3.2895559724828018</v>
      </c>
      <c r="AD22" s="7" t="s">
        <v>768</v>
      </c>
      <c r="AE22" s="8" t="s">
        <v>1875</v>
      </c>
      <c r="AF22" s="8">
        <f t="shared" si="7"/>
        <v>18.534500729622682</v>
      </c>
      <c r="AG22" s="8">
        <v>88910</v>
      </c>
      <c r="AH22" s="8">
        <v>326010</v>
      </c>
      <c r="AI22" s="8">
        <f t="shared" si="8"/>
        <v>67.961225766103809</v>
      </c>
      <c r="AJ22" s="8" t="s">
        <v>763</v>
      </c>
      <c r="AK22" s="8">
        <f t="shared" si="9"/>
        <v>39.435107935367412</v>
      </c>
      <c r="AL22" s="8">
        <f t="shared" si="9"/>
        <v>189170.21276595746</v>
      </c>
      <c r="AM22" s="7">
        <f t="shared" si="10"/>
        <v>31.80250639948985</v>
      </c>
      <c r="AN22" s="7">
        <f t="shared" si="11"/>
        <v>7.6326015358775638</v>
      </c>
      <c r="AO22" s="7" t="s">
        <v>763</v>
      </c>
      <c r="AP22">
        <v>4797</v>
      </c>
      <c r="AQ22" s="8" t="s">
        <v>763</v>
      </c>
      <c r="AR22" s="8" t="s">
        <v>763</v>
      </c>
      <c r="AS22" s="8" t="s">
        <v>763</v>
      </c>
    </row>
    <row r="23" spans="1:45" x14ac:dyDescent="0.35">
      <c r="A23" s="3">
        <v>69</v>
      </c>
      <c r="B23" t="s">
        <v>712</v>
      </c>
      <c r="C23" t="s">
        <v>714</v>
      </c>
      <c r="D23" s="7" t="s">
        <v>751</v>
      </c>
      <c r="E23" s="7">
        <v>2025</v>
      </c>
      <c r="F23" s="7" t="s">
        <v>1742</v>
      </c>
      <c r="G23" s="7" t="s">
        <v>795</v>
      </c>
      <c r="H23" s="7" t="s">
        <v>776</v>
      </c>
      <c r="I23">
        <v>-9.6658000000000008</v>
      </c>
      <c r="J23">
        <v>-35.735300000000002</v>
      </c>
      <c r="K23" t="s">
        <v>1811</v>
      </c>
      <c r="L23" s="8" t="s">
        <v>846</v>
      </c>
      <c r="M23" s="8" t="s">
        <v>2098</v>
      </c>
      <c r="N23" s="3">
        <v>1304</v>
      </c>
      <c r="O23" s="3">
        <v>25.2</v>
      </c>
      <c r="P23" s="3" t="s">
        <v>763</v>
      </c>
      <c r="Q23" s="8" t="s">
        <v>850</v>
      </c>
      <c r="R23" s="8" t="s">
        <v>1560</v>
      </c>
      <c r="S23" s="3" t="s">
        <v>914</v>
      </c>
      <c r="T23" s="7" t="s">
        <v>1031</v>
      </c>
      <c r="U23" s="7" t="s">
        <v>1745</v>
      </c>
      <c r="V23" s="7" t="s">
        <v>1744</v>
      </c>
      <c r="W23" s="7" t="s">
        <v>2165</v>
      </c>
      <c r="X23" s="7" t="s">
        <v>787</v>
      </c>
      <c r="Y23" s="8" t="s">
        <v>1856</v>
      </c>
      <c r="Z23" s="8">
        <v>10870</v>
      </c>
      <c r="AA23" s="8">
        <f t="shared" si="5"/>
        <v>0.9445603058741745</v>
      </c>
      <c r="AB23" s="7">
        <v>39840</v>
      </c>
      <c r="AC23" s="7">
        <f t="shared" si="6"/>
        <v>3.4619395203336811</v>
      </c>
      <c r="AD23" s="7" t="s">
        <v>768</v>
      </c>
      <c r="AE23" s="8" t="s">
        <v>1876</v>
      </c>
      <c r="AF23" s="8">
        <f t="shared" si="7"/>
        <v>19.506430309350016</v>
      </c>
      <c r="AG23" s="8">
        <v>224480</v>
      </c>
      <c r="AH23" s="8">
        <v>823080</v>
      </c>
      <c r="AI23" s="8">
        <f t="shared" si="8"/>
        <v>71.522419186652769</v>
      </c>
      <c r="AJ23" s="8" t="s">
        <v>763</v>
      </c>
      <c r="AK23" s="8">
        <f t="shared" si="9"/>
        <v>41.503043211383016</v>
      </c>
      <c r="AL23" s="8">
        <f t="shared" si="9"/>
        <v>477617.02127659577</v>
      </c>
      <c r="AM23" s="7">
        <f t="shared" si="10"/>
        <v>33.47019613821211</v>
      </c>
      <c r="AN23" s="7">
        <f t="shared" si="11"/>
        <v>8.0328470731709061</v>
      </c>
      <c r="AO23" s="7" t="s">
        <v>763</v>
      </c>
      <c r="AP23">
        <v>11508</v>
      </c>
      <c r="AQ23" s="8" t="s">
        <v>763</v>
      </c>
      <c r="AR23" s="8" t="s">
        <v>763</v>
      </c>
      <c r="AS23" s="8" t="s">
        <v>763</v>
      </c>
    </row>
    <row r="24" spans="1:45" x14ac:dyDescent="0.35">
      <c r="A24" s="3">
        <v>69</v>
      </c>
      <c r="B24" t="s">
        <v>712</v>
      </c>
      <c r="C24" t="s">
        <v>714</v>
      </c>
      <c r="D24" s="7" t="s">
        <v>751</v>
      </c>
      <c r="E24" s="7">
        <v>2025</v>
      </c>
      <c r="F24" s="7" t="s">
        <v>1742</v>
      </c>
      <c r="G24" s="7" t="s">
        <v>795</v>
      </c>
      <c r="H24" s="7" t="s">
        <v>776</v>
      </c>
      <c r="I24">
        <v>-23.6678</v>
      </c>
      <c r="J24">
        <v>-46.461399999999998</v>
      </c>
      <c r="K24" t="s">
        <v>1812</v>
      </c>
      <c r="L24" s="8" t="s">
        <v>846</v>
      </c>
      <c r="M24" s="7" t="s">
        <v>2083</v>
      </c>
      <c r="N24" s="3">
        <v>2133</v>
      </c>
      <c r="O24" s="3">
        <v>19.3</v>
      </c>
      <c r="P24" s="3" t="s">
        <v>763</v>
      </c>
      <c r="Q24" s="8" t="s">
        <v>850</v>
      </c>
      <c r="R24" s="8" t="s">
        <v>1560</v>
      </c>
      <c r="S24" s="3" t="s">
        <v>914</v>
      </c>
      <c r="T24" s="7" t="s">
        <v>1031</v>
      </c>
      <c r="U24" s="7" t="s">
        <v>1745</v>
      </c>
      <c r="V24" s="7" t="s">
        <v>1744</v>
      </c>
      <c r="W24" s="7" t="s">
        <v>2165</v>
      </c>
      <c r="X24" s="7" t="s">
        <v>787</v>
      </c>
      <c r="Y24" s="8" t="s">
        <v>1857</v>
      </c>
      <c r="Z24" s="8">
        <v>3240</v>
      </c>
      <c r="AA24" s="8">
        <f t="shared" si="5"/>
        <v>0.76181518927815661</v>
      </c>
      <c r="AB24" s="7">
        <v>11880</v>
      </c>
      <c r="AC24" s="7">
        <f t="shared" si="6"/>
        <v>2.7933223606865742</v>
      </c>
      <c r="AD24" s="7" t="s">
        <v>768</v>
      </c>
      <c r="AE24" s="8" t="s">
        <v>1877</v>
      </c>
      <c r="AF24" s="8">
        <f t="shared" si="7"/>
        <v>15.732424171173289</v>
      </c>
      <c r="AG24" s="8">
        <v>66910</v>
      </c>
      <c r="AH24" s="8">
        <v>245330</v>
      </c>
      <c r="AI24" s="8">
        <f t="shared" si="8"/>
        <v>57.683987773336469</v>
      </c>
      <c r="AJ24" s="8" t="s">
        <v>763</v>
      </c>
      <c r="AK24" s="8">
        <f t="shared" si="9"/>
        <v>33.473242917389982</v>
      </c>
      <c r="AL24" s="8">
        <f t="shared" si="9"/>
        <v>142361.70212765958</v>
      </c>
      <c r="AM24" s="7">
        <f t="shared" si="10"/>
        <v>26.994550739830629</v>
      </c>
      <c r="AN24" s="7">
        <f t="shared" si="11"/>
        <v>6.4786921775593509</v>
      </c>
      <c r="AO24" s="7" t="s">
        <v>763</v>
      </c>
      <c r="AP24">
        <v>4253</v>
      </c>
      <c r="AQ24" s="8" t="s">
        <v>763</v>
      </c>
      <c r="AR24" s="8" t="s">
        <v>763</v>
      </c>
      <c r="AS24" s="8" t="s">
        <v>763</v>
      </c>
    </row>
    <row r="25" spans="1:45" x14ac:dyDescent="0.35">
      <c r="A25" s="3">
        <v>69</v>
      </c>
      <c r="B25" t="s">
        <v>712</v>
      </c>
      <c r="C25" t="s">
        <v>714</v>
      </c>
      <c r="D25" s="7" t="s">
        <v>751</v>
      </c>
      <c r="E25" s="7">
        <v>2025</v>
      </c>
      <c r="F25" s="7" t="s">
        <v>1742</v>
      </c>
      <c r="G25" s="7" t="s">
        <v>795</v>
      </c>
      <c r="H25" s="7" t="s">
        <v>776</v>
      </c>
      <c r="I25">
        <v>-8.0475999999999992</v>
      </c>
      <c r="J25">
        <v>-34.877000000000002</v>
      </c>
      <c r="K25" t="s">
        <v>1813</v>
      </c>
      <c r="L25" s="8" t="s">
        <v>846</v>
      </c>
      <c r="M25" s="8" t="s">
        <v>2095</v>
      </c>
      <c r="N25" s="3">
        <v>988</v>
      </c>
      <c r="O25" s="3">
        <v>25.7</v>
      </c>
      <c r="P25" s="3" t="s">
        <v>763</v>
      </c>
      <c r="Q25" s="8" t="s">
        <v>850</v>
      </c>
      <c r="R25" s="8" t="s">
        <v>1560</v>
      </c>
      <c r="S25" s="3" t="s">
        <v>914</v>
      </c>
      <c r="T25" s="7" t="s">
        <v>1031</v>
      </c>
      <c r="U25" s="7" t="s">
        <v>1745</v>
      </c>
      <c r="V25" s="7" t="s">
        <v>1744</v>
      </c>
      <c r="W25" s="7" t="s">
        <v>2165</v>
      </c>
      <c r="X25" s="7" t="s">
        <v>787</v>
      </c>
      <c r="Y25" s="8" t="s">
        <v>1862</v>
      </c>
      <c r="Z25" s="8">
        <v>10690</v>
      </c>
      <c r="AA25" s="8">
        <f t="shared" si="5"/>
        <v>0.74760472760332886</v>
      </c>
      <c r="AB25" s="7">
        <v>39190</v>
      </c>
      <c r="AC25" s="7">
        <f t="shared" si="6"/>
        <v>2.7407511014756278</v>
      </c>
      <c r="AD25" s="7" t="s">
        <v>768</v>
      </c>
      <c r="AE25" s="8" t="s">
        <v>1878</v>
      </c>
      <c r="AF25" s="8">
        <f t="shared" si="7"/>
        <v>15.441639275473809</v>
      </c>
      <c r="AG25" s="8">
        <v>220800</v>
      </c>
      <c r="AH25" s="8">
        <v>809580</v>
      </c>
      <c r="AI25" s="8">
        <f t="shared" si="8"/>
        <v>56.617945310860897</v>
      </c>
      <c r="AJ25" s="8" t="s">
        <v>763</v>
      </c>
      <c r="AK25" s="8">
        <f t="shared" si="9"/>
        <v>32.854551649944277</v>
      </c>
      <c r="AL25" s="8">
        <f t="shared" si="9"/>
        <v>469787.23404255323</v>
      </c>
      <c r="AM25" s="7">
        <f t="shared" si="10"/>
        <v>26.495606169309902</v>
      </c>
      <c r="AN25" s="7">
        <f t="shared" si="11"/>
        <v>6.3589454806343761</v>
      </c>
      <c r="AO25" s="7" t="s">
        <v>763</v>
      </c>
      <c r="AP25">
        <v>14299</v>
      </c>
      <c r="AQ25" s="8" t="s">
        <v>763</v>
      </c>
      <c r="AR25" s="8" t="s">
        <v>763</v>
      </c>
      <c r="AS25" s="8" t="s">
        <v>763</v>
      </c>
    </row>
    <row r="26" spans="1:45" x14ac:dyDescent="0.35">
      <c r="A26" s="3">
        <v>69</v>
      </c>
      <c r="B26" t="s">
        <v>712</v>
      </c>
      <c r="C26" t="s">
        <v>714</v>
      </c>
      <c r="D26" s="7" t="s">
        <v>751</v>
      </c>
      <c r="E26" s="7">
        <v>2025</v>
      </c>
      <c r="F26" s="7" t="s">
        <v>1742</v>
      </c>
      <c r="G26" s="7" t="s">
        <v>795</v>
      </c>
      <c r="H26" s="7" t="s">
        <v>776</v>
      </c>
      <c r="I26">
        <v>-22.8231</v>
      </c>
      <c r="J26">
        <v>-43.053899999999999</v>
      </c>
      <c r="K26" t="s">
        <v>1814</v>
      </c>
      <c r="L26" s="8" t="s">
        <v>846</v>
      </c>
      <c r="M26" s="7" t="s">
        <v>2082</v>
      </c>
      <c r="N26" s="3">
        <v>1634</v>
      </c>
      <c r="O26" s="3">
        <v>23</v>
      </c>
      <c r="P26" s="3" t="s">
        <v>763</v>
      </c>
      <c r="Q26" s="8" t="s">
        <v>850</v>
      </c>
      <c r="R26" s="8" t="s">
        <v>1560</v>
      </c>
      <c r="S26" s="3" t="s">
        <v>914</v>
      </c>
      <c r="T26" s="7" t="s">
        <v>1031</v>
      </c>
      <c r="U26" s="7" t="s">
        <v>1745</v>
      </c>
      <c r="V26" s="7" t="s">
        <v>1744</v>
      </c>
      <c r="W26" s="7" t="s">
        <v>2165</v>
      </c>
      <c r="X26" s="7" t="s">
        <v>787</v>
      </c>
      <c r="Y26" s="8" t="s">
        <v>1863</v>
      </c>
      <c r="Z26" s="8">
        <v>10600</v>
      </c>
      <c r="AA26" s="8">
        <f t="shared" si="5"/>
        <v>0.81645228375568046</v>
      </c>
      <c r="AB26" s="7">
        <v>38850</v>
      </c>
      <c r="AC26" s="7">
        <f t="shared" si="6"/>
        <v>2.9923746437649235</v>
      </c>
      <c r="AD26" s="7" t="s">
        <v>768</v>
      </c>
      <c r="AE26" s="8" t="s">
        <v>1879</v>
      </c>
      <c r="AF26" s="8">
        <f t="shared" si="7"/>
        <v>16.860509897558345</v>
      </c>
      <c r="AG26" s="8">
        <v>218900</v>
      </c>
      <c r="AH26" s="8">
        <v>802640</v>
      </c>
      <c r="AI26" s="8">
        <f t="shared" si="8"/>
        <v>61.822383116382966</v>
      </c>
      <c r="AJ26" s="8" t="s">
        <v>763</v>
      </c>
      <c r="AK26" s="8">
        <f t="shared" si="9"/>
        <v>35.873425313953923</v>
      </c>
      <c r="AL26" s="8">
        <f t="shared" si="9"/>
        <v>465744.68085106387</v>
      </c>
      <c r="AM26" s="7">
        <f t="shared" si="10"/>
        <v>28.930181704801551</v>
      </c>
      <c r="AN26" s="7">
        <f t="shared" si="11"/>
        <v>6.9432436091523719</v>
      </c>
      <c r="AO26" s="7" t="s">
        <v>763</v>
      </c>
      <c r="AP26">
        <v>12983</v>
      </c>
      <c r="AQ26" s="8" t="s">
        <v>763</v>
      </c>
      <c r="AR26" s="8" t="s">
        <v>763</v>
      </c>
      <c r="AS26" s="8" t="s">
        <v>763</v>
      </c>
    </row>
    <row r="27" spans="1:45" x14ac:dyDescent="0.35">
      <c r="A27" s="3">
        <v>69</v>
      </c>
      <c r="B27" t="s">
        <v>712</v>
      </c>
      <c r="C27" t="s">
        <v>714</v>
      </c>
      <c r="D27" s="7" t="s">
        <v>751</v>
      </c>
      <c r="E27" s="7">
        <v>2025</v>
      </c>
      <c r="F27" s="7" t="s">
        <v>1742</v>
      </c>
      <c r="G27" s="7" t="s">
        <v>795</v>
      </c>
      <c r="H27" s="7" t="s">
        <v>776</v>
      </c>
      <c r="I27">
        <v>-20.128599999999999</v>
      </c>
      <c r="J27">
        <v>-40.3078</v>
      </c>
      <c r="K27" t="s">
        <v>1815</v>
      </c>
      <c r="L27" s="8" t="s">
        <v>846</v>
      </c>
      <c r="M27" s="8" t="s">
        <v>2095</v>
      </c>
      <c r="N27" s="3">
        <v>1123</v>
      </c>
      <c r="O27" s="3">
        <v>23.6</v>
      </c>
      <c r="P27" s="3" t="s">
        <v>763</v>
      </c>
      <c r="Q27" s="8" t="s">
        <v>850</v>
      </c>
      <c r="R27" s="8" t="s">
        <v>1560</v>
      </c>
      <c r="S27" s="3" t="s">
        <v>914</v>
      </c>
      <c r="T27" s="7" t="s">
        <v>1031</v>
      </c>
      <c r="U27" s="7" t="s">
        <v>1745</v>
      </c>
      <c r="V27" s="7" t="s">
        <v>1744</v>
      </c>
      <c r="W27" s="7" t="s">
        <v>2165</v>
      </c>
      <c r="X27" s="7" t="s">
        <v>787</v>
      </c>
      <c r="Y27" s="8" t="s">
        <v>1864</v>
      </c>
      <c r="Z27" s="8">
        <v>10000</v>
      </c>
      <c r="AA27" s="8">
        <f t="shared" si="5"/>
        <v>1.0673497705197994</v>
      </c>
      <c r="AB27" s="7">
        <v>36680</v>
      </c>
      <c r="AC27" s="7">
        <f t="shared" si="6"/>
        <v>3.9150389582666238</v>
      </c>
      <c r="AD27" s="7" t="s">
        <v>768</v>
      </c>
      <c r="AE27" s="8" t="s">
        <v>1880</v>
      </c>
      <c r="AF27" s="8">
        <f t="shared" si="7"/>
        <v>22.058917707332693</v>
      </c>
      <c r="AG27" s="8">
        <v>206670</v>
      </c>
      <c r="AH27" s="8">
        <v>757780</v>
      </c>
      <c r="AI27" s="8">
        <f t="shared" si="8"/>
        <v>80.88163091044936</v>
      </c>
      <c r="AJ27" s="8" t="s">
        <v>763</v>
      </c>
      <c r="AK27" s="8">
        <f t="shared" si="9"/>
        <v>46.933867462409985</v>
      </c>
      <c r="AL27" s="8">
        <f t="shared" si="9"/>
        <v>439723.40425531915</v>
      </c>
      <c r="AM27" s="7">
        <f t="shared" si="10"/>
        <v>37.849893114846765</v>
      </c>
      <c r="AN27" s="7">
        <f t="shared" si="11"/>
        <v>9.083974347563224</v>
      </c>
      <c r="AO27" s="7" t="s">
        <v>763</v>
      </c>
      <c r="AP27">
        <v>9369</v>
      </c>
      <c r="AQ27" s="8" t="s">
        <v>763</v>
      </c>
      <c r="AR27" s="8" t="s">
        <v>763</v>
      </c>
      <c r="AS27" s="8" t="s">
        <v>763</v>
      </c>
    </row>
    <row r="28" spans="1:45" x14ac:dyDescent="0.35">
      <c r="A28" s="3">
        <v>69</v>
      </c>
      <c r="B28" t="s">
        <v>712</v>
      </c>
      <c r="C28" t="s">
        <v>714</v>
      </c>
      <c r="D28" s="7" t="s">
        <v>751</v>
      </c>
      <c r="E28" s="7">
        <v>2025</v>
      </c>
      <c r="F28" s="7" t="s">
        <v>1742</v>
      </c>
      <c r="G28" s="7" t="s">
        <v>795</v>
      </c>
      <c r="H28" s="7" t="s">
        <v>776</v>
      </c>
      <c r="I28">
        <v>-12.785</v>
      </c>
      <c r="J28">
        <v>-38.404200000000003</v>
      </c>
      <c r="K28" t="s">
        <v>1816</v>
      </c>
      <c r="L28" s="8" t="s">
        <v>846</v>
      </c>
      <c r="M28" s="7" t="s">
        <v>2082</v>
      </c>
      <c r="N28" s="3">
        <v>1319</v>
      </c>
      <c r="O28" s="3">
        <v>25.3</v>
      </c>
      <c r="P28" s="3" t="s">
        <v>763</v>
      </c>
      <c r="Q28" s="8" t="s">
        <v>850</v>
      </c>
      <c r="R28" s="8" t="s">
        <v>1560</v>
      </c>
      <c r="S28" s="3" t="s">
        <v>914</v>
      </c>
      <c r="T28" s="7" t="s">
        <v>1031</v>
      </c>
      <c r="U28" s="7" t="s">
        <v>1745</v>
      </c>
      <c r="V28" s="7" t="s">
        <v>1744</v>
      </c>
      <c r="W28" s="7" t="s">
        <v>2165</v>
      </c>
      <c r="X28" s="7" t="s">
        <v>787</v>
      </c>
      <c r="Y28" s="8" t="s">
        <v>1865</v>
      </c>
      <c r="Z28" s="8">
        <v>4480</v>
      </c>
      <c r="AA28" s="8">
        <f t="shared" si="5"/>
        <v>1.4048291000313577</v>
      </c>
      <c r="AB28" s="7">
        <v>16430</v>
      </c>
      <c r="AC28" s="7">
        <f t="shared" si="6"/>
        <v>5.1520852931953591</v>
      </c>
      <c r="AD28" s="7" t="s">
        <v>768</v>
      </c>
      <c r="AE28" s="8" t="s">
        <v>1881</v>
      </c>
      <c r="AF28" s="8">
        <f t="shared" si="7"/>
        <v>29.03417999372844</v>
      </c>
      <c r="AG28" s="8">
        <v>92590</v>
      </c>
      <c r="AH28" s="8">
        <v>339510</v>
      </c>
      <c r="AI28" s="8">
        <f t="shared" si="8"/>
        <v>106.46284101599248</v>
      </c>
      <c r="AJ28" s="8" t="s">
        <v>763</v>
      </c>
      <c r="AK28" s="8">
        <f t="shared" si="9"/>
        <v>61.774851050486049</v>
      </c>
      <c r="AL28" s="8">
        <f t="shared" si="9"/>
        <v>197000</v>
      </c>
      <c r="AM28" s="7">
        <f t="shared" si="10"/>
        <v>49.818428266521011</v>
      </c>
      <c r="AN28" s="7">
        <f t="shared" si="11"/>
        <v>11.956422783965042</v>
      </c>
      <c r="AO28" s="7" t="s">
        <v>763</v>
      </c>
      <c r="AP28" s="8">
        <v>3189</v>
      </c>
      <c r="AQ28" s="8" t="s">
        <v>763</v>
      </c>
      <c r="AR28" s="8" t="s">
        <v>763</v>
      </c>
      <c r="AS28" s="8" t="s">
        <v>763</v>
      </c>
    </row>
  </sheetData>
  <autoFilter ref="A1:AS28" xr:uid="{918EDA11-9F1A-42FC-BFEE-50A2FA3C92AD}"/>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69EF-7491-4A61-8A24-17E9235A1061}">
  <dimension ref="A1:AF91"/>
  <sheetViews>
    <sheetView workbookViewId="0">
      <selection activeCell="E22" sqref="E22"/>
    </sheetView>
  </sheetViews>
  <sheetFormatPr defaultRowHeight="14.5" x14ac:dyDescent="0.35"/>
  <cols>
    <col min="9" max="10" width="8.7265625" style="3"/>
  </cols>
  <sheetData>
    <row r="1" spans="1:32"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1915</v>
      </c>
      <c r="O1" s="2" t="s">
        <v>1951</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2004</v>
      </c>
    </row>
    <row r="2" spans="1:32" x14ac:dyDescent="0.35">
      <c r="A2" s="3">
        <v>1</v>
      </c>
      <c r="B2" s="3" t="s">
        <v>33</v>
      </c>
      <c r="C2" s="3" t="s">
        <v>35</v>
      </c>
      <c r="D2" s="3" t="s">
        <v>751</v>
      </c>
      <c r="E2" s="3">
        <v>2025</v>
      </c>
      <c r="F2" s="3" t="s">
        <v>752</v>
      </c>
      <c r="G2" s="3" t="s">
        <v>753</v>
      </c>
      <c r="H2" s="3" t="s">
        <v>754</v>
      </c>
      <c r="I2" s="3">
        <v>13.01784</v>
      </c>
      <c r="J2" s="3">
        <v>80.268242000000001</v>
      </c>
      <c r="K2" s="3" t="s">
        <v>755</v>
      </c>
      <c r="L2" s="3" t="s">
        <v>756</v>
      </c>
      <c r="M2" s="3" t="s">
        <v>757</v>
      </c>
      <c r="N2" s="3" t="s">
        <v>1916</v>
      </c>
      <c r="O2" s="3" t="s">
        <v>763</v>
      </c>
      <c r="P2" s="3" t="s">
        <v>759</v>
      </c>
      <c r="Q2" s="3" t="s">
        <v>1113</v>
      </c>
      <c r="R2" s="3" t="s">
        <v>761</v>
      </c>
      <c r="S2" s="3" t="s">
        <v>762</v>
      </c>
      <c r="T2" s="3" t="s">
        <v>1031</v>
      </c>
      <c r="U2" s="3" t="s">
        <v>764</v>
      </c>
      <c r="V2" s="3" t="s">
        <v>2026</v>
      </c>
      <c r="W2" s="3" t="s">
        <v>766</v>
      </c>
      <c r="X2" s="3" t="s">
        <v>762</v>
      </c>
      <c r="Y2" s="3" t="s">
        <v>767</v>
      </c>
      <c r="Z2" s="3" t="s">
        <v>768</v>
      </c>
      <c r="AA2" s="3" t="s">
        <v>769</v>
      </c>
      <c r="AB2" s="3" t="s">
        <v>770</v>
      </c>
      <c r="AC2" s="3" t="s">
        <v>771</v>
      </c>
      <c r="AD2" s="3" t="s">
        <v>772</v>
      </c>
      <c r="AE2" s="3" t="s">
        <v>2008</v>
      </c>
      <c r="AF2" s="3" t="s">
        <v>2040</v>
      </c>
    </row>
    <row r="3" spans="1:32" x14ac:dyDescent="0.35">
      <c r="A3" s="3">
        <v>2</v>
      </c>
      <c r="B3" s="3" t="s">
        <v>38</v>
      </c>
      <c r="C3" s="3" t="s">
        <v>40</v>
      </c>
      <c r="D3" s="3" t="s">
        <v>751</v>
      </c>
      <c r="E3" s="3">
        <v>2023</v>
      </c>
      <c r="F3" s="3" t="s">
        <v>1890</v>
      </c>
      <c r="G3" s="3" t="s">
        <v>753</v>
      </c>
      <c r="H3" s="3" t="s">
        <v>776</v>
      </c>
      <c r="I3" s="3">
        <v>-12.816667000000001</v>
      </c>
      <c r="J3" s="3">
        <v>28.2</v>
      </c>
      <c r="K3" s="3" t="s">
        <v>779</v>
      </c>
      <c r="L3" s="3" t="s">
        <v>780</v>
      </c>
      <c r="M3" s="3" t="s">
        <v>781</v>
      </c>
      <c r="N3" s="3" t="s">
        <v>1917</v>
      </c>
      <c r="O3" s="3" t="s">
        <v>1953</v>
      </c>
      <c r="P3" s="3" t="s">
        <v>784</v>
      </c>
      <c r="Q3" s="3" t="s">
        <v>1882</v>
      </c>
      <c r="R3" s="3" t="s">
        <v>786</v>
      </c>
      <c r="S3" s="3" t="s">
        <v>787</v>
      </c>
      <c r="T3" s="3" t="s">
        <v>834</v>
      </c>
      <c r="U3" s="3" t="s">
        <v>764</v>
      </c>
      <c r="V3" s="3" t="s">
        <v>2027</v>
      </c>
      <c r="W3" s="3" t="s">
        <v>766</v>
      </c>
      <c r="X3" s="3" t="s">
        <v>787</v>
      </c>
      <c r="Y3" s="3" t="s">
        <v>763</v>
      </c>
      <c r="Z3" s="3" t="s">
        <v>789</v>
      </c>
      <c r="AA3" s="3" t="s">
        <v>790</v>
      </c>
      <c r="AB3" s="3" t="s">
        <v>791</v>
      </c>
      <c r="AC3" s="3" t="s">
        <v>763</v>
      </c>
      <c r="AD3" s="3" t="s">
        <v>763</v>
      </c>
      <c r="AE3" s="3" t="s">
        <v>792</v>
      </c>
      <c r="AF3" s="3" t="s">
        <v>793</v>
      </c>
    </row>
    <row r="4" spans="1:32" x14ac:dyDescent="0.35">
      <c r="A4" s="3">
        <v>3</v>
      </c>
      <c r="B4" s="3" t="s">
        <v>43</v>
      </c>
      <c r="C4" s="3" t="s">
        <v>45</v>
      </c>
      <c r="D4" s="3" t="s">
        <v>751</v>
      </c>
      <c r="E4" s="3">
        <v>2022</v>
      </c>
      <c r="F4" s="3" t="s">
        <v>1891</v>
      </c>
      <c r="G4" s="3" t="s">
        <v>795</v>
      </c>
      <c r="H4" s="3" t="s">
        <v>754</v>
      </c>
      <c r="I4" s="3">
        <v>4.6785030000000001</v>
      </c>
      <c r="J4" s="3">
        <v>101.07940000000001</v>
      </c>
      <c r="K4" s="3" t="s">
        <v>798</v>
      </c>
      <c r="L4" s="3" t="s">
        <v>799</v>
      </c>
      <c r="M4" s="3" t="s">
        <v>763</v>
      </c>
      <c r="N4" s="3" t="s">
        <v>763</v>
      </c>
      <c r="O4" s="3" t="s">
        <v>763</v>
      </c>
      <c r="P4" s="3" t="s">
        <v>763</v>
      </c>
      <c r="Q4" s="3" t="s">
        <v>763</v>
      </c>
      <c r="R4" s="3" t="s">
        <v>800</v>
      </c>
      <c r="S4" s="3" t="s">
        <v>762</v>
      </c>
      <c r="T4" s="3" t="s">
        <v>865</v>
      </c>
      <c r="U4" s="3" t="s">
        <v>801</v>
      </c>
      <c r="V4" s="3" t="s">
        <v>802</v>
      </c>
      <c r="W4" s="3" t="s">
        <v>766</v>
      </c>
      <c r="X4" s="3" t="s">
        <v>762</v>
      </c>
      <c r="Y4" s="3" t="s">
        <v>763</v>
      </c>
      <c r="Z4" s="3" t="s">
        <v>789</v>
      </c>
      <c r="AA4" s="3" t="s">
        <v>803</v>
      </c>
      <c r="AB4" s="3" t="s">
        <v>804</v>
      </c>
      <c r="AC4" s="3" t="s">
        <v>805</v>
      </c>
      <c r="AD4" s="3" t="s">
        <v>763</v>
      </c>
      <c r="AE4" s="3" t="s">
        <v>763</v>
      </c>
      <c r="AF4" s="3" t="s">
        <v>763</v>
      </c>
    </row>
    <row r="5" spans="1:32" x14ac:dyDescent="0.35">
      <c r="A5" s="3">
        <v>4</v>
      </c>
      <c r="B5" s="3" t="s">
        <v>53</v>
      </c>
      <c r="C5" s="3" t="s">
        <v>55</v>
      </c>
      <c r="D5" s="3" t="s">
        <v>751</v>
      </c>
      <c r="E5" s="3">
        <v>2016</v>
      </c>
      <c r="F5" s="3" t="s">
        <v>1892</v>
      </c>
      <c r="G5" s="3" t="s">
        <v>753</v>
      </c>
      <c r="H5" s="3" t="s">
        <v>754</v>
      </c>
      <c r="I5" s="3">
        <v>7.25</v>
      </c>
      <c r="J5" s="3">
        <v>5.1950000000000003</v>
      </c>
      <c r="K5" s="3" t="s">
        <v>822</v>
      </c>
      <c r="L5" s="3" t="s">
        <v>823</v>
      </c>
      <c r="M5" s="3" t="s">
        <v>763</v>
      </c>
      <c r="N5" s="3" t="s">
        <v>763</v>
      </c>
      <c r="O5" s="3" t="s">
        <v>763</v>
      </c>
      <c r="P5" s="3" t="s">
        <v>824</v>
      </c>
      <c r="Q5" s="3" t="s">
        <v>1860</v>
      </c>
      <c r="R5" s="3" t="s">
        <v>786</v>
      </c>
      <c r="S5" s="3" t="s">
        <v>787</v>
      </c>
      <c r="T5" s="3" t="s">
        <v>1031</v>
      </c>
      <c r="U5" s="3" t="s">
        <v>764</v>
      </c>
      <c r="V5" s="7" t="s">
        <v>2028</v>
      </c>
      <c r="W5" s="3" t="s">
        <v>766</v>
      </c>
      <c r="X5" s="3" t="s">
        <v>826</v>
      </c>
      <c r="Y5" s="3" t="s">
        <v>763</v>
      </c>
      <c r="Z5" s="3" t="s">
        <v>789</v>
      </c>
      <c r="AA5" s="3" t="s">
        <v>827</v>
      </c>
      <c r="AB5" s="3" t="s">
        <v>1780</v>
      </c>
      <c r="AC5" s="3" t="s">
        <v>763</v>
      </c>
      <c r="AD5" s="3" t="s">
        <v>763</v>
      </c>
      <c r="AE5" s="3" t="s">
        <v>2009</v>
      </c>
      <c r="AF5" s="5" t="s">
        <v>829</v>
      </c>
    </row>
    <row r="6" spans="1:32" x14ac:dyDescent="0.35">
      <c r="A6" s="3">
        <v>5</v>
      </c>
      <c r="B6" s="3" t="s">
        <v>58</v>
      </c>
      <c r="C6" s="3" t="s">
        <v>60</v>
      </c>
      <c r="D6" s="3" t="s">
        <v>751</v>
      </c>
      <c r="E6" s="3">
        <v>2024</v>
      </c>
      <c r="F6" s="3" t="s">
        <v>830</v>
      </c>
      <c r="G6" s="3" t="s">
        <v>753</v>
      </c>
      <c r="H6" s="3" t="s">
        <v>776</v>
      </c>
      <c r="I6" s="3">
        <v>-6.8858100000000002</v>
      </c>
      <c r="J6" s="3">
        <v>107.61136999999999</v>
      </c>
      <c r="K6" s="3" t="s">
        <v>831</v>
      </c>
      <c r="L6" s="3" t="s">
        <v>832</v>
      </c>
      <c r="M6" s="3" t="s">
        <v>763</v>
      </c>
      <c r="N6" s="3" t="s">
        <v>763</v>
      </c>
      <c r="O6" s="3" t="s">
        <v>763</v>
      </c>
      <c r="P6" s="3" t="s">
        <v>759</v>
      </c>
      <c r="Q6" s="3" t="s">
        <v>763</v>
      </c>
      <c r="R6" s="3" t="s">
        <v>833</v>
      </c>
      <c r="S6" s="3" t="s">
        <v>762</v>
      </c>
      <c r="T6" s="3" t="s">
        <v>834</v>
      </c>
      <c r="U6" s="7" t="s">
        <v>2003</v>
      </c>
      <c r="V6" s="3" t="s">
        <v>2038</v>
      </c>
      <c r="W6" s="3" t="s">
        <v>766</v>
      </c>
      <c r="X6" s="3" t="s">
        <v>762</v>
      </c>
      <c r="Y6" s="3" t="s">
        <v>837</v>
      </c>
      <c r="Z6" s="3" t="s">
        <v>789</v>
      </c>
      <c r="AA6" s="3" t="s">
        <v>838</v>
      </c>
      <c r="AB6" s="3" t="s">
        <v>763</v>
      </c>
      <c r="AC6" s="3" t="s">
        <v>839</v>
      </c>
      <c r="AD6" s="3" t="s">
        <v>763</v>
      </c>
      <c r="AE6" s="3" t="s">
        <v>840</v>
      </c>
      <c r="AF6" s="3" t="s">
        <v>2041</v>
      </c>
    </row>
    <row r="7" spans="1:32" x14ac:dyDescent="0.35">
      <c r="A7" s="3">
        <v>6</v>
      </c>
      <c r="B7" s="3" t="s">
        <v>63</v>
      </c>
      <c r="C7" s="3" t="s">
        <v>65</v>
      </c>
      <c r="D7" s="3" t="s">
        <v>751</v>
      </c>
      <c r="E7" s="3">
        <v>2023</v>
      </c>
      <c r="F7" s="3">
        <v>2020</v>
      </c>
      <c r="G7" s="3" t="s">
        <v>753</v>
      </c>
      <c r="H7" s="3" t="s">
        <v>776</v>
      </c>
      <c r="I7" s="3">
        <v>-21.688889</v>
      </c>
      <c r="J7" s="3">
        <v>-43.344444000000003</v>
      </c>
      <c r="K7" s="3" t="s">
        <v>845</v>
      </c>
      <c r="L7" s="3" t="s">
        <v>846</v>
      </c>
      <c r="M7" s="3" t="s">
        <v>1912</v>
      </c>
      <c r="N7" s="3" t="s">
        <v>1918</v>
      </c>
      <c r="O7" s="3" t="s">
        <v>1954</v>
      </c>
      <c r="P7" s="3" t="s">
        <v>763</v>
      </c>
      <c r="Q7" s="3" t="s">
        <v>850</v>
      </c>
      <c r="R7" s="3" t="s">
        <v>833</v>
      </c>
      <c r="S7" s="3" t="s">
        <v>787</v>
      </c>
      <c r="T7" s="3" t="s">
        <v>1397</v>
      </c>
      <c r="U7" s="3" t="s">
        <v>1990</v>
      </c>
      <c r="V7" t="s">
        <v>1032</v>
      </c>
      <c r="W7" s="3" t="s">
        <v>766</v>
      </c>
      <c r="X7" s="3" t="s">
        <v>787</v>
      </c>
      <c r="Y7" s="3" t="s">
        <v>853</v>
      </c>
      <c r="Z7" s="3" t="s">
        <v>789</v>
      </c>
      <c r="AA7" s="3" t="s">
        <v>854</v>
      </c>
      <c r="AB7" s="3" t="s">
        <v>763</v>
      </c>
      <c r="AC7" s="3" t="s">
        <v>855</v>
      </c>
      <c r="AD7" s="3" t="s">
        <v>763</v>
      </c>
      <c r="AE7" s="3" t="s">
        <v>763</v>
      </c>
      <c r="AF7" s="3" t="s">
        <v>2042</v>
      </c>
    </row>
    <row r="8" spans="1:32" x14ac:dyDescent="0.35">
      <c r="A8" s="3">
        <v>7</v>
      </c>
      <c r="B8" s="3" t="s">
        <v>857</v>
      </c>
      <c r="C8" s="3" t="s">
        <v>858</v>
      </c>
      <c r="D8" s="3" t="s">
        <v>859</v>
      </c>
      <c r="E8" s="3">
        <v>2014</v>
      </c>
      <c r="F8" s="3" t="s">
        <v>1893</v>
      </c>
      <c r="G8" s="3" t="s">
        <v>753</v>
      </c>
      <c r="H8" s="3" t="s">
        <v>776</v>
      </c>
      <c r="I8" s="3">
        <v>-20.8</v>
      </c>
      <c r="J8" s="3">
        <v>-42.883333</v>
      </c>
      <c r="K8" s="3" t="s">
        <v>863</v>
      </c>
      <c r="L8" s="3" t="s">
        <v>846</v>
      </c>
      <c r="M8" s="3" t="s">
        <v>763</v>
      </c>
      <c r="N8" s="3" t="s">
        <v>763</v>
      </c>
      <c r="O8" s="3" t="s">
        <v>763</v>
      </c>
      <c r="P8" s="3" t="s">
        <v>763</v>
      </c>
      <c r="Q8" s="3" t="s">
        <v>850</v>
      </c>
      <c r="R8" s="3" t="s">
        <v>864</v>
      </c>
      <c r="S8" s="3" t="s">
        <v>787</v>
      </c>
      <c r="T8" s="3" t="s">
        <v>865</v>
      </c>
      <c r="U8" s="3" t="s">
        <v>866</v>
      </c>
      <c r="V8" s="3" t="s">
        <v>763</v>
      </c>
      <c r="W8" s="3" t="s">
        <v>766</v>
      </c>
      <c r="X8" s="3" t="s">
        <v>787</v>
      </c>
      <c r="Y8" s="3" t="s">
        <v>867</v>
      </c>
      <c r="Z8" s="3" t="s">
        <v>868</v>
      </c>
      <c r="AA8" s="3" t="s">
        <v>763</v>
      </c>
      <c r="AB8" s="3" t="s">
        <v>763</v>
      </c>
      <c r="AC8" s="3" t="s">
        <v>869</v>
      </c>
      <c r="AD8" s="3" t="s">
        <v>763</v>
      </c>
      <c r="AE8" s="3" t="s">
        <v>870</v>
      </c>
      <c r="AF8" s="3" t="s">
        <v>763</v>
      </c>
    </row>
    <row r="9" spans="1:32" x14ac:dyDescent="0.35">
      <c r="A9" s="3">
        <v>8</v>
      </c>
      <c r="B9" s="3" t="s">
        <v>871</v>
      </c>
      <c r="C9" s="3" t="s">
        <v>872</v>
      </c>
      <c r="D9" s="3" t="s">
        <v>873</v>
      </c>
      <c r="E9" s="3">
        <v>2018</v>
      </c>
      <c r="F9" s="3" t="s">
        <v>1894</v>
      </c>
      <c r="G9" s="3" t="s">
        <v>753</v>
      </c>
      <c r="H9" s="3" t="s">
        <v>754</v>
      </c>
      <c r="I9" s="3">
        <v>20.143651999999999</v>
      </c>
      <c r="J9" s="3">
        <v>-75.202138000000005</v>
      </c>
      <c r="K9" s="3" t="s">
        <v>877</v>
      </c>
      <c r="L9" s="3" t="s">
        <v>878</v>
      </c>
      <c r="M9" s="3" t="s">
        <v>763</v>
      </c>
      <c r="N9" s="3" t="s">
        <v>1919</v>
      </c>
      <c r="O9" s="3" t="s">
        <v>1955</v>
      </c>
      <c r="P9" s="3" t="s">
        <v>881</v>
      </c>
      <c r="Q9" s="3" t="s">
        <v>763</v>
      </c>
      <c r="R9" s="3" t="s">
        <v>786</v>
      </c>
      <c r="S9" s="3" t="s">
        <v>787</v>
      </c>
      <c r="T9" s="3" t="s">
        <v>834</v>
      </c>
      <c r="U9" s="3" t="s">
        <v>764</v>
      </c>
      <c r="V9" s="3" t="s">
        <v>2025</v>
      </c>
      <c r="W9" s="3" t="s">
        <v>766</v>
      </c>
      <c r="X9" s="3" t="s">
        <v>826</v>
      </c>
      <c r="Y9" s="3" t="s">
        <v>763</v>
      </c>
      <c r="Z9" s="3" t="s">
        <v>768</v>
      </c>
      <c r="AA9" s="3" t="s">
        <v>883</v>
      </c>
      <c r="AB9" s="3" t="s">
        <v>884</v>
      </c>
      <c r="AC9" s="6" t="s">
        <v>885</v>
      </c>
      <c r="AD9" s="3" t="s">
        <v>763</v>
      </c>
      <c r="AE9" s="3" t="s">
        <v>886</v>
      </c>
      <c r="AF9" s="3" t="s">
        <v>2043</v>
      </c>
    </row>
    <row r="10" spans="1:32" x14ac:dyDescent="0.35">
      <c r="A10" s="3">
        <v>9</v>
      </c>
      <c r="B10" s="3" t="s">
        <v>888</v>
      </c>
      <c r="C10" s="3" t="s">
        <v>889</v>
      </c>
      <c r="D10" s="3" t="s">
        <v>873</v>
      </c>
      <c r="E10" s="3">
        <v>2022</v>
      </c>
      <c r="F10" s="3" t="s">
        <v>1895</v>
      </c>
      <c r="G10" s="3" t="s">
        <v>753</v>
      </c>
      <c r="H10" s="3" t="s">
        <v>754</v>
      </c>
      <c r="I10" s="3">
        <v>18.658055999999998</v>
      </c>
      <c r="J10" s="3">
        <v>-91.827777999999995</v>
      </c>
      <c r="K10" s="3" t="s">
        <v>893</v>
      </c>
      <c r="L10" s="3" t="s">
        <v>894</v>
      </c>
      <c r="M10" s="3" t="s">
        <v>1910</v>
      </c>
      <c r="N10" s="3" t="s">
        <v>1920</v>
      </c>
      <c r="O10" s="3" t="s">
        <v>1957</v>
      </c>
      <c r="P10" s="3" t="s">
        <v>759</v>
      </c>
      <c r="Q10" s="3" t="s">
        <v>763</v>
      </c>
      <c r="R10" s="3" t="s">
        <v>761</v>
      </c>
      <c r="S10" s="3" t="s">
        <v>762</v>
      </c>
      <c r="T10" s="3" t="s">
        <v>834</v>
      </c>
      <c r="U10" s="3" t="s">
        <v>764</v>
      </c>
      <c r="V10" s="3" t="s">
        <v>2026</v>
      </c>
      <c r="W10" s="3" t="s">
        <v>766</v>
      </c>
      <c r="X10" s="3" t="s">
        <v>762</v>
      </c>
      <c r="Y10" s="3" t="s">
        <v>763</v>
      </c>
      <c r="Z10" s="3" t="s">
        <v>768</v>
      </c>
      <c r="AA10" s="3" t="s">
        <v>900</v>
      </c>
      <c r="AB10" s="3" t="s">
        <v>901</v>
      </c>
      <c r="AC10" s="3" t="s">
        <v>902</v>
      </c>
      <c r="AD10" s="3" t="s">
        <v>763</v>
      </c>
      <c r="AE10" s="3" t="s">
        <v>903</v>
      </c>
      <c r="AF10" s="3" t="s">
        <v>2044</v>
      </c>
    </row>
    <row r="11" spans="1:32" x14ac:dyDescent="0.35">
      <c r="A11" s="3">
        <v>10</v>
      </c>
      <c r="B11" s="3" t="s">
        <v>905</v>
      </c>
      <c r="C11" s="3" t="s">
        <v>906</v>
      </c>
      <c r="D11" s="3" t="s">
        <v>873</v>
      </c>
      <c r="E11" s="3">
        <v>2023</v>
      </c>
      <c r="F11" s="3" t="s">
        <v>1896</v>
      </c>
      <c r="G11" s="3" t="s">
        <v>753</v>
      </c>
      <c r="H11" s="3" t="s">
        <v>754</v>
      </c>
      <c r="I11" s="3">
        <v>19.464027999999999</v>
      </c>
      <c r="J11" s="3">
        <v>-98.826291999999995</v>
      </c>
      <c r="K11" s="20" t="s">
        <v>1774</v>
      </c>
      <c r="L11" s="3" t="s">
        <v>894</v>
      </c>
      <c r="M11" s="3" t="s">
        <v>1911</v>
      </c>
      <c r="N11" s="3" t="s">
        <v>1921</v>
      </c>
      <c r="O11" s="3" t="s">
        <v>912</v>
      </c>
      <c r="P11" s="3" t="s">
        <v>913</v>
      </c>
      <c r="Q11" s="3" t="s">
        <v>1775</v>
      </c>
      <c r="R11" s="3" t="s">
        <v>833</v>
      </c>
      <c r="S11" s="3" t="s">
        <v>787</v>
      </c>
      <c r="T11" s="3" t="s">
        <v>865</v>
      </c>
      <c r="U11" s="7" t="s">
        <v>2003</v>
      </c>
      <c r="V11" s="7" t="s">
        <v>2029</v>
      </c>
      <c r="W11" s="3" t="s">
        <v>766</v>
      </c>
      <c r="X11" s="3" t="s">
        <v>787</v>
      </c>
      <c r="Y11" s="3" t="s">
        <v>916</v>
      </c>
      <c r="Z11" s="3" t="s">
        <v>768</v>
      </c>
      <c r="AA11" s="3" t="s">
        <v>1773</v>
      </c>
      <c r="AB11" s="3" t="s">
        <v>763</v>
      </c>
      <c r="AC11" s="7" t="s">
        <v>1772</v>
      </c>
      <c r="AD11" s="3" t="s">
        <v>763</v>
      </c>
      <c r="AE11" s="7" t="s">
        <v>1771</v>
      </c>
      <c r="AF11" s="3" t="s">
        <v>2045</v>
      </c>
    </row>
    <row r="12" spans="1:32" x14ac:dyDescent="0.35">
      <c r="A12" s="3">
        <v>11</v>
      </c>
      <c r="B12" s="3" t="s">
        <v>82</v>
      </c>
      <c r="C12" s="3" t="s">
        <v>84</v>
      </c>
      <c r="D12" s="3" t="s">
        <v>751</v>
      </c>
      <c r="E12" s="3">
        <v>2024</v>
      </c>
      <c r="F12" s="3">
        <v>2023</v>
      </c>
      <c r="G12" s="3" t="s">
        <v>753</v>
      </c>
      <c r="H12" s="3" t="s">
        <v>754</v>
      </c>
      <c r="I12" s="3">
        <v>9.5333330000000007</v>
      </c>
      <c r="J12" s="3">
        <v>76.599999999999994</v>
      </c>
      <c r="K12" s="3" t="s">
        <v>920</v>
      </c>
      <c r="L12" s="3" t="s">
        <v>756</v>
      </c>
      <c r="M12" s="3" t="s">
        <v>921</v>
      </c>
      <c r="N12" s="3" t="s">
        <v>1922</v>
      </c>
      <c r="O12" s="3" t="s">
        <v>923</v>
      </c>
      <c r="P12" s="3" t="s">
        <v>763</v>
      </c>
      <c r="Q12" s="3" t="s">
        <v>763</v>
      </c>
      <c r="R12" s="3" t="s">
        <v>924</v>
      </c>
      <c r="S12" s="3" t="s">
        <v>787</v>
      </c>
      <c r="T12" s="3" t="s">
        <v>865</v>
      </c>
      <c r="U12" s="3" t="s">
        <v>925</v>
      </c>
      <c r="V12" s="3" t="s">
        <v>2033</v>
      </c>
      <c r="W12" s="3" t="s">
        <v>766</v>
      </c>
      <c r="X12" s="3" t="s">
        <v>787</v>
      </c>
      <c r="Y12" s="3" t="s">
        <v>927</v>
      </c>
      <c r="Z12" s="3" t="s">
        <v>768</v>
      </c>
      <c r="AA12" s="3" t="s">
        <v>928</v>
      </c>
      <c r="AB12" s="3" t="s">
        <v>763</v>
      </c>
      <c r="AC12" s="3" t="s">
        <v>929</v>
      </c>
      <c r="AD12" s="3" t="s">
        <v>930</v>
      </c>
      <c r="AE12" s="3" t="s">
        <v>931</v>
      </c>
      <c r="AF12" s="3" t="s">
        <v>763</v>
      </c>
    </row>
    <row r="13" spans="1:32" x14ac:dyDescent="0.35">
      <c r="A13" s="3">
        <v>12</v>
      </c>
      <c r="B13" s="3" t="s">
        <v>932</v>
      </c>
      <c r="C13" s="3" t="s">
        <v>933</v>
      </c>
      <c r="D13" s="3" t="s">
        <v>751</v>
      </c>
      <c r="E13" s="3">
        <v>2023</v>
      </c>
      <c r="F13" s="3" t="s">
        <v>763</v>
      </c>
      <c r="G13" s="3" t="s">
        <v>753</v>
      </c>
      <c r="H13" s="3" t="s">
        <v>754</v>
      </c>
      <c r="I13" s="3">
        <v>9.8820949999999996</v>
      </c>
      <c r="J13" s="3">
        <v>78.081536999999997</v>
      </c>
      <c r="K13" s="3" t="s">
        <v>934</v>
      </c>
      <c r="L13" s="3" t="s">
        <v>756</v>
      </c>
      <c r="M13" s="3" t="s">
        <v>763</v>
      </c>
      <c r="N13" s="3" t="s">
        <v>763</v>
      </c>
      <c r="O13" s="3" t="s">
        <v>763</v>
      </c>
      <c r="P13" s="3" t="s">
        <v>763</v>
      </c>
      <c r="Q13" s="3" t="s">
        <v>763</v>
      </c>
      <c r="R13" s="3" t="s">
        <v>833</v>
      </c>
      <c r="S13" s="3" t="s">
        <v>762</v>
      </c>
      <c r="T13" s="3" t="s">
        <v>865</v>
      </c>
      <c r="U13" s="3" t="s">
        <v>936</v>
      </c>
      <c r="V13" s="3" t="s">
        <v>2026</v>
      </c>
      <c r="W13" s="3" t="s">
        <v>766</v>
      </c>
      <c r="X13" s="3" t="s">
        <v>762</v>
      </c>
      <c r="Y13" s="3" t="s">
        <v>763</v>
      </c>
      <c r="Z13" s="3" t="s">
        <v>768</v>
      </c>
      <c r="AA13" s="3" t="s">
        <v>938</v>
      </c>
      <c r="AB13" s="3" t="s">
        <v>763</v>
      </c>
      <c r="AC13" s="3" t="s">
        <v>939</v>
      </c>
      <c r="AD13" s="3" t="s">
        <v>2006</v>
      </c>
      <c r="AE13" s="3" t="s">
        <v>941</v>
      </c>
      <c r="AF13" s="3" t="s">
        <v>942</v>
      </c>
    </row>
    <row r="14" spans="1:32" x14ac:dyDescent="0.35">
      <c r="A14" s="3">
        <v>13</v>
      </c>
      <c r="B14" s="3" t="s">
        <v>958</v>
      </c>
      <c r="C14" s="3" t="s">
        <v>959</v>
      </c>
      <c r="D14" s="3" t="s">
        <v>751</v>
      </c>
      <c r="E14" s="3">
        <v>2021</v>
      </c>
      <c r="F14" s="3">
        <v>2020</v>
      </c>
      <c r="G14" s="3" t="s">
        <v>753</v>
      </c>
      <c r="H14" s="3" t="s">
        <v>776</v>
      </c>
      <c r="I14" s="3">
        <v>-6.2394439999999998</v>
      </c>
      <c r="J14" s="3">
        <v>106.992778</v>
      </c>
      <c r="K14" s="3" t="s">
        <v>962</v>
      </c>
      <c r="L14" s="3" t="s">
        <v>832</v>
      </c>
      <c r="M14" s="3" t="s">
        <v>763</v>
      </c>
      <c r="N14" s="3" t="s">
        <v>763</v>
      </c>
      <c r="O14" s="3" t="s">
        <v>763</v>
      </c>
      <c r="P14" s="3" t="s">
        <v>763</v>
      </c>
      <c r="Q14" s="3" t="s">
        <v>763</v>
      </c>
      <c r="R14" s="3" t="s">
        <v>1560</v>
      </c>
      <c r="S14" s="3" t="s">
        <v>787</v>
      </c>
      <c r="T14" s="3" t="s">
        <v>1031</v>
      </c>
      <c r="U14" s="3" t="s">
        <v>1989</v>
      </c>
      <c r="V14" s="3" t="s">
        <v>2026</v>
      </c>
      <c r="W14" s="3" t="s">
        <v>766</v>
      </c>
      <c r="X14" s="3" t="s">
        <v>787</v>
      </c>
      <c r="Y14" s="3" t="s">
        <v>763</v>
      </c>
      <c r="Z14" s="3" t="s">
        <v>789</v>
      </c>
      <c r="AA14" s="3" t="s">
        <v>966</v>
      </c>
      <c r="AB14" s="3" t="s">
        <v>967</v>
      </c>
      <c r="AC14" s="3" t="s">
        <v>968</v>
      </c>
      <c r="AD14" s="3" t="s">
        <v>763</v>
      </c>
      <c r="AE14" s="3" t="s">
        <v>969</v>
      </c>
      <c r="AF14" s="3" t="s">
        <v>763</v>
      </c>
    </row>
    <row r="15" spans="1:32" x14ac:dyDescent="0.35">
      <c r="A15" s="3">
        <v>14</v>
      </c>
      <c r="B15" s="3" t="s">
        <v>92</v>
      </c>
      <c r="C15" s="3" t="s">
        <v>1008</v>
      </c>
      <c r="D15" s="3" t="s">
        <v>751</v>
      </c>
      <c r="E15" s="3">
        <v>2020</v>
      </c>
      <c r="F15" s="27">
        <v>43831</v>
      </c>
      <c r="G15" s="3" t="s">
        <v>753</v>
      </c>
      <c r="H15" s="3" t="s">
        <v>754</v>
      </c>
      <c r="I15" s="3">
        <v>23.241667</v>
      </c>
      <c r="J15" s="3">
        <v>77.391666999999998</v>
      </c>
      <c r="K15" s="3" t="s">
        <v>1012</v>
      </c>
      <c r="L15" s="3" t="s">
        <v>756</v>
      </c>
      <c r="M15" s="3" t="s">
        <v>1912</v>
      </c>
      <c r="N15" s="3" t="s">
        <v>1923</v>
      </c>
      <c r="O15" s="3" t="s">
        <v>1956</v>
      </c>
      <c r="P15" s="3" t="s">
        <v>1016</v>
      </c>
      <c r="Q15" s="3" t="s">
        <v>763</v>
      </c>
      <c r="R15" s="3" t="s">
        <v>833</v>
      </c>
      <c r="S15" s="3" t="s">
        <v>787</v>
      </c>
      <c r="T15" s="3" t="s">
        <v>865</v>
      </c>
      <c r="U15" s="3" t="s">
        <v>764</v>
      </c>
      <c r="V15" s="29" t="s">
        <v>2030</v>
      </c>
      <c r="W15" s="3" t="s">
        <v>766</v>
      </c>
      <c r="X15" s="3" t="s">
        <v>787</v>
      </c>
      <c r="Y15" s="3" t="s">
        <v>763</v>
      </c>
      <c r="Z15" s="3" t="s">
        <v>768</v>
      </c>
      <c r="AA15" s="3" t="s">
        <v>1781</v>
      </c>
      <c r="AB15" s="3" t="s">
        <v>763</v>
      </c>
      <c r="AC15" s="3" t="s">
        <v>1013</v>
      </c>
      <c r="AD15" s="3" t="s">
        <v>1022</v>
      </c>
      <c r="AE15" s="3" t="s">
        <v>1018</v>
      </c>
      <c r="AF15" s="3" t="s">
        <v>2046</v>
      </c>
    </row>
    <row r="16" spans="1:32" x14ac:dyDescent="0.35">
      <c r="A16" s="3">
        <v>15</v>
      </c>
      <c r="B16" s="3" t="s">
        <v>98</v>
      </c>
      <c r="C16" s="3" t="s">
        <v>1030</v>
      </c>
      <c r="D16" s="3" t="s">
        <v>751</v>
      </c>
      <c r="E16" s="3">
        <v>2018</v>
      </c>
      <c r="F16" s="3" t="s">
        <v>1897</v>
      </c>
      <c r="G16" s="3" t="s">
        <v>795</v>
      </c>
      <c r="H16" s="3" t="s">
        <v>754</v>
      </c>
      <c r="I16" s="3">
        <v>9.9311939999999996</v>
      </c>
      <c r="J16" s="3">
        <v>76.267306000000005</v>
      </c>
      <c r="K16" s="3" t="s">
        <v>1753</v>
      </c>
      <c r="L16" s="3" t="s">
        <v>756</v>
      </c>
      <c r="M16" s="3" t="s">
        <v>1024</v>
      </c>
      <c r="N16" s="3" t="s">
        <v>1924</v>
      </c>
      <c r="O16" s="3" t="s">
        <v>1959</v>
      </c>
      <c r="P16" s="3" t="s">
        <v>759</v>
      </c>
      <c r="Q16" s="3" t="s">
        <v>763</v>
      </c>
      <c r="R16" s="3" t="s">
        <v>786</v>
      </c>
      <c r="S16" s="3" t="s">
        <v>762</v>
      </c>
      <c r="T16" s="3" t="s">
        <v>1031</v>
      </c>
      <c r="U16" s="3" t="s">
        <v>1991</v>
      </c>
      <c r="V16" s="3" t="s">
        <v>1032</v>
      </c>
      <c r="W16" s="3" t="s">
        <v>766</v>
      </c>
      <c r="X16" s="3" t="s">
        <v>762</v>
      </c>
      <c r="Y16" s="3" t="s">
        <v>763</v>
      </c>
      <c r="Z16" s="3" t="s">
        <v>789</v>
      </c>
      <c r="AA16" s="3" t="s">
        <v>1033</v>
      </c>
      <c r="AB16" s="3" t="s">
        <v>763</v>
      </c>
      <c r="AC16" s="3" t="s">
        <v>1034</v>
      </c>
      <c r="AD16" s="3" t="s">
        <v>763</v>
      </c>
      <c r="AE16" s="3" t="s">
        <v>763</v>
      </c>
      <c r="AF16" s="3" t="s">
        <v>1027</v>
      </c>
    </row>
    <row r="17" spans="1:32" x14ac:dyDescent="0.35">
      <c r="A17" s="3">
        <v>16</v>
      </c>
      <c r="B17" t="s">
        <v>111</v>
      </c>
      <c r="C17" t="s">
        <v>113</v>
      </c>
      <c r="D17" s="3" t="s">
        <v>751</v>
      </c>
      <c r="E17" s="3">
        <v>2018</v>
      </c>
      <c r="F17" s="3">
        <v>2016</v>
      </c>
      <c r="G17" s="3" t="s">
        <v>753</v>
      </c>
      <c r="H17" s="3" t="s">
        <v>776</v>
      </c>
      <c r="I17" s="3">
        <v>-6.2249999999999996</v>
      </c>
      <c r="J17" s="3">
        <v>106.63333299999999</v>
      </c>
      <c r="K17" s="3" t="s">
        <v>1037</v>
      </c>
      <c r="L17" s="3" t="s">
        <v>832</v>
      </c>
      <c r="M17" s="3" t="s">
        <v>763</v>
      </c>
      <c r="N17" s="3" t="s">
        <v>763</v>
      </c>
      <c r="O17" s="3" t="s">
        <v>763</v>
      </c>
      <c r="P17" s="3" t="s">
        <v>763</v>
      </c>
      <c r="Q17" s="3" t="s">
        <v>763</v>
      </c>
      <c r="R17" s="3" t="s">
        <v>1560</v>
      </c>
      <c r="S17" s="3" t="s">
        <v>787</v>
      </c>
      <c r="T17" s="3" t="s">
        <v>1031</v>
      </c>
      <c r="U17" s="3" t="s">
        <v>1039</v>
      </c>
      <c r="V17" s="3" t="s">
        <v>2026</v>
      </c>
      <c r="W17" s="3" t="s">
        <v>766</v>
      </c>
      <c r="X17" s="3" t="s">
        <v>787</v>
      </c>
      <c r="Y17" s="3" t="s">
        <v>763</v>
      </c>
      <c r="Z17" s="3" t="s">
        <v>789</v>
      </c>
      <c r="AA17" s="3" t="s">
        <v>1041</v>
      </c>
      <c r="AB17" s="3" t="s">
        <v>1040</v>
      </c>
      <c r="AC17" s="3" t="s">
        <v>2007</v>
      </c>
      <c r="AD17" s="3" t="s">
        <v>763</v>
      </c>
      <c r="AE17" s="3" t="s">
        <v>2010</v>
      </c>
      <c r="AF17" s="5" t="s">
        <v>1044</v>
      </c>
    </row>
    <row r="18" spans="1:32" x14ac:dyDescent="0.35">
      <c r="A18" s="3">
        <v>17</v>
      </c>
      <c r="B18" t="s">
        <v>126</v>
      </c>
      <c r="C18" t="s">
        <v>128</v>
      </c>
      <c r="D18" s="3" t="s">
        <v>751</v>
      </c>
      <c r="E18" s="3">
        <v>2023</v>
      </c>
      <c r="F18" s="3">
        <v>2019</v>
      </c>
      <c r="G18" s="3" t="s">
        <v>753</v>
      </c>
      <c r="H18" s="3" t="s">
        <v>776</v>
      </c>
      <c r="I18" s="3">
        <v>-20.761651000000001</v>
      </c>
      <c r="J18" s="3">
        <v>-42.870387999999998</v>
      </c>
      <c r="K18" s="3" t="s">
        <v>863</v>
      </c>
      <c r="L18" s="3" t="s">
        <v>846</v>
      </c>
      <c r="M18" s="3" t="s">
        <v>763</v>
      </c>
      <c r="N18" s="3" t="s">
        <v>763</v>
      </c>
      <c r="O18" s="3" t="s">
        <v>763</v>
      </c>
      <c r="P18" s="3" t="s">
        <v>763</v>
      </c>
      <c r="Q18" s="3" t="s">
        <v>850</v>
      </c>
      <c r="R18" s="3" t="s">
        <v>833</v>
      </c>
      <c r="S18" s="3" t="s">
        <v>787</v>
      </c>
      <c r="T18" s="3" t="s">
        <v>865</v>
      </c>
      <c r="U18" s="3" t="s">
        <v>1052</v>
      </c>
      <c r="V18" s="3" t="s">
        <v>1032</v>
      </c>
      <c r="W18" s="3" t="s">
        <v>766</v>
      </c>
      <c r="X18" s="3" t="s">
        <v>787</v>
      </c>
      <c r="Y18" s="3" t="s">
        <v>1053</v>
      </c>
      <c r="Z18" s="3" t="s">
        <v>789</v>
      </c>
      <c r="AA18" s="3" t="s">
        <v>763</v>
      </c>
      <c r="AB18" s="3" t="s">
        <v>763</v>
      </c>
      <c r="AC18" s="3" t="s">
        <v>1048</v>
      </c>
      <c r="AD18" s="3" t="s">
        <v>763</v>
      </c>
      <c r="AE18" s="3" t="s">
        <v>763</v>
      </c>
      <c r="AF18" s="3" t="s">
        <v>1051</v>
      </c>
    </row>
    <row r="19" spans="1:32" x14ac:dyDescent="0.35">
      <c r="A19" s="3">
        <v>18</v>
      </c>
      <c r="B19" t="s">
        <v>131</v>
      </c>
      <c r="C19" t="s">
        <v>133</v>
      </c>
      <c r="D19" s="3" t="s">
        <v>751</v>
      </c>
      <c r="E19" s="3">
        <v>2021</v>
      </c>
      <c r="F19" s="3">
        <v>2019</v>
      </c>
      <c r="G19" s="3" t="s">
        <v>753</v>
      </c>
      <c r="H19" s="3" t="s">
        <v>754</v>
      </c>
      <c r="I19" s="3">
        <v>3.103361</v>
      </c>
      <c r="J19" s="3">
        <v>101.625111</v>
      </c>
      <c r="K19" s="3" t="s">
        <v>1054</v>
      </c>
      <c r="L19" s="3" t="s">
        <v>799</v>
      </c>
      <c r="M19" s="3" t="s">
        <v>1019</v>
      </c>
      <c r="N19" s="3" t="s">
        <v>763</v>
      </c>
      <c r="O19" s="3" t="s">
        <v>1960</v>
      </c>
      <c r="P19" s="3" t="s">
        <v>763</v>
      </c>
      <c r="Q19" s="3" t="s">
        <v>763</v>
      </c>
      <c r="R19" s="3" t="s">
        <v>1055</v>
      </c>
      <c r="S19" s="3" t="s">
        <v>787</v>
      </c>
      <c r="T19" s="3" t="s">
        <v>834</v>
      </c>
      <c r="U19" s="3" t="s">
        <v>1059</v>
      </c>
      <c r="V19" s="3" t="s">
        <v>2026</v>
      </c>
      <c r="W19" s="3" t="s">
        <v>1058</v>
      </c>
      <c r="X19" s="3" t="s">
        <v>787</v>
      </c>
      <c r="Y19" s="3" t="s">
        <v>1066</v>
      </c>
      <c r="Z19" s="3" t="s">
        <v>789</v>
      </c>
      <c r="AA19" s="3" t="s">
        <v>763</v>
      </c>
      <c r="AB19" s="3" t="s">
        <v>763</v>
      </c>
      <c r="AC19" s="3" t="s">
        <v>1056</v>
      </c>
      <c r="AD19" s="3" t="s">
        <v>1057</v>
      </c>
      <c r="AE19" s="3" t="s">
        <v>2011</v>
      </c>
      <c r="AF19" s="3" t="s">
        <v>1064</v>
      </c>
    </row>
    <row r="20" spans="1:32" x14ac:dyDescent="0.35">
      <c r="A20" s="3">
        <v>19</v>
      </c>
      <c r="B20" t="s">
        <v>136</v>
      </c>
      <c r="C20" t="s">
        <v>138</v>
      </c>
      <c r="D20" s="3" t="s">
        <v>751</v>
      </c>
      <c r="E20" s="3">
        <v>2024</v>
      </c>
      <c r="F20" s="3" t="s">
        <v>1079</v>
      </c>
      <c r="G20" s="3" t="s">
        <v>753</v>
      </c>
      <c r="H20" s="3" t="s">
        <v>754</v>
      </c>
      <c r="I20" s="3">
        <v>14.292999999999999</v>
      </c>
      <c r="J20" s="3">
        <v>99.825999999999993</v>
      </c>
      <c r="K20" s="18" t="s">
        <v>1793</v>
      </c>
      <c r="L20" s="3" t="s">
        <v>1068</v>
      </c>
      <c r="M20" s="3" t="s">
        <v>763</v>
      </c>
      <c r="N20" s="3" t="s">
        <v>763</v>
      </c>
      <c r="O20" s="3" t="s">
        <v>763</v>
      </c>
      <c r="P20" s="3" t="s">
        <v>763</v>
      </c>
      <c r="Q20" s="3" t="s">
        <v>763</v>
      </c>
      <c r="R20" s="3" t="s">
        <v>833</v>
      </c>
      <c r="S20" s="3" t="s">
        <v>787</v>
      </c>
      <c r="T20" s="3" t="s">
        <v>1031</v>
      </c>
      <c r="U20" s="3" t="s">
        <v>1992</v>
      </c>
      <c r="V20" s="3" t="s">
        <v>2026</v>
      </c>
      <c r="W20" s="3" t="s">
        <v>766</v>
      </c>
      <c r="X20" s="3" t="s">
        <v>787</v>
      </c>
      <c r="Y20" s="3" t="s">
        <v>1072</v>
      </c>
      <c r="Z20" s="3" t="s">
        <v>768</v>
      </c>
      <c r="AA20" s="3" t="s">
        <v>1071</v>
      </c>
      <c r="AB20" s="3" t="s">
        <v>1073</v>
      </c>
      <c r="AC20" s="3" t="s">
        <v>1075</v>
      </c>
      <c r="AD20" s="3" t="s">
        <v>763</v>
      </c>
      <c r="AE20" s="3" t="s">
        <v>763</v>
      </c>
      <c r="AF20" s="3" t="s">
        <v>2047</v>
      </c>
    </row>
    <row r="21" spans="1:32" x14ac:dyDescent="0.35">
      <c r="A21" s="3">
        <v>20</v>
      </c>
      <c r="B21" t="s">
        <v>148</v>
      </c>
      <c r="C21" t="s">
        <v>150</v>
      </c>
      <c r="D21" s="3" t="s">
        <v>751</v>
      </c>
      <c r="E21" s="3">
        <v>2022</v>
      </c>
      <c r="F21" s="3">
        <v>2021</v>
      </c>
      <c r="G21" s="3" t="s">
        <v>753</v>
      </c>
      <c r="H21" s="3" t="s">
        <v>754</v>
      </c>
      <c r="I21" s="3">
        <v>23.181944000000001</v>
      </c>
      <c r="J21" s="3">
        <v>77.421943999999996</v>
      </c>
      <c r="K21" s="3" t="s">
        <v>1012</v>
      </c>
      <c r="L21" s="3" t="s">
        <v>756</v>
      </c>
      <c r="M21" s="3" t="s">
        <v>1912</v>
      </c>
      <c r="N21" s="3" t="s">
        <v>1925</v>
      </c>
      <c r="O21" s="3" t="s">
        <v>1961</v>
      </c>
      <c r="P21" s="3" t="s">
        <v>763</v>
      </c>
      <c r="Q21" s="3" t="s">
        <v>763</v>
      </c>
      <c r="R21" s="3" t="s">
        <v>786</v>
      </c>
      <c r="S21" s="3" t="s">
        <v>762</v>
      </c>
      <c r="T21" s="3" t="s">
        <v>834</v>
      </c>
      <c r="U21" s="3" t="s">
        <v>1993</v>
      </c>
      <c r="V21" s="3" t="s">
        <v>2027</v>
      </c>
      <c r="W21" s="3" t="s">
        <v>766</v>
      </c>
      <c r="X21" s="3" t="s">
        <v>787</v>
      </c>
      <c r="Y21" s="3" t="s">
        <v>763</v>
      </c>
      <c r="Z21" s="3" t="s">
        <v>768</v>
      </c>
      <c r="AA21" s="3" t="s">
        <v>1089</v>
      </c>
      <c r="AB21" s="3" t="s">
        <v>1088</v>
      </c>
      <c r="AC21" s="3" t="s">
        <v>1084</v>
      </c>
      <c r="AD21" s="3" t="s">
        <v>763</v>
      </c>
      <c r="AE21" s="3" t="s">
        <v>1090</v>
      </c>
      <c r="AF21" s="3" t="s">
        <v>1087</v>
      </c>
    </row>
    <row r="22" spans="1:32" x14ac:dyDescent="0.35">
      <c r="A22" s="3">
        <v>21</v>
      </c>
      <c r="B22" t="s">
        <v>153</v>
      </c>
      <c r="C22" t="s">
        <v>155</v>
      </c>
      <c r="D22" s="3" t="s">
        <v>751</v>
      </c>
      <c r="E22" s="3">
        <v>2015</v>
      </c>
      <c r="F22" s="3">
        <v>2015</v>
      </c>
      <c r="G22" s="3" t="s">
        <v>753</v>
      </c>
      <c r="H22" s="3" t="s">
        <v>754</v>
      </c>
      <c r="I22" s="3">
        <v>1.5027779999999999</v>
      </c>
      <c r="J22" s="3">
        <v>103.93555600000001</v>
      </c>
      <c r="K22" t="s">
        <v>1095</v>
      </c>
      <c r="L22" s="3" t="s">
        <v>799</v>
      </c>
      <c r="M22" s="3" t="s">
        <v>763</v>
      </c>
      <c r="N22" s="3" t="s">
        <v>763</v>
      </c>
      <c r="O22" s="3" t="s">
        <v>763</v>
      </c>
      <c r="P22" s="3" t="s">
        <v>763</v>
      </c>
      <c r="Q22" s="3" t="s">
        <v>763</v>
      </c>
      <c r="R22" s="3" t="s">
        <v>1094</v>
      </c>
      <c r="S22" s="3" t="s">
        <v>787</v>
      </c>
      <c r="T22" s="3" t="s">
        <v>1031</v>
      </c>
      <c r="U22" s="3" t="s">
        <v>764</v>
      </c>
      <c r="V22" s="3" t="s">
        <v>2026</v>
      </c>
      <c r="W22" s="3" t="s">
        <v>766</v>
      </c>
      <c r="X22" s="3" t="s">
        <v>787</v>
      </c>
      <c r="Y22" t="s">
        <v>1096</v>
      </c>
      <c r="Z22" s="3" t="s">
        <v>789</v>
      </c>
      <c r="AA22" s="3" t="s">
        <v>763</v>
      </c>
      <c r="AB22" s="3" t="s">
        <v>763</v>
      </c>
      <c r="AC22" s="3" t="s">
        <v>1093</v>
      </c>
      <c r="AD22" s="3" t="s">
        <v>1097</v>
      </c>
      <c r="AE22" s="3" t="s">
        <v>1100</v>
      </c>
      <c r="AF22" s="3" t="s">
        <v>1092</v>
      </c>
    </row>
    <row r="23" spans="1:32" x14ac:dyDescent="0.35">
      <c r="A23" s="3">
        <v>22</v>
      </c>
      <c r="B23" t="s">
        <v>158</v>
      </c>
      <c r="C23" t="s">
        <v>160</v>
      </c>
      <c r="D23" s="3" t="s">
        <v>751</v>
      </c>
      <c r="E23" s="3">
        <v>2020</v>
      </c>
      <c r="F23" s="3" t="s">
        <v>763</v>
      </c>
      <c r="G23" s="3" t="s">
        <v>753</v>
      </c>
      <c r="H23" s="3" t="s">
        <v>754</v>
      </c>
      <c r="I23" s="3">
        <v>8.1652780000000007</v>
      </c>
      <c r="J23" s="3">
        <v>38.054443999999997</v>
      </c>
      <c r="K23" t="s">
        <v>1104</v>
      </c>
      <c r="L23" s="3" t="s">
        <v>1102</v>
      </c>
      <c r="M23" s="3" t="s">
        <v>763</v>
      </c>
      <c r="N23" s="3" t="s">
        <v>763</v>
      </c>
      <c r="O23" s="3" t="s">
        <v>763</v>
      </c>
      <c r="P23" s="3" t="s">
        <v>763</v>
      </c>
      <c r="Q23" s="3" t="s">
        <v>763</v>
      </c>
      <c r="R23" s="3" t="s">
        <v>833</v>
      </c>
      <c r="S23" s="3" t="s">
        <v>787</v>
      </c>
      <c r="T23" s="3" t="s">
        <v>865</v>
      </c>
      <c r="U23" s="3" t="s">
        <v>764</v>
      </c>
      <c r="V23" s="3" t="s">
        <v>2026</v>
      </c>
      <c r="W23" s="3" t="s">
        <v>766</v>
      </c>
      <c r="X23" s="3" t="s">
        <v>787</v>
      </c>
      <c r="Y23" s="3" t="s">
        <v>763</v>
      </c>
      <c r="Z23" s="3" t="s">
        <v>768</v>
      </c>
      <c r="AA23" s="3" t="s">
        <v>1103</v>
      </c>
      <c r="AB23" s="3" t="s">
        <v>1108</v>
      </c>
      <c r="AC23" s="3" t="s">
        <v>1107</v>
      </c>
      <c r="AD23" t="s">
        <v>1110</v>
      </c>
      <c r="AE23" s="3" t="s">
        <v>2012</v>
      </c>
      <c r="AF23" s="3" t="s">
        <v>1109</v>
      </c>
    </row>
    <row r="24" spans="1:32" x14ac:dyDescent="0.35">
      <c r="A24" s="3">
        <v>24</v>
      </c>
      <c r="B24" t="s">
        <v>173</v>
      </c>
      <c r="C24" t="s">
        <v>175</v>
      </c>
      <c r="D24" s="3" t="s">
        <v>751</v>
      </c>
      <c r="E24" s="3">
        <v>2024</v>
      </c>
      <c r="F24" s="3">
        <v>2020</v>
      </c>
      <c r="G24" s="3" t="s">
        <v>753</v>
      </c>
      <c r="H24" s="3" t="s">
        <v>754</v>
      </c>
      <c r="I24" s="3">
        <v>9.0783889999999996</v>
      </c>
      <c r="J24" s="3">
        <v>38.759208000000001</v>
      </c>
      <c r="K24" t="s">
        <v>1104</v>
      </c>
      <c r="L24" s="3" t="s">
        <v>1102</v>
      </c>
      <c r="M24" s="3" t="s">
        <v>763</v>
      </c>
      <c r="N24" t="s">
        <v>1926</v>
      </c>
      <c r="O24" t="s">
        <v>1962</v>
      </c>
      <c r="P24" s="3" t="s">
        <v>763</v>
      </c>
      <c r="Q24" s="3" t="s">
        <v>763</v>
      </c>
      <c r="R24" s="3" t="s">
        <v>833</v>
      </c>
      <c r="S24" s="3" t="s">
        <v>762</v>
      </c>
      <c r="T24" s="3" t="s">
        <v>865</v>
      </c>
      <c r="U24" s="3" t="s">
        <v>764</v>
      </c>
      <c r="V24" t="s">
        <v>2026</v>
      </c>
      <c r="W24" s="3" t="s">
        <v>766</v>
      </c>
      <c r="X24" s="3" t="s">
        <v>762</v>
      </c>
      <c r="Y24" s="3" t="s">
        <v>763</v>
      </c>
      <c r="Z24" s="3" t="s">
        <v>768</v>
      </c>
      <c r="AA24" s="3" t="s">
        <v>1121</v>
      </c>
      <c r="AB24" s="3" t="s">
        <v>1120</v>
      </c>
      <c r="AC24" s="3" t="s">
        <v>1124</v>
      </c>
      <c r="AD24" s="3" t="s">
        <v>763</v>
      </c>
      <c r="AE24" s="3" t="s">
        <v>1125</v>
      </c>
      <c r="AF24" t="s">
        <v>1119</v>
      </c>
    </row>
    <row r="25" spans="1:32" x14ac:dyDescent="0.35">
      <c r="A25" s="3">
        <v>25</v>
      </c>
      <c r="B25" t="s">
        <v>1144</v>
      </c>
      <c r="C25" t="s">
        <v>1145</v>
      </c>
      <c r="D25" s="3" t="s">
        <v>751</v>
      </c>
      <c r="E25" s="3">
        <v>2019</v>
      </c>
      <c r="F25" s="3">
        <v>2018</v>
      </c>
      <c r="G25" s="3" t="s">
        <v>753</v>
      </c>
      <c r="H25" s="3" t="s">
        <v>754</v>
      </c>
      <c r="I25" s="3">
        <v>10.296523000000001</v>
      </c>
      <c r="J25" s="3">
        <v>123.8986</v>
      </c>
      <c r="K25" t="s">
        <v>1143</v>
      </c>
      <c r="L25" s="3" t="s">
        <v>1112</v>
      </c>
      <c r="M25" t="s">
        <v>1208</v>
      </c>
      <c r="N25" t="s">
        <v>1927</v>
      </c>
      <c r="O25" t="s">
        <v>1963</v>
      </c>
      <c r="P25" s="3" t="s">
        <v>763</v>
      </c>
      <c r="Q25" s="3" t="s">
        <v>763</v>
      </c>
      <c r="R25" s="3" t="s">
        <v>786</v>
      </c>
      <c r="S25" s="3" t="s">
        <v>787</v>
      </c>
      <c r="T25" s="3" t="s">
        <v>834</v>
      </c>
      <c r="U25" s="3" t="s">
        <v>1148</v>
      </c>
      <c r="V25" t="s">
        <v>2027</v>
      </c>
      <c r="W25" s="3" t="s">
        <v>766</v>
      </c>
      <c r="X25" s="3" t="s">
        <v>787</v>
      </c>
      <c r="Y25" s="3" t="s">
        <v>1142</v>
      </c>
      <c r="Z25" s="3" t="s">
        <v>789</v>
      </c>
      <c r="AA25" t="s">
        <v>1146</v>
      </c>
      <c r="AB25" s="7" t="s">
        <v>1147</v>
      </c>
      <c r="AC25" t="s">
        <v>1156</v>
      </c>
      <c r="AD25" s="3" t="s">
        <v>763</v>
      </c>
      <c r="AE25" s="7" t="s">
        <v>1157</v>
      </c>
      <c r="AF25" t="s">
        <v>1150</v>
      </c>
    </row>
    <row r="26" spans="1:32" x14ac:dyDescent="0.35">
      <c r="A26" s="3">
        <v>26</v>
      </c>
      <c r="B26" t="s">
        <v>183</v>
      </c>
      <c r="C26" t="s">
        <v>1158</v>
      </c>
      <c r="D26" s="3" t="s">
        <v>751</v>
      </c>
      <c r="E26" s="3">
        <v>2019</v>
      </c>
      <c r="F26" s="3" t="s">
        <v>1898</v>
      </c>
      <c r="G26" s="3" t="s">
        <v>753</v>
      </c>
      <c r="H26" s="3" t="s">
        <v>754</v>
      </c>
      <c r="I26" s="3">
        <v>1.3122499999999999</v>
      </c>
      <c r="J26" s="3">
        <v>103.910861</v>
      </c>
      <c r="K26" t="s">
        <v>1159</v>
      </c>
      <c r="L26" t="s">
        <v>1159</v>
      </c>
      <c r="M26" t="s">
        <v>1019</v>
      </c>
      <c r="N26" t="s">
        <v>1928</v>
      </c>
      <c r="O26" t="s">
        <v>1964</v>
      </c>
      <c r="P26" s="3" t="s">
        <v>948</v>
      </c>
      <c r="Q26" s="3" t="s">
        <v>763</v>
      </c>
      <c r="R26" s="3" t="s">
        <v>786</v>
      </c>
      <c r="S26" s="3" t="s">
        <v>762</v>
      </c>
      <c r="T26" s="3" t="s">
        <v>834</v>
      </c>
      <c r="U26" s="3" t="s">
        <v>1994</v>
      </c>
      <c r="V26" t="s">
        <v>2026</v>
      </c>
      <c r="W26" s="3" t="s">
        <v>766</v>
      </c>
      <c r="X26" s="3" t="s">
        <v>826</v>
      </c>
      <c r="Y26" s="3" t="s">
        <v>1170</v>
      </c>
      <c r="Z26" s="3" t="s">
        <v>789</v>
      </c>
      <c r="AA26" s="3" t="s">
        <v>763</v>
      </c>
      <c r="AB26" s="7" t="s">
        <v>1169</v>
      </c>
      <c r="AC26" t="s">
        <v>763</v>
      </c>
      <c r="AD26" s="3" t="s">
        <v>763</v>
      </c>
      <c r="AE26" s="7" t="s">
        <v>1168</v>
      </c>
      <c r="AF26" t="s">
        <v>1136</v>
      </c>
    </row>
    <row r="27" spans="1:32" x14ac:dyDescent="0.35">
      <c r="A27" s="3">
        <v>27</v>
      </c>
      <c r="B27" t="s">
        <v>185</v>
      </c>
      <c r="C27" t="s">
        <v>187</v>
      </c>
      <c r="D27" s="3" t="s">
        <v>751</v>
      </c>
      <c r="E27" s="3">
        <v>2023</v>
      </c>
      <c r="F27" s="3">
        <v>2013</v>
      </c>
      <c r="G27" s="3" t="s">
        <v>753</v>
      </c>
      <c r="H27" s="3" t="s">
        <v>754</v>
      </c>
      <c r="I27" s="3">
        <v>19.546806</v>
      </c>
      <c r="J27" s="3">
        <v>-96.950417000000002</v>
      </c>
      <c r="K27" t="s">
        <v>1171</v>
      </c>
      <c r="L27" t="s">
        <v>894</v>
      </c>
      <c r="M27" t="s">
        <v>1019</v>
      </c>
      <c r="N27" s="3" t="s">
        <v>763</v>
      </c>
      <c r="O27" s="3" t="s">
        <v>763</v>
      </c>
      <c r="P27" s="3" t="s">
        <v>763</v>
      </c>
      <c r="Q27" s="3" t="s">
        <v>763</v>
      </c>
      <c r="R27" s="3" t="s">
        <v>833</v>
      </c>
      <c r="S27" s="3" t="s">
        <v>787</v>
      </c>
      <c r="T27" s="3" t="s">
        <v>865</v>
      </c>
      <c r="U27" s="3" t="s">
        <v>764</v>
      </c>
      <c r="V27" t="s">
        <v>2027</v>
      </c>
      <c r="W27" t="s">
        <v>766</v>
      </c>
      <c r="X27" s="3" t="s">
        <v>787</v>
      </c>
      <c r="Y27" s="3" t="s">
        <v>763</v>
      </c>
      <c r="Z27" s="3" t="s">
        <v>789</v>
      </c>
      <c r="AA27" s="3" t="s">
        <v>1175</v>
      </c>
      <c r="AB27" s="7" t="s">
        <v>1174</v>
      </c>
      <c r="AC27" t="s">
        <v>1172</v>
      </c>
      <c r="AD27" s="3" t="s">
        <v>763</v>
      </c>
      <c r="AE27" t="s">
        <v>1176</v>
      </c>
      <c r="AF27" t="s">
        <v>1160</v>
      </c>
    </row>
    <row r="28" spans="1:32" x14ac:dyDescent="0.35">
      <c r="A28" s="3">
        <v>28</v>
      </c>
      <c r="B28" t="s">
        <v>200</v>
      </c>
      <c r="C28" t="s">
        <v>202</v>
      </c>
      <c r="D28" s="3" t="s">
        <v>751</v>
      </c>
      <c r="E28" s="3">
        <v>2018</v>
      </c>
      <c r="F28" s="3" t="s">
        <v>1899</v>
      </c>
      <c r="G28" s="3" t="s">
        <v>795</v>
      </c>
      <c r="H28" s="3" t="s">
        <v>776</v>
      </c>
      <c r="I28" s="3">
        <v>-8.6636769999999999</v>
      </c>
      <c r="J28" s="3">
        <v>115.22344699999999</v>
      </c>
      <c r="K28" t="s">
        <v>1754</v>
      </c>
      <c r="L28" t="s">
        <v>832</v>
      </c>
      <c r="M28" t="s">
        <v>1019</v>
      </c>
      <c r="N28" s="3" t="s">
        <v>763</v>
      </c>
      <c r="O28" t="s">
        <v>1965</v>
      </c>
      <c r="P28" s="3" t="s">
        <v>763</v>
      </c>
      <c r="Q28" s="3" t="s">
        <v>763</v>
      </c>
      <c r="R28" t="s">
        <v>1187</v>
      </c>
      <c r="S28" s="3" t="s">
        <v>787</v>
      </c>
      <c r="T28" s="3" t="s">
        <v>1397</v>
      </c>
      <c r="U28" s="3" t="s">
        <v>1182</v>
      </c>
      <c r="V28" t="s">
        <v>1744</v>
      </c>
      <c r="W28" s="3" t="s">
        <v>1188</v>
      </c>
      <c r="X28" s="3" t="s">
        <v>787</v>
      </c>
      <c r="Y28" s="3" t="s">
        <v>1189</v>
      </c>
      <c r="Z28" s="3" t="s">
        <v>789</v>
      </c>
      <c r="AA28" s="3" t="s">
        <v>763</v>
      </c>
      <c r="AB28" s="7" t="s">
        <v>763</v>
      </c>
      <c r="AC28" s="8" t="s">
        <v>1186</v>
      </c>
      <c r="AD28" s="7" t="s">
        <v>763</v>
      </c>
      <c r="AE28" t="s">
        <v>763</v>
      </c>
      <c r="AF28" t="s">
        <v>763</v>
      </c>
    </row>
    <row r="29" spans="1:32" x14ac:dyDescent="0.35">
      <c r="A29" s="3">
        <v>29</v>
      </c>
      <c r="B29" t="s">
        <v>210</v>
      </c>
      <c r="C29" t="s">
        <v>212</v>
      </c>
      <c r="D29" s="3" t="s">
        <v>751</v>
      </c>
      <c r="E29" s="3">
        <v>2024</v>
      </c>
      <c r="F29" s="3" t="s">
        <v>1900</v>
      </c>
      <c r="G29" s="3" t="s">
        <v>753</v>
      </c>
      <c r="H29" s="3" t="s">
        <v>754</v>
      </c>
      <c r="I29" s="3">
        <v>11.266667</v>
      </c>
      <c r="J29" s="3">
        <v>36.833333000000003</v>
      </c>
      <c r="K29" t="s">
        <v>1193</v>
      </c>
      <c r="L29" s="3" t="s">
        <v>1102</v>
      </c>
      <c r="M29" s="3" t="s">
        <v>1019</v>
      </c>
      <c r="N29" s="3" t="s">
        <v>1929</v>
      </c>
      <c r="O29" s="3" t="s">
        <v>1962</v>
      </c>
      <c r="P29" s="3" t="s">
        <v>1016</v>
      </c>
      <c r="Q29" s="3" t="s">
        <v>763</v>
      </c>
      <c r="R29" s="3" t="s">
        <v>833</v>
      </c>
      <c r="S29" s="3" t="s">
        <v>787</v>
      </c>
      <c r="T29" t="s">
        <v>1986</v>
      </c>
      <c r="U29" s="3" t="s">
        <v>764</v>
      </c>
      <c r="V29" s="3" t="s">
        <v>2026</v>
      </c>
      <c r="W29" s="3" t="s">
        <v>766</v>
      </c>
      <c r="X29" s="3" t="s">
        <v>787</v>
      </c>
      <c r="Y29" s="3" t="s">
        <v>763</v>
      </c>
      <c r="Z29" s="3" t="s">
        <v>768</v>
      </c>
      <c r="AA29" s="7" t="s">
        <v>1196</v>
      </c>
      <c r="AB29" s="7" t="s">
        <v>763</v>
      </c>
      <c r="AC29" s="8" t="s">
        <v>1194</v>
      </c>
      <c r="AD29" s="7" t="s">
        <v>763</v>
      </c>
      <c r="AE29" s="7" t="s">
        <v>2013</v>
      </c>
      <c r="AF29" s="7" t="s">
        <v>763</v>
      </c>
    </row>
    <row r="30" spans="1:32" x14ac:dyDescent="0.35">
      <c r="A30" s="3">
        <v>30</v>
      </c>
      <c r="B30" t="s">
        <v>235</v>
      </c>
      <c r="C30" t="s">
        <v>237</v>
      </c>
      <c r="D30" s="3" t="s">
        <v>751</v>
      </c>
      <c r="E30" s="3">
        <v>2021</v>
      </c>
      <c r="F30" s="27">
        <v>42401</v>
      </c>
      <c r="G30" s="3" t="s">
        <v>753</v>
      </c>
      <c r="H30" s="3" t="s">
        <v>754</v>
      </c>
      <c r="I30" s="3">
        <v>10.775556</v>
      </c>
      <c r="J30" s="3">
        <v>106.701944</v>
      </c>
      <c r="K30" t="s">
        <v>1204</v>
      </c>
      <c r="L30" s="3" t="s">
        <v>1202</v>
      </c>
      <c r="M30" t="s">
        <v>1208</v>
      </c>
      <c r="N30" s="3" t="s">
        <v>763</v>
      </c>
      <c r="O30" s="3" t="s">
        <v>763</v>
      </c>
      <c r="P30" s="3" t="s">
        <v>1016</v>
      </c>
      <c r="Q30" t="s">
        <v>1113</v>
      </c>
      <c r="R30" s="3" t="s">
        <v>1560</v>
      </c>
      <c r="S30" s="3" t="s">
        <v>787</v>
      </c>
      <c r="T30" t="s">
        <v>1211</v>
      </c>
      <c r="U30" s="3" t="s">
        <v>1205</v>
      </c>
      <c r="V30" t="s">
        <v>1744</v>
      </c>
      <c r="W30" s="3" t="s">
        <v>1188</v>
      </c>
      <c r="X30" s="3" t="s">
        <v>787</v>
      </c>
      <c r="Y30" s="3" t="s">
        <v>1209</v>
      </c>
      <c r="Z30" s="3" t="s">
        <v>789</v>
      </c>
      <c r="AA30" s="7" t="s">
        <v>763</v>
      </c>
      <c r="AB30" s="7" t="s">
        <v>763</v>
      </c>
      <c r="AC30" s="8" t="s">
        <v>1212</v>
      </c>
      <c r="AD30" s="7" t="s">
        <v>763</v>
      </c>
      <c r="AE30" s="7" t="s">
        <v>763</v>
      </c>
      <c r="AF30" s="7" t="s">
        <v>763</v>
      </c>
    </row>
    <row r="31" spans="1:32" x14ac:dyDescent="0.35">
      <c r="A31" s="3">
        <v>31</v>
      </c>
      <c r="B31" t="s">
        <v>254</v>
      </c>
      <c r="C31" t="s">
        <v>256</v>
      </c>
      <c r="D31" s="3" t="s">
        <v>751</v>
      </c>
      <c r="E31" s="3">
        <v>2017</v>
      </c>
      <c r="F31" s="3">
        <v>2007</v>
      </c>
      <c r="G31" s="3" t="s">
        <v>753</v>
      </c>
      <c r="H31" s="3" t="s">
        <v>754</v>
      </c>
      <c r="I31" s="3">
        <v>6.2319440000000004</v>
      </c>
      <c r="J31" s="3">
        <v>-75.568055999999999</v>
      </c>
      <c r="K31" t="s">
        <v>1214</v>
      </c>
      <c r="L31" s="3" t="s">
        <v>1213</v>
      </c>
      <c r="M31" s="3" t="s">
        <v>1019</v>
      </c>
      <c r="N31" t="s">
        <v>1930</v>
      </c>
      <c r="O31" t="s">
        <v>1966</v>
      </c>
      <c r="P31" s="3" t="s">
        <v>763</v>
      </c>
      <c r="Q31" s="3" t="s">
        <v>763</v>
      </c>
      <c r="R31" t="s">
        <v>786</v>
      </c>
      <c r="S31" s="3" t="s">
        <v>787</v>
      </c>
      <c r="T31" t="s">
        <v>834</v>
      </c>
      <c r="U31" s="8" t="s">
        <v>1222</v>
      </c>
      <c r="V31" s="29" t="s">
        <v>2032</v>
      </c>
      <c r="W31" s="3" t="s">
        <v>766</v>
      </c>
      <c r="X31" s="3" t="s">
        <v>787</v>
      </c>
      <c r="Y31" t="s">
        <v>1221</v>
      </c>
      <c r="Z31" s="3" t="s">
        <v>768</v>
      </c>
      <c r="AA31" s="7" t="s">
        <v>1220</v>
      </c>
      <c r="AB31" s="7" t="s">
        <v>763</v>
      </c>
      <c r="AC31" t="s">
        <v>1216</v>
      </c>
      <c r="AD31" s="7" t="s">
        <v>763</v>
      </c>
      <c r="AE31" s="7" t="s">
        <v>2014</v>
      </c>
      <c r="AF31" t="s">
        <v>2048</v>
      </c>
    </row>
    <row r="32" spans="1:32" x14ac:dyDescent="0.35">
      <c r="A32" s="3">
        <v>32</v>
      </c>
      <c r="B32" t="s">
        <v>259</v>
      </c>
      <c r="C32" t="s">
        <v>261</v>
      </c>
      <c r="D32" s="3" t="s">
        <v>751</v>
      </c>
      <c r="E32" s="3">
        <v>2021</v>
      </c>
      <c r="F32" s="3" t="s">
        <v>1264</v>
      </c>
      <c r="G32" s="3" t="s">
        <v>795</v>
      </c>
      <c r="H32" s="3" t="s">
        <v>754</v>
      </c>
      <c r="I32" s="3">
        <v>22.574999999999999</v>
      </c>
      <c r="J32" s="3">
        <v>90.775000000000006</v>
      </c>
      <c r="K32" s="19" t="s">
        <v>1770</v>
      </c>
      <c r="L32" s="3" t="s">
        <v>985</v>
      </c>
      <c r="M32" t="s">
        <v>1360</v>
      </c>
      <c r="N32" t="s">
        <v>1931</v>
      </c>
      <c r="O32" t="s">
        <v>1967</v>
      </c>
      <c r="P32" s="3" t="s">
        <v>763</v>
      </c>
      <c r="Q32" t="s">
        <v>1113</v>
      </c>
      <c r="R32" t="s">
        <v>1234</v>
      </c>
      <c r="S32" s="3" t="s">
        <v>787</v>
      </c>
      <c r="T32" s="3" t="s">
        <v>1235</v>
      </c>
      <c r="U32" s="8" t="s">
        <v>1995</v>
      </c>
      <c r="V32" t="s">
        <v>1744</v>
      </c>
      <c r="W32" s="3" t="s">
        <v>1188</v>
      </c>
      <c r="X32" s="3" t="s">
        <v>787</v>
      </c>
      <c r="Y32" s="3" t="s">
        <v>763</v>
      </c>
      <c r="Z32" s="3" t="s">
        <v>768</v>
      </c>
      <c r="AA32" t="s">
        <v>1233</v>
      </c>
      <c r="AB32" s="7" t="s">
        <v>763</v>
      </c>
      <c r="AC32" s="7" t="s">
        <v>1237</v>
      </c>
      <c r="AD32" s="7" t="s">
        <v>763</v>
      </c>
      <c r="AE32" s="7" t="s">
        <v>763</v>
      </c>
      <c r="AF32" t="s">
        <v>763</v>
      </c>
    </row>
    <row r="33" spans="1:32" x14ac:dyDescent="0.35">
      <c r="A33" s="3">
        <v>33</v>
      </c>
      <c r="B33" t="s">
        <v>263</v>
      </c>
      <c r="C33" t="s">
        <v>265</v>
      </c>
      <c r="D33" s="3" t="s">
        <v>751</v>
      </c>
      <c r="E33" s="3">
        <v>2009</v>
      </c>
      <c r="F33" s="3" t="s">
        <v>1901</v>
      </c>
      <c r="G33" s="3" t="s">
        <v>753</v>
      </c>
      <c r="H33" s="3" t="s">
        <v>754</v>
      </c>
      <c r="I33" s="3">
        <v>23.155556000000001</v>
      </c>
      <c r="J33" s="3">
        <v>77.366944000000004</v>
      </c>
      <c r="K33" t="s">
        <v>1012</v>
      </c>
      <c r="L33" s="3" t="s">
        <v>756</v>
      </c>
      <c r="M33" t="s">
        <v>1912</v>
      </c>
      <c r="N33" s="3" t="s">
        <v>763</v>
      </c>
      <c r="O33" s="3" t="s">
        <v>763</v>
      </c>
      <c r="P33" s="3" t="s">
        <v>948</v>
      </c>
      <c r="Q33" s="3" t="s">
        <v>763</v>
      </c>
      <c r="R33" s="3" t="s">
        <v>833</v>
      </c>
      <c r="S33" s="3" t="s">
        <v>787</v>
      </c>
      <c r="T33" s="3" t="s">
        <v>1238</v>
      </c>
      <c r="U33" s="7" t="s">
        <v>764</v>
      </c>
      <c r="V33" s="8" t="s">
        <v>2026</v>
      </c>
      <c r="W33" s="3" t="s">
        <v>1241</v>
      </c>
      <c r="X33" s="3" t="s">
        <v>787</v>
      </c>
      <c r="Y33" s="3" t="s">
        <v>763</v>
      </c>
      <c r="Z33" s="3" t="s">
        <v>789</v>
      </c>
      <c r="AA33" t="s">
        <v>1244</v>
      </c>
      <c r="AB33" s="7" t="s">
        <v>763</v>
      </c>
      <c r="AC33" t="s">
        <v>1245</v>
      </c>
      <c r="AD33" s="7" t="s">
        <v>763</v>
      </c>
      <c r="AE33" s="8" t="s">
        <v>1248</v>
      </c>
      <c r="AF33" t="s">
        <v>2049</v>
      </c>
    </row>
    <row r="34" spans="1:32" x14ac:dyDescent="0.35">
      <c r="A34" s="3">
        <v>34</v>
      </c>
      <c r="B34" t="s">
        <v>268</v>
      </c>
      <c r="C34" t="s">
        <v>270</v>
      </c>
      <c r="D34" s="3" t="s">
        <v>751</v>
      </c>
      <c r="E34" s="3">
        <v>2024</v>
      </c>
      <c r="F34" s="3" t="s">
        <v>763</v>
      </c>
      <c r="G34" s="3" t="s">
        <v>753</v>
      </c>
      <c r="H34" s="3" t="s">
        <v>754</v>
      </c>
      <c r="I34" s="3">
        <v>16.478860999999998</v>
      </c>
      <c r="J34" s="3">
        <v>120.586167</v>
      </c>
      <c r="K34" t="s">
        <v>1250</v>
      </c>
      <c r="L34" s="3" t="s">
        <v>1112</v>
      </c>
      <c r="M34" t="s">
        <v>1913</v>
      </c>
      <c r="N34" s="3" t="s">
        <v>763</v>
      </c>
      <c r="O34" s="3" t="s">
        <v>763</v>
      </c>
      <c r="P34" s="3" t="s">
        <v>763</v>
      </c>
      <c r="Q34" s="3" t="s">
        <v>763</v>
      </c>
      <c r="R34" s="3" t="s">
        <v>833</v>
      </c>
      <c r="S34" s="3" t="s">
        <v>787</v>
      </c>
      <c r="T34" s="3" t="s">
        <v>1238</v>
      </c>
      <c r="U34" s="7" t="s">
        <v>1996</v>
      </c>
      <c r="V34" t="s">
        <v>2031</v>
      </c>
      <c r="W34" s="3" t="s">
        <v>766</v>
      </c>
      <c r="X34" s="3" t="s">
        <v>787</v>
      </c>
      <c r="Y34" s="3" t="s">
        <v>763</v>
      </c>
      <c r="Z34" s="3" t="s">
        <v>768</v>
      </c>
      <c r="AA34" t="s">
        <v>1249</v>
      </c>
      <c r="AB34" s="3" t="s">
        <v>763</v>
      </c>
      <c r="AC34" t="s">
        <v>1252</v>
      </c>
      <c r="AD34" t="s">
        <v>1251</v>
      </c>
      <c r="AE34" t="s">
        <v>2015</v>
      </c>
      <c r="AF34" t="s">
        <v>763</v>
      </c>
    </row>
    <row r="35" spans="1:32" x14ac:dyDescent="0.35">
      <c r="A35" s="3">
        <v>35</v>
      </c>
      <c r="B35" t="s">
        <v>273</v>
      </c>
      <c r="C35" t="s">
        <v>275</v>
      </c>
      <c r="D35" s="3" t="s">
        <v>751</v>
      </c>
      <c r="E35" s="3">
        <v>2023</v>
      </c>
      <c r="F35" s="3">
        <v>2017</v>
      </c>
      <c r="G35" s="3" t="s">
        <v>753</v>
      </c>
      <c r="H35" s="3" t="s">
        <v>754</v>
      </c>
      <c r="I35" s="3">
        <v>23.2</v>
      </c>
      <c r="J35" s="3">
        <v>83.033332999999999</v>
      </c>
      <c r="K35" t="s">
        <v>1258</v>
      </c>
      <c r="L35" s="3" t="s">
        <v>756</v>
      </c>
      <c r="M35" s="3" t="s">
        <v>1019</v>
      </c>
      <c r="N35" t="s">
        <v>1261</v>
      </c>
      <c r="O35" t="s">
        <v>1968</v>
      </c>
      <c r="P35" s="3" t="s">
        <v>763</v>
      </c>
      <c r="Q35" s="3" t="s">
        <v>763</v>
      </c>
      <c r="R35" t="s">
        <v>786</v>
      </c>
      <c r="S35" s="3" t="s">
        <v>787</v>
      </c>
      <c r="T35" s="3" t="s">
        <v>834</v>
      </c>
      <c r="U35" s="7" t="s">
        <v>764</v>
      </c>
      <c r="V35" s="7" t="s">
        <v>2031</v>
      </c>
      <c r="W35" s="3" t="s">
        <v>766</v>
      </c>
      <c r="X35" s="3" t="s">
        <v>787</v>
      </c>
      <c r="Y35" s="3" t="s">
        <v>763</v>
      </c>
      <c r="Z35" s="3" t="s">
        <v>789</v>
      </c>
      <c r="AA35" t="s">
        <v>2050</v>
      </c>
      <c r="AB35" s="3" t="s">
        <v>1266</v>
      </c>
      <c r="AC35" t="s">
        <v>1269</v>
      </c>
      <c r="AD35" t="s">
        <v>763</v>
      </c>
      <c r="AE35" s="8" t="s">
        <v>1265</v>
      </c>
      <c r="AF35" s="8" t="s">
        <v>1270</v>
      </c>
    </row>
    <row r="36" spans="1:32" x14ac:dyDescent="0.35">
      <c r="A36" s="3">
        <v>36</v>
      </c>
      <c r="B36" t="s">
        <v>283</v>
      </c>
      <c r="C36" t="s">
        <v>1158</v>
      </c>
      <c r="D36" s="3" t="s">
        <v>751</v>
      </c>
      <c r="E36" s="3">
        <v>2017</v>
      </c>
      <c r="F36" s="3" t="s">
        <v>763</v>
      </c>
      <c r="G36" s="3" t="s">
        <v>753</v>
      </c>
      <c r="H36" s="3" t="s">
        <v>754</v>
      </c>
      <c r="I36" s="3">
        <v>8.75</v>
      </c>
      <c r="J36" s="3">
        <v>38.65</v>
      </c>
      <c r="K36" t="s">
        <v>1104</v>
      </c>
      <c r="L36" s="3" t="s">
        <v>1102</v>
      </c>
      <c r="M36" s="3" t="s">
        <v>1913</v>
      </c>
      <c r="N36" s="3" t="s">
        <v>763</v>
      </c>
      <c r="O36" s="3" t="s">
        <v>763</v>
      </c>
      <c r="P36" s="3" t="s">
        <v>763</v>
      </c>
      <c r="Q36" s="3" t="s">
        <v>763</v>
      </c>
      <c r="R36" s="3" t="s">
        <v>833</v>
      </c>
      <c r="S36" s="3" t="s">
        <v>787</v>
      </c>
      <c r="T36" s="3" t="s">
        <v>1238</v>
      </c>
      <c r="U36" s="7" t="s">
        <v>764</v>
      </c>
      <c r="V36" s="7" t="s">
        <v>2031</v>
      </c>
      <c r="W36" s="3" t="s">
        <v>766</v>
      </c>
      <c r="X36" s="3" t="s">
        <v>787</v>
      </c>
      <c r="Y36" s="3" t="s">
        <v>763</v>
      </c>
      <c r="Z36" s="3" t="s">
        <v>768</v>
      </c>
      <c r="AA36" t="s">
        <v>1273</v>
      </c>
      <c r="AB36" s="3" t="s">
        <v>1271</v>
      </c>
      <c r="AC36" t="s">
        <v>1272</v>
      </c>
      <c r="AD36" t="s">
        <v>763</v>
      </c>
      <c r="AE36" s="8" t="s">
        <v>1274</v>
      </c>
      <c r="AF36" t="s">
        <v>2051</v>
      </c>
    </row>
    <row r="37" spans="1:32" x14ac:dyDescent="0.35">
      <c r="A37" s="3">
        <v>43</v>
      </c>
      <c r="B37" t="s">
        <v>292</v>
      </c>
      <c r="C37" t="s">
        <v>294</v>
      </c>
      <c r="D37" s="3" t="s">
        <v>751</v>
      </c>
      <c r="E37" s="3">
        <v>2023</v>
      </c>
      <c r="F37" s="3" t="s">
        <v>1282</v>
      </c>
      <c r="G37" s="3" t="s">
        <v>795</v>
      </c>
      <c r="H37" s="3" t="s">
        <v>754</v>
      </c>
      <c r="I37" s="3">
        <v>6.6678009999999999</v>
      </c>
      <c r="J37" s="3">
        <v>2.1480250000000001</v>
      </c>
      <c r="K37" t="s">
        <v>1788</v>
      </c>
      <c r="L37" s="3" t="s">
        <v>1280</v>
      </c>
      <c r="M37" t="s">
        <v>1208</v>
      </c>
      <c r="N37" s="3" t="s">
        <v>763</v>
      </c>
      <c r="O37" s="3" t="s">
        <v>763</v>
      </c>
      <c r="P37" s="3" t="s">
        <v>763</v>
      </c>
      <c r="Q37" s="3" t="s">
        <v>1883</v>
      </c>
      <c r="R37" t="s">
        <v>1285</v>
      </c>
      <c r="S37" s="3" t="s">
        <v>787</v>
      </c>
      <c r="T37" s="3" t="s">
        <v>1284</v>
      </c>
      <c r="U37" s="7" t="s">
        <v>1281</v>
      </c>
      <c r="V37" t="s">
        <v>1744</v>
      </c>
      <c r="W37" s="7" t="s">
        <v>1188</v>
      </c>
      <c r="X37" s="3" t="s">
        <v>787</v>
      </c>
      <c r="Y37" s="3" t="s">
        <v>763</v>
      </c>
      <c r="Z37" s="3" t="s">
        <v>768</v>
      </c>
      <c r="AA37" s="8" t="s">
        <v>1283</v>
      </c>
      <c r="AB37" s="7" t="s">
        <v>1792</v>
      </c>
      <c r="AC37" s="8" t="s">
        <v>1286</v>
      </c>
      <c r="AD37" t="s">
        <v>763</v>
      </c>
      <c r="AE37" s="8" t="s">
        <v>2016</v>
      </c>
      <c r="AF37" t="s">
        <v>763</v>
      </c>
    </row>
    <row r="38" spans="1:32" x14ac:dyDescent="0.35">
      <c r="A38" s="3">
        <v>38</v>
      </c>
      <c r="B38" t="s">
        <v>330</v>
      </c>
      <c r="C38" t="s">
        <v>332</v>
      </c>
      <c r="D38" s="3" t="s">
        <v>751</v>
      </c>
      <c r="E38" s="3">
        <v>2016</v>
      </c>
      <c r="F38" s="3">
        <v>2013</v>
      </c>
      <c r="G38" s="3" t="s">
        <v>753</v>
      </c>
      <c r="H38" s="3" t="s">
        <v>754</v>
      </c>
      <c r="I38" s="3">
        <v>19.283332999999999</v>
      </c>
      <c r="J38" s="3">
        <v>-99.183333000000005</v>
      </c>
      <c r="K38" t="s">
        <v>1292</v>
      </c>
      <c r="L38" s="3" t="s">
        <v>1213</v>
      </c>
      <c r="M38" s="3" t="s">
        <v>763</v>
      </c>
      <c r="N38" t="s">
        <v>1932</v>
      </c>
      <c r="O38" t="s">
        <v>1969</v>
      </c>
      <c r="P38" s="3" t="s">
        <v>763</v>
      </c>
      <c r="Q38" s="3" t="s">
        <v>763</v>
      </c>
      <c r="R38" s="3" t="s">
        <v>833</v>
      </c>
      <c r="S38" s="3" t="s">
        <v>787</v>
      </c>
      <c r="T38" s="3" t="s">
        <v>1284</v>
      </c>
      <c r="U38" s="7" t="s">
        <v>764</v>
      </c>
      <c r="V38" s="7" t="s">
        <v>2031</v>
      </c>
      <c r="W38" s="7" t="s">
        <v>766</v>
      </c>
      <c r="X38" s="3" t="s">
        <v>787</v>
      </c>
      <c r="Y38" s="3" t="s">
        <v>763</v>
      </c>
      <c r="Z38" s="3" t="s">
        <v>789</v>
      </c>
      <c r="AA38" s="7" t="s">
        <v>1296</v>
      </c>
      <c r="AB38" s="7" t="s">
        <v>1289</v>
      </c>
      <c r="AC38" s="8" t="s">
        <v>1297</v>
      </c>
      <c r="AD38" s="8" t="s">
        <v>1295</v>
      </c>
      <c r="AE38" s="8" t="s">
        <v>2017</v>
      </c>
      <c r="AF38" t="s">
        <v>2052</v>
      </c>
    </row>
    <row r="39" spans="1:32" ht="15.5" x14ac:dyDescent="0.35">
      <c r="A39" s="3">
        <v>39</v>
      </c>
      <c r="B39" t="s">
        <v>335</v>
      </c>
      <c r="C39" t="s">
        <v>337</v>
      </c>
      <c r="D39" s="3" t="s">
        <v>751</v>
      </c>
      <c r="E39" s="3">
        <v>2022</v>
      </c>
      <c r="F39" s="3" t="s">
        <v>1304</v>
      </c>
      <c r="G39" s="3" t="s">
        <v>795</v>
      </c>
      <c r="H39" s="3" t="s">
        <v>754</v>
      </c>
      <c r="I39" s="3">
        <v>18.159199999999998</v>
      </c>
      <c r="J39" s="3">
        <v>42.397908000000001</v>
      </c>
      <c r="K39" t="s">
        <v>1301</v>
      </c>
      <c r="L39" s="3" t="s">
        <v>1300</v>
      </c>
      <c r="M39" s="3" t="s">
        <v>763</v>
      </c>
      <c r="N39" t="s">
        <v>1933</v>
      </c>
      <c r="O39" t="s">
        <v>1970</v>
      </c>
      <c r="P39" s="3" t="s">
        <v>763</v>
      </c>
      <c r="Q39" t="s">
        <v>1306</v>
      </c>
      <c r="R39" t="s">
        <v>1889</v>
      </c>
      <c r="S39" s="3" t="s">
        <v>787</v>
      </c>
      <c r="T39" s="3" t="s">
        <v>1310</v>
      </c>
      <c r="U39" s="8" t="s">
        <v>1997</v>
      </c>
      <c r="V39" t="s">
        <v>1744</v>
      </c>
      <c r="W39" s="7" t="s">
        <v>1188</v>
      </c>
      <c r="X39" s="3" t="s">
        <v>787</v>
      </c>
      <c r="Y39" s="3" t="s">
        <v>763</v>
      </c>
      <c r="Z39" s="3" t="s">
        <v>768</v>
      </c>
      <c r="AA39" s="9" t="s">
        <v>1311</v>
      </c>
      <c r="AB39" s="7" t="s">
        <v>763</v>
      </c>
      <c r="AC39" t="s">
        <v>1305</v>
      </c>
      <c r="AD39" s="8" t="s">
        <v>763</v>
      </c>
      <c r="AE39" t="s">
        <v>1307</v>
      </c>
      <c r="AF39" s="8" t="s">
        <v>1308</v>
      </c>
    </row>
    <row r="40" spans="1:32" x14ac:dyDescent="0.35">
      <c r="A40" s="3">
        <v>40</v>
      </c>
      <c r="B40" s="8" t="s">
        <v>360</v>
      </c>
      <c r="C40" s="8" t="s">
        <v>362</v>
      </c>
      <c r="D40" s="7" t="s">
        <v>751</v>
      </c>
      <c r="E40" s="7">
        <v>2018</v>
      </c>
      <c r="F40" s="7" t="s">
        <v>1312</v>
      </c>
      <c r="G40" s="7" t="s">
        <v>795</v>
      </c>
      <c r="H40" s="7" t="s">
        <v>776</v>
      </c>
      <c r="I40" s="3">
        <v>4.5980559999999997</v>
      </c>
      <c r="J40" s="3">
        <v>-74.075833000000003</v>
      </c>
      <c r="K40" s="8" t="s">
        <v>1292</v>
      </c>
      <c r="L40" s="7" t="s">
        <v>1213</v>
      </c>
      <c r="M40" s="8" t="s">
        <v>1914</v>
      </c>
      <c r="N40" s="8" t="s">
        <v>1916</v>
      </c>
      <c r="O40" s="8" t="s">
        <v>1971</v>
      </c>
      <c r="P40" s="7" t="s">
        <v>763</v>
      </c>
      <c r="Q40" s="8" t="s">
        <v>1884</v>
      </c>
      <c r="R40" s="3" t="s">
        <v>1560</v>
      </c>
      <c r="S40" s="7" t="s">
        <v>787</v>
      </c>
      <c r="T40" s="8" t="s">
        <v>1235</v>
      </c>
      <c r="U40" s="8" t="s">
        <v>1995</v>
      </c>
      <c r="V40" t="s">
        <v>1744</v>
      </c>
      <c r="W40" s="7" t="s">
        <v>1188</v>
      </c>
      <c r="X40" s="7" t="s">
        <v>787</v>
      </c>
      <c r="Y40" s="7" t="s">
        <v>763</v>
      </c>
      <c r="Z40" s="3" t="s">
        <v>768</v>
      </c>
      <c r="AA40" s="8" t="s">
        <v>1324</v>
      </c>
      <c r="AB40" s="7" t="s">
        <v>763</v>
      </c>
      <c r="AC40" s="8" t="s">
        <v>1323</v>
      </c>
      <c r="AD40" s="8" t="s">
        <v>763</v>
      </c>
      <c r="AE40" s="8" t="s">
        <v>763</v>
      </c>
      <c r="AF40" s="8" t="s">
        <v>1322</v>
      </c>
    </row>
    <row r="41" spans="1:32" x14ac:dyDescent="0.35">
      <c r="A41" s="3">
        <v>41</v>
      </c>
      <c r="B41" t="s">
        <v>364</v>
      </c>
      <c r="C41" t="s">
        <v>366</v>
      </c>
      <c r="D41" s="7" t="s">
        <v>751</v>
      </c>
      <c r="E41" s="7">
        <v>2021</v>
      </c>
      <c r="F41" s="3">
        <v>2018</v>
      </c>
      <c r="G41" s="7" t="s">
        <v>753</v>
      </c>
      <c r="H41" s="7" t="s">
        <v>754</v>
      </c>
      <c r="I41" s="3">
        <v>5.55</v>
      </c>
      <c r="J41" s="3">
        <v>-0.2</v>
      </c>
      <c r="K41" s="8" t="s">
        <v>1326</v>
      </c>
      <c r="L41" s="7" t="s">
        <v>1325</v>
      </c>
      <c r="M41" s="7" t="s">
        <v>1329</v>
      </c>
      <c r="N41" s="7" t="s">
        <v>1934</v>
      </c>
      <c r="O41" s="7" t="s">
        <v>1972</v>
      </c>
      <c r="P41" s="7" t="s">
        <v>763</v>
      </c>
      <c r="Q41" s="3" t="s">
        <v>763</v>
      </c>
      <c r="R41" s="8" t="s">
        <v>786</v>
      </c>
      <c r="S41" s="7" t="s">
        <v>787</v>
      </c>
      <c r="T41" s="7" t="s">
        <v>1031</v>
      </c>
      <c r="U41" s="8" t="s">
        <v>1998</v>
      </c>
      <c r="V41" s="7" t="s">
        <v>1032</v>
      </c>
      <c r="W41" s="7" t="s">
        <v>766</v>
      </c>
      <c r="X41" s="7" t="s">
        <v>787</v>
      </c>
      <c r="Y41" s="7" t="s">
        <v>1334</v>
      </c>
      <c r="Z41" s="7" t="s">
        <v>789</v>
      </c>
      <c r="AA41" s="7" t="s">
        <v>1335</v>
      </c>
      <c r="AB41" s="7" t="s">
        <v>763</v>
      </c>
      <c r="AC41" s="8" t="s">
        <v>1333</v>
      </c>
      <c r="AD41" s="8" t="s">
        <v>763</v>
      </c>
      <c r="AE41" s="8" t="s">
        <v>763</v>
      </c>
      <c r="AF41" s="8" t="s">
        <v>763</v>
      </c>
    </row>
    <row r="42" spans="1:32" x14ac:dyDescent="0.35">
      <c r="A42" s="3">
        <v>42</v>
      </c>
      <c r="B42" t="s">
        <v>374</v>
      </c>
      <c r="C42" t="s">
        <v>376</v>
      </c>
      <c r="D42" s="7" t="s">
        <v>751</v>
      </c>
      <c r="E42" s="7">
        <v>2010</v>
      </c>
      <c r="F42" s="3">
        <v>2009</v>
      </c>
      <c r="G42" s="7" t="s">
        <v>753</v>
      </c>
      <c r="H42" s="7" t="s">
        <v>776</v>
      </c>
      <c r="I42" s="3">
        <v>-23.15</v>
      </c>
      <c r="J42" s="3">
        <v>-46.333333000000003</v>
      </c>
      <c r="K42" s="8" t="s">
        <v>1349</v>
      </c>
      <c r="L42" s="7" t="s">
        <v>846</v>
      </c>
      <c r="M42" s="3" t="s">
        <v>763</v>
      </c>
      <c r="N42" s="3" t="s">
        <v>763</v>
      </c>
      <c r="O42" s="3" t="s">
        <v>763</v>
      </c>
      <c r="P42" s="3" t="s">
        <v>763</v>
      </c>
      <c r="Q42" t="s">
        <v>850</v>
      </c>
      <c r="R42" s="3" t="s">
        <v>833</v>
      </c>
      <c r="S42" s="3" t="s">
        <v>787</v>
      </c>
      <c r="T42" s="7" t="s">
        <v>1238</v>
      </c>
      <c r="U42" s="7" t="s">
        <v>764</v>
      </c>
      <c r="V42" t="s">
        <v>2031</v>
      </c>
      <c r="W42" s="7" t="s">
        <v>766</v>
      </c>
      <c r="X42" s="7" t="s">
        <v>787</v>
      </c>
      <c r="Y42" s="7" t="s">
        <v>763</v>
      </c>
      <c r="Z42" s="3" t="s">
        <v>768</v>
      </c>
      <c r="AA42" s="8" t="s">
        <v>1355</v>
      </c>
      <c r="AB42" s="7" t="s">
        <v>1350</v>
      </c>
      <c r="AC42" t="s">
        <v>1348</v>
      </c>
      <c r="AD42" s="8" t="s">
        <v>1351</v>
      </c>
      <c r="AE42" s="8" t="s">
        <v>763</v>
      </c>
      <c r="AF42" s="8" t="s">
        <v>1356</v>
      </c>
    </row>
    <row r="43" spans="1:32" x14ac:dyDescent="0.35">
      <c r="A43" s="3">
        <v>43</v>
      </c>
      <c r="B43" s="8" t="s">
        <v>394</v>
      </c>
      <c r="C43" s="8" t="s">
        <v>396</v>
      </c>
      <c r="D43" s="7" t="s">
        <v>751</v>
      </c>
      <c r="E43" s="7">
        <v>2019</v>
      </c>
      <c r="F43" s="7" t="s">
        <v>1357</v>
      </c>
      <c r="G43" s="7" t="s">
        <v>753</v>
      </c>
      <c r="H43" s="7" t="s">
        <v>754</v>
      </c>
      <c r="I43" s="3">
        <v>23.2</v>
      </c>
      <c r="J43" s="3">
        <v>83.033332999999999</v>
      </c>
      <c r="K43" s="8" t="s">
        <v>1358</v>
      </c>
      <c r="L43" s="7" t="s">
        <v>756</v>
      </c>
      <c r="M43" s="7" t="s">
        <v>1360</v>
      </c>
      <c r="N43" s="7" t="s">
        <v>1935</v>
      </c>
      <c r="O43" s="7" t="s">
        <v>1973</v>
      </c>
      <c r="P43" s="7" t="s">
        <v>1363</v>
      </c>
      <c r="Q43" s="7" t="s">
        <v>763</v>
      </c>
      <c r="R43" s="8" t="s">
        <v>786</v>
      </c>
      <c r="S43" s="7" t="s">
        <v>787</v>
      </c>
      <c r="T43" s="7" t="s">
        <v>834</v>
      </c>
      <c r="U43" s="7" t="s">
        <v>925</v>
      </c>
      <c r="V43" s="8" t="s">
        <v>2033</v>
      </c>
      <c r="W43" s="7" t="s">
        <v>1359</v>
      </c>
      <c r="X43" s="7" t="s">
        <v>787</v>
      </c>
      <c r="Y43" s="7" t="s">
        <v>763</v>
      </c>
      <c r="Z43" s="7" t="s">
        <v>768</v>
      </c>
      <c r="AA43" s="8" t="s">
        <v>1367</v>
      </c>
      <c r="AB43" s="7" t="s">
        <v>1368</v>
      </c>
      <c r="AC43" s="8" t="s">
        <v>1365</v>
      </c>
      <c r="AD43" s="8" t="s">
        <v>763</v>
      </c>
      <c r="AE43" s="8" t="s">
        <v>1366</v>
      </c>
      <c r="AF43" s="8" t="s">
        <v>1369</v>
      </c>
    </row>
    <row r="44" spans="1:32" x14ac:dyDescent="0.35">
      <c r="A44" s="3">
        <v>44</v>
      </c>
      <c r="B44" s="8" t="s">
        <v>399</v>
      </c>
      <c r="C44" s="8" t="s">
        <v>401</v>
      </c>
      <c r="D44" s="7" t="s">
        <v>751</v>
      </c>
      <c r="E44" s="7">
        <v>2023</v>
      </c>
      <c r="F44" s="7" t="s">
        <v>1902</v>
      </c>
      <c r="G44" s="7" t="s">
        <v>753</v>
      </c>
      <c r="H44" s="7" t="s">
        <v>754</v>
      </c>
      <c r="I44" s="3">
        <v>11.183332999999999</v>
      </c>
      <c r="J44" s="3">
        <v>-4.2833329999999998</v>
      </c>
      <c r="K44" s="23" t="s">
        <v>1374</v>
      </c>
      <c r="L44" s="7" t="s">
        <v>1373</v>
      </c>
      <c r="M44" s="8" t="s">
        <v>1383</v>
      </c>
      <c r="N44" s="7" t="s">
        <v>1936</v>
      </c>
      <c r="O44" s="7" t="s">
        <v>1974</v>
      </c>
      <c r="P44" s="7" t="s">
        <v>881</v>
      </c>
      <c r="Q44" s="8" t="s">
        <v>1337</v>
      </c>
      <c r="R44" s="3" t="s">
        <v>833</v>
      </c>
      <c r="S44" s="7" t="s">
        <v>787</v>
      </c>
      <c r="T44" s="7" t="s">
        <v>865</v>
      </c>
      <c r="U44" s="7" t="s">
        <v>764</v>
      </c>
      <c r="V44" s="8" t="s">
        <v>2026</v>
      </c>
      <c r="W44" s="7" t="s">
        <v>766</v>
      </c>
      <c r="X44" s="7" t="s">
        <v>787</v>
      </c>
      <c r="Y44" s="7" t="s">
        <v>763</v>
      </c>
      <c r="Z44" s="7" t="s">
        <v>789</v>
      </c>
      <c r="AA44" s="8" t="s">
        <v>1378</v>
      </c>
      <c r="AB44" s="7" t="s">
        <v>1377</v>
      </c>
      <c r="AC44" s="8" t="s">
        <v>1379</v>
      </c>
      <c r="AD44" s="8" t="s">
        <v>763</v>
      </c>
      <c r="AE44" s="8" t="s">
        <v>1375</v>
      </c>
      <c r="AF44" s="8" t="s">
        <v>1376</v>
      </c>
    </row>
    <row r="45" spans="1:32" x14ac:dyDescent="0.35">
      <c r="A45" s="3">
        <v>45</v>
      </c>
      <c r="B45" t="s">
        <v>414</v>
      </c>
      <c r="C45" t="s">
        <v>416</v>
      </c>
      <c r="D45" s="7" t="s">
        <v>873</v>
      </c>
      <c r="E45" s="7">
        <v>2018</v>
      </c>
      <c r="F45" s="27">
        <v>41913</v>
      </c>
      <c r="G45" s="7" t="s">
        <v>753</v>
      </c>
      <c r="H45" s="7" t="s">
        <v>754</v>
      </c>
      <c r="I45" s="3">
        <v>7.0998609999999998</v>
      </c>
      <c r="J45" s="3">
        <v>-73.111500000000007</v>
      </c>
      <c r="K45" s="17" t="s">
        <v>1384</v>
      </c>
      <c r="L45" s="7" t="s">
        <v>1213</v>
      </c>
      <c r="M45" s="3" t="s">
        <v>763</v>
      </c>
      <c r="N45" s="3" t="s">
        <v>763</v>
      </c>
      <c r="O45" s="3" t="s">
        <v>763</v>
      </c>
      <c r="P45" s="7" t="s">
        <v>881</v>
      </c>
      <c r="Q45" s="3" t="s">
        <v>763</v>
      </c>
      <c r="R45" s="8" t="s">
        <v>786</v>
      </c>
      <c r="S45" s="7" t="s">
        <v>762</v>
      </c>
      <c r="T45" s="7" t="s">
        <v>1031</v>
      </c>
      <c r="U45" s="7" t="s">
        <v>1386</v>
      </c>
      <c r="V45" s="7" t="s">
        <v>2026</v>
      </c>
      <c r="W45" s="7" t="s">
        <v>766</v>
      </c>
      <c r="X45" s="7" t="s">
        <v>762</v>
      </c>
      <c r="Y45" s="7" t="s">
        <v>763</v>
      </c>
      <c r="Z45" s="7" t="s">
        <v>768</v>
      </c>
      <c r="AA45" s="7" t="s">
        <v>1392</v>
      </c>
      <c r="AB45" s="7" t="s">
        <v>1390</v>
      </c>
      <c r="AC45" s="8" t="s">
        <v>1389</v>
      </c>
      <c r="AD45" s="8" t="s">
        <v>763</v>
      </c>
      <c r="AE45" s="8" t="s">
        <v>1391</v>
      </c>
      <c r="AF45" t="s">
        <v>1388</v>
      </c>
    </row>
    <row r="46" spans="1:32" x14ac:dyDescent="0.35">
      <c r="A46" s="3">
        <v>46</v>
      </c>
      <c r="B46" t="s">
        <v>434</v>
      </c>
      <c r="C46" t="s">
        <v>436</v>
      </c>
      <c r="D46" s="7" t="s">
        <v>751</v>
      </c>
      <c r="E46" s="7">
        <v>2019</v>
      </c>
      <c r="F46" s="3" t="s">
        <v>1903</v>
      </c>
      <c r="G46" s="7" t="s">
        <v>753</v>
      </c>
      <c r="H46" s="7" t="s">
        <v>754</v>
      </c>
      <c r="I46" s="3">
        <v>22.033332999999999</v>
      </c>
      <c r="J46" s="3">
        <v>96.458736000000002</v>
      </c>
      <c r="K46" t="s">
        <v>1395</v>
      </c>
      <c r="L46" s="7" t="s">
        <v>1396</v>
      </c>
      <c r="M46" t="s">
        <v>1208</v>
      </c>
      <c r="N46" t="s">
        <v>1937</v>
      </c>
      <c r="O46" t="s">
        <v>1978</v>
      </c>
      <c r="P46" s="3" t="s">
        <v>1016</v>
      </c>
      <c r="Q46" t="s">
        <v>1403</v>
      </c>
      <c r="R46" s="8" t="s">
        <v>1983</v>
      </c>
      <c r="S46" s="7" t="s">
        <v>787</v>
      </c>
      <c r="T46" s="7" t="s">
        <v>1397</v>
      </c>
      <c r="U46" s="7" t="s">
        <v>764</v>
      </c>
      <c r="V46" s="7" t="s">
        <v>2026</v>
      </c>
      <c r="W46" s="7" t="s">
        <v>1399</v>
      </c>
      <c r="X46" s="7" t="s">
        <v>787</v>
      </c>
      <c r="Y46" s="7" t="s">
        <v>763</v>
      </c>
      <c r="Z46" s="7" t="s">
        <v>768</v>
      </c>
      <c r="AA46" s="8" t="s">
        <v>1410</v>
      </c>
      <c r="AB46" s="7" t="s">
        <v>1408</v>
      </c>
      <c r="AC46" s="8" t="s">
        <v>1411</v>
      </c>
      <c r="AD46" s="8" t="s">
        <v>763</v>
      </c>
      <c r="AE46" s="8" t="s">
        <v>2018</v>
      </c>
      <c r="AF46" s="8" t="s">
        <v>763</v>
      </c>
    </row>
    <row r="47" spans="1:32" x14ac:dyDescent="0.35">
      <c r="A47" s="3">
        <v>47</v>
      </c>
      <c r="B47" t="s">
        <v>457</v>
      </c>
      <c r="C47" t="s">
        <v>459</v>
      </c>
      <c r="D47" s="7" t="s">
        <v>751</v>
      </c>
      <c r="E47" s="7">
        <v>2021</v>
      </c>
      <c r="F47" s="7" t="s">
        <v>1414</v>
      </c>
      <c r="G47" s="7" t="s">
        <v>795</v>
      </c>
      <c r="H47" s="7" t="s">
        <v>754</v>
      </c>
      <c r="I47" s="3">
        <v>9.0875000000000004</v>
      </c>
      <c r="J47" s="3">
        <v>38.905833000000001</v>
      </c>
      <c r="K47" t="s">
        <v>1104</v>
      </c>
      <c r="L47" s="7" t="s">
        <v>1102</v>
      </c>
      <c r="M47" s="3" t="s">
        <v>763</v>
      </c>
      <c r="N47" t="s">
        <v>1261</v>
      </c>
      <c r="O47" t="s">
        <v>1979</v>
      </c>
      <c r="P47" s="3" t="s">
        <v>763</v>
      </c>
      <c r="Q47" s="3" t="s">
        <v>763</v>
      </c>
      <c r="R47" s="8" t="s">
        <v>1418</v>
      </c>
      <c r="S47" s="7" t="s">
        <v>787</v>
      </c>
      <c r="T47" s="7" t="s">
        <v>1397</v>
      </c>
      <c r="U47" s="7" t="s">
        <v>1999</v>
      </c>
      <c r="V47" t="s">
        <v>1744</v>
      </c>
      <c r="W47" s="7" t="s">
        <v>1417</v>
      </c>
      <c r="X47" s="7" t="s">
        <v>787</v>
      </c>
      <c r="Y47" s="7" t="s">
        <v>763</v>
      </c>
      <c r="Z47" s="7" t="s">
        <v>768</v>
      </c>
      <c r="AA47" s="8" t="s">
        <v>1419</v>
      </c>
      <c r="AB47" s="7" t="s">
        <v>763</v>
      </c>
      <c r="AC47" s="8" t="s">
        <v>1420</v>
      </c>
      <c r="AD47" s="8" t="s">
        <v>763</v>
      </c>
      <c r="AE47" s="8" t="s">
        <v>763</v>
      </c>
      <c r="AF47" s="8" t="s">
        <v>763</v>
      </c>
    </row>
    <row r="48" spans="1:32" x14ac:dyDescent="0.35">
      <c r="A48" s="3">
        <v>48</v>
      </c>
      <c r="B48" t="s">
        <v>466</v>
      </c>
      <c r="C48" t="s">
        <v>468</v>
      </c>
      <c r="D48" s="7" t="s">
        <v>751</v>
      </c>
      <c r="E48" s="7">
        <v>2016</v>
      </c>
      <c r="F48" s="3" t="s">
        <v>1904</v>
      </c>
      <c r="G48" s="7" t="s">
        <v>753</v>
      </c>
      <c r="H48" s="7" t="s">
        <v>776</v>
      </c>
      <c r="I48" s="3">
        <v>1.517139</v>
      </c>
      <c r="J48" s="3">
        <v>103.667556</v>
      </c>
      <c r="K48" s="21" t="s">
        <v>1778</v>
      </c>
      <c r="L48" s="7" t="s">
        <v>799</v>
      </c>
      <c r="M48" s="3" t="s">
        <v>763</v>
      </c>
      <c r="N48" s="3" t="s">
        <v>763</v>
      </c>
      <c r="O48" s="3" t="s">
        <v>763</v>
      </c>
      <c r="P48" s="7" t="s">
        <v>1843</v>
      </c>
      <c r="Q48" t="s">
        <v>1885</v>
      </c>
      <c r="R48" s="8" t="s">
        <v>1777</v>
      </c>
      <c r="S48" s="7" t="s">
        <v>787</v>
      </c>
      <c r="T48" s="7" t="s">
        <v>1397</v>
      </c>
      <c r="U48" s="7" t="s">
        <v>2000</v>
      </c>
      <c r="V48" s="8" t="s">
        <v>2027</v>
      </c>
      <c r="W48" s="7" t="s">
        <v>766</v>
      </c>
      <c r="X48" s="7" t="s">
        <v>787</v>
      </c>
      <c r="Y48" s="7" t="s">
        <v>763</v>
      </c>
      <c r="Z48" s="7" t="s">
        <v>789</v>
      </c>
      <c r="AA48" s="8" t="s">
        <v>1427</v>
      </c>
      <c r="AB48" s="7" t="s">
        <v>1426</v>
      </c>
      <c r="AC48" s="8" t="s">
        <v>1428</v>
      </c>
      <c r="AD48" s="8" t="s">
        <v>763</v>
      </c>
      <c r="AE48" s="8" t="s">
        <v>763</v>
      </c>
      <c r="AF48" s="8" t="s">
        <v>763</v>
      </c>
    </row>
    <row r="49" spans="1:32" x14ac:dyDescent="0.35">
      <c r="A49" s="3">
        <v>49</v>
      </c>
      <c r="B49" t="s">
        <v>476</v>
      </c>
      <c r="C49" t="s">
        <v>478</v>
      </c>
      <c r="D49" s="7" t="s">
        <v>751</v>
      </c>
      <c r="E49" s="7">
        <v>2023</v>
      </c>
      <c r="F49" s="3">
        <v>2021</v>
      </c>
      <c r="G49" s="7" t="s">
        <v>753</v>
      </c>
      <c r="H49" s="7" t="s">
        <v>754</v>
      </c>
      <c r="I49" s="3">
        <v>19.997499999999999</v>
      </c>
      <c r="J49" s="3">
        <v>73.789805999999999</v>
      </c>
      <c r="K49" s="7" t="s">
        <v>1431</v>
      </c>
      <c r="L49" s="7" t="s">
        <v>756</v>
      </c>
      <c r="M49" s="3" t="s">
        <v>763</v>
      </c>
      <c r="N49" s="3" t="s">
        <v>763</v>
      </c>
      <c r="O49" s="3" t="s">
        <v>763</v>
      </c>
      <c r="P49" s="3" t="s">
        <v>763</v>
      </c>
      <c r="Q49" s="3" t="s">
        <v>763</v>
      </c>
      <c r="R49" s="3" t="s">
        <v>1560</v>
      </c>
      <c r="S49" s="7" t="s">
        <v>787</v>
      </c>
      <c r="T49" s="7" t="s">
        <v>1031</v>
      </c>
      <c r="U49" s="7" t="s">
        <v>764</v>
      </c>
      <c r="V49" s="8" t="s">
        <v>2026</v>
      </c>
      <c r="W49" s="7" t="s">
        <v>766</v>
      </c>
      <c r="X49" s="7" t="s">
        <v>787</v>
      </c>
      <c r="Y49" s="7" t="s">
        <v>1439</v>
      </c>
      <c r="Z49" s="7" t="s">
        <v>768</v>
      </c>
      <c r="AA49" s="7" t="s">
        <v>1440</v>
      </c>
      <c r="AB49" s="7" t="s">
        <v>1429</v>
      </c>
      <c r="AC49" t="s">
        <v>1438</v>
      </c>
      <c r="AD49" s="8" t="s">
        <v>763</v>
      </c>
      <c r="AE49" s="8" t="s">
        <v>763</v>
      </c>
      <c r="AF49" t="s">
        <v>1430</v>
      </c>
    </row>
    <row r="50" spans="1:32" x14ac:dyDescent="0.35">
      <c r="A50" s="3">
        <v>50</v>
      </c>
      <c r="B50" t="s">
        <v>481</v>
      </c>
      <c r="C50" t="s">
        <v>483</v>
      </c>
      <c r="D50" s="7" t="s">
        <v>751</v>
      </c>
      <c r="E50" s="7">
        <v>2022</v>
      </c>
      <c r="F50" s="3" t="s">
        <v>763</v>
      </c>
      <c r="G50" s="7" t="s">
        <v>753</v>
      </c>
      <c r="H50" s="7" t="s">
        <v>754</v>
      </c>
      <c r="I50" s="3">
        <v>11.016667</v>
      </c>
      <c r="J50" s="3">
        <v>76.966667000000001</v>
      </c>
      <c r="K50" s="24" t="s">
        <v>1441</v>
      </c>
      <c r="L50" s="7" t="s">
        <v>756</v>
      </c>
      <c r="M50" s="7" t="s">
        <v>1019</v>
      </c>
      <c r="N50" t="s">
        <v>1938</v>
      </c>
      <c r="O50" t="s">
        <v>1980</v>
      </c>
      <c r="P50" s="3" t="s">
        <v>763</v>
      </c>
      <c r="Q50" s="3" t="s">
        <v>763</v>
      </c>
      <c r="R50" s="8" t="s">
        <v>1055</v>
      </c>
      <c r="S50" s="7" t="s">
        <v>787</v>
      </c>
      <c r="T50" s="7" t="s">
        <v>1031</v>
      </c>
      <c r="U50" s="7" t="s">
        <v>2005</v>
      </c>
      <c r="V50" s="7" t="s">
        <v>2027</v>
      </c>
      <c r="W50" s="7" t="s">
        <v>766</v>
      </c>
      <c r="X50" s="7" t="s">
        <v>787</v>
      </c>
      <c r="Y50" s="8" t="s">
        <v>1450</v>
      </c>
      <c r="Z50" s="7" t="s">
        <v>768</v>
      </c>
      <c r="AA50" s="8" t="s">
        <v>1449</v>
      </c>
      <c r="AB50" s="7" t="s">
        <v>1451</v>
      </c>
      <c r="AC50" t="s">
        <v>763</v>
      </c>
      <c r="AD50" s="8" t="s">
        <v>763</v>
      </c>
      <c r="AE50" s="8" t="s">
        <v>1448</v>
      </c>
      <c r="AF50" t="s">
        <v>763</v>
      </c>
    </row>
    <row r="51" spans="1:32" x14ac:dyDescent="0.35">
      <c r="A51" s="3">
        <v>51</v>
      </c>
      <c r="B51" t="s">
        <v>486</v>
      </c>
      <c r="C51" t="s">
        <v>488</v>
      </c>
      <c r="D51" s="7" t="s">
        <v>751</v>
      </c>
      <c r="E51" s="7">
        <v>2018</v>
      </c>
      <c r="F51" s="3" t="s">
        <v>1905</v>
      </c>
      <c r="G51" s="7" t="s">
        <v>753</v>
      </c>
      <c r="H51" s="7" t="s">
        <v>754</v>
      </c>
      <c r="I51" s="3">
        <v>4.6626940000000001</v>
      </c>
      <c r="J51" s="3">
        <v>9.3976749999999996</v>
      </c>
      <c r="K51" s="7" t="s">
        <v>1456</v>
      </c>
      <c r="L51" s="7" t="s">
        <v>1457</v>
      </c>
      <c r="M51" s="7" t="s">
        <v>1458</v>
      </c>
      <c r="N51" t="s">
        <v>1939</v>
      </c>
      <c r="O51" t="s">
        <v>1460</v>
      </c>
      <c r="P51" s="7" t="s">
        <v>1843</v>
      </c>
      <c r="Q51" t="s">
        <v>1461</v>
      </c>
      <c r="R51" s="3" t="s">
        <v>833</v>
      </c>
      <c r="S51" s="7" t="s">
        <v>787</v>
      </c>
      <c r="T51" s="7" t="s">
        <v>865</v>
      </c>
      <c r="U51" s="7" t="s">
        <v>764</v>
      </c>
      <c r="V51" s="7" t="s">
        <v>2031</v>
      </c>
      <c r="W51" s="7" t="s">
        <v>766</v>
      </c>
      <c r="X51" s="7" t="s">
        <v>787</v>
      </c>
      <c r="Y51" s="7" t="s">
        <v>763</v>
      </c>
      <c r="Z51" s="7" t="s">
        <v>789</v>
      </c>
      <c r="AA51" s="8" t="s">
        <v>1464</v>
      </c>
      <c r="AB51" s="7" t="s">
        <v>1463</v>
      </c>
      <c r="AC51" t="s">
        <v>1465</v>
      </c>
      <c r="AD51" s="8" t="s">
        <v>763</v>
      </c>
      <c r="AE51" s="8" t="s">
        <v>2019</v>
      </c>
      <c r="AF51" t="s">
        <v>1452</v>
      </c>
    </row>
    <row r="52" spans="1:32" x14ac:dyDescent="0.35">
      <c r="A52" s="3">
        <v>53</v>
      </c>
      <c r="B52" t="s">
        <v>516</v>
      </c>
      <c r="C52" t="s">
        <v>518</v>
      </c>
      <c r="D52" s="7" t="s">
        <v>751</v>
      </c>
      <c r="E52" s="7">
        <v>2021</v>
      </c>
      <c r="F52" s="3">
        <v>2017</v>
      </c>
      <c r="G52" s="7" t="s">
        <v>753</v>
      </c>
      <c r="H52" s="7" t="s">
        <v>754</v>
      </c>
      <c r="I52" s="3">
        <v>18.428277999999999</v>
      </c>
      <c r="J52" s="3">
        <v>-66.037861000000007</v>
      </c>
      <c r="K52" s="7" t="s">
        <v>1858</v>
      </c>
      <c r="L52" s="7" t="s">
        <v>1502</v>
      </c>
      <c r="M52" s="8" t="s">
        <v>1019</v>
      </c>
      <c r="N52" s="3" t="s">
        <v>763</v>
      </c>
      <c r="O52" s="3" t="s">
        <v>763</v>
      </c>
      <c r="P52" s="3" t="s">
        <v>763</v>
      </c>
      <c r="Q52" t="s">
        <v>1113</v>
      </c>
      <c r="R52" s="3" t="s">
        <v>833</v>
      </c>
      <c r="S52" s="7" t="s">
        <v>787</v>
      </c>
      <c r="T52" s="7" t="s">
        <v>865</v>
      </c>
      <c r="U52" s="7" t="s">
        <v>764</v>
      </c>
      <c r="V52" s="7" t="s">
        <v>2031</v>
      </c>
      <c r="W52" s="7" t="s">
        <v>766</v>
      </c>
      <c r="X52" s="7" t="s">
        <v>787</v>
      </c>
      <c r="Y52" s="8" t="s">
        <v>1507</v>
      </c>
      <c r="Z52" s="7" t="s">
        <v>768</v>
      </c>
      <c r="AA52" s="8" t="s">
        <v>1508</v>
      </c>
      <c r="AB52" s="7" t="s">
        <v>1509</v>
      </c>
      <c r="AC52" s="8" t="s">
        <v>1504</v>
      </c>
      <c r="AD52" s="8" t="s">
        <v>1510</v>
      </c>
      <c r="AE52" s="8" t="s">
        <v>1503</v>
      </c>
      <c r="AF52" t="s">
        <v>2053</v>
      </c>
    </row>
    <row r="53" spans="1:32" x14ac:dyDescent="0.35">
      <c r="A53" s="3">
        <v>54</v>
      </c>
      <c r="B53" t="s">
        <v>521</v>
      </c>
      <c r="C53" t="s">
        <v>523</v>
      </c>
      <c r="D53" s="7" t="s">
        <v>751</v>
      </c>
      <c r="E53" s="7">
        <v>2014</v>
      </c>
      <c r="F53" s="3">
        <v>2010</v>
      </c>
      <c r="G53" s="7" t="s">
        <v>753</v>
      </c>
      <c r="H53" s="7" t="s">
        <v>754</v>
      </c>
      <c r="I53" s="3">
        <v>1.5100750000000001</v>
      </c>
      <c r="J53" s="3">
        <v>103.632458</v>
      </c>
      <c r="K53" s="7" t="s">
        <v>1778</v>
      </c>
      <c r="L53" s="8" t="s">
        <v>799</v>
      </c>
      <c r="M53" s="8" t="s">
        <v>1019</v>
      </c>
      <c r="N53" s="3" t="s">
        <v>763</v>
      </c>
      <c r="O53" t="s">
        <v>1964</v>
      </c>
      <c r="P53" s="3" t="s">
        <v>763</v>
      </c>
      <c r="Q53" t="s">
        <v>1886</v>
      </c>
      <c r="R53" s="3" t="s">
        <v>833</v>
      </c>
      <c r="S53" s="7" t="s">
        <v>762</v>
      </c>
      <c r="T53" s="7" t="s">
        <v>1031</v>
      </c>
      <c r="U53" s="7" t="s">
        <v>2002</v>
      </c>
      <c r="V53" t="s">
        <v>2031</v>
      </c>
      <c r="W53" s="7" t="s">
        <v>766</v>
      </c>
      <c r="X53" s="7" t="s">
        <v>787</v>
      </c>
      <c r="Y53" s="7" t="s">
        <v>763</v>
      </c>
      <c r="Z53" s="7" t="s">
        <v>789</v>
      </c>
      <c r="AA53" s="7" t="s">
        <v>1520</v>
      </c>
      <c r="AB53" s="7" t="s">
        <v>763</v>
      </c>
      <c r="AC53" t="s">
        <v>1518</v>
      </c>
      <c r="AD53" s="8" t="s">
        <v>763</v>
      </c>
      <c r="AE53" s="8" t="s">
        <v>2021</v>
      </c>
      <c r="AF53" t="s">
        <v>763</v>
      </c>
    </row>
    <row r="54" spans="1:32" x14ac:dyDescent="0.35">
      <c r="A54" s="3">
        <v>55</v>
      </c>
      <c r="B54" t="s">
        <v>535</v>
      </c>
      <c r="C54" t="s">
        <v>537</v>
      </c>
      <c r="D54" s="7" t="s">
        <v>751</v>
      </c>
      <c r="E54" s="7">
        <v>2025</v>
      </c>
      <c r="F54" s="3" t="s">
        <v>1534</v>
      </c>
      <c r="G54" s="7" t="s">
        <v>795</v>
      </c>
      <c r="H54" s="7" t="s">
        <v>754</v>
      </c>
      <c r="I54" s="3">
        <v>22.410833</v>
      </c>
      <c r="J54" s="3">
        <v>88.188610999999995</v>
      </c>
      <c r="K54" t="s">
        <v>1538</v>
      </c>
      <c r="L54" s="8" t="s">
        <v>756</v>
      </c>
      <c r="M54" s="8" t="s">
        <v>1360</v>
      </c>
      <c r="N54" s="3" t="s">
        <v>763</v>
      </c>
      <c r="O54" s="3" t="s">
        <v>763</v>
      </c>
      <c r="P54" s="3" t="s">
        <v>1016</v>
      </c>
      <c r="Q54" s="3" t="s">
        <v>763</v>
      </c>
      <c r="R54" s="3" t="s">
        <v>833</v>
      </c>
      <c r="S54" s="7" t="s">
        <v>762</v>
      </c>
      <c r="T54" s="7" t="s">
        <v>1986</v>
      </c>
      <c r="U54" s="7" t="s">
        <v>1541</v>
      </c>
      <c r="V54" t="s">
        <v>1744</v>
      </c>
      <c r="W54" s="7" t="s">
        <v>1188</v>
      </c>
      <c r="X54" s="7" t="s">
        <v>762</v>
      </c>
      <c r="Y54" s="7" t="s">
        <v>1545</v>
      </c>
      <c r="Z54" s="7" t="s">
        <v>768</v>
      </c>
      <c r="AA54" s="8" t="s">
        <v>1535</v>
      </c>
      <c r="AB54" s="7" t="s">
        <v>763</v>
      </c>
      <c r="AC54" t="s">
        <v>1537</v>
      </c>
      <c r="AD54" s="8" t="s">
        <v>763</v>
      </c>
      <c r="AE54" s="8" t="s">
        <v>763</v>
      </c>
      <c r="AF54" s="8" t="s">
        <v>1536</v>
      </c>
    </row>
    <row r="55" spans="1:32" x14ac:dyDescent="0.35">
      <c r="A55" s="3">
        <v>56</v>
      </c>
      <c r="B55" t="s">
        <v>544</v>
      </c>
      <c r="C55" t="s">
        <v>546</v>
      </c>
      <c r="D55" s="7" t="s">
        <v>751</v>
      </c>
      <c r="E55" s="7">
        <v>2014</v>
      </c>
      <c r="F55" s="3" t="s">
        <v>763</v>
      </c>
      <c r="G55" s="7" t="s">
        <v>753</v>
      </c>
      <c r="H55" s="7" t="s">
        <v>754</v>
      </c>
      <c r="I55" s="3">
        <v>22.866667</v>
      </c>
      <c r="J55" s="3">
        <v>113.841667</v>
      </c>
      <c r="K55" t="s">
        <v>1550</v>
      </c>
      <c r="L55" s="8" t="s">
        <v>1546</v>
      </c>
      <c r="M55" s="8" t="s">
        <v>1551</v>
      </c>
      <c r="N55" s="3" t="s">
        <v>763</v>
      </c>
      <c r="O55" s="3" t="s">
        <v>763</v>
      </c>
      <c r="P55" s="3" t="s">
        <v>763</v>
      </c>
      <c r="Q55" s="3" t="s">
        <v>763</v>
      </c>
      <c r="R55" t="s">
        <v>1055</v>
      </c>
      <c r="S55" s="7" t="s">
        <v>787</v>
      </c>
      <c r="T55" s="8" t="s">
        <v>1561</v>
      </c>
      <c r="U55" s="7" t="s">
        <v>764</v>
      </c>
      <c r="V55" s="7" t="s">
        <v>2026</v>
      </c>
      <c r="W55" s="7" t="s">
        <v>766</v>
      </c>
      <c r="X55" s="7" t="s">
        <v>787</v>
      </c>
      <c r="Y55" s="7" t="s">
        <v>763</v>
      </c>
      <c r="Z55" s="7" t="s">
        <v>789</v>
      </c>
      <c r="AA55" s="8" t="s">
        <v>1566</v>
      </c>
      <c r="AB55" s="7" t="s">
        <v>1563</v>
      </c>
      <c r="AC55" t="s">
        <v>763</v>
      </c>
      <c r="AD55" s="8" t="s">
        <v>763</v>
      </c>
      <c r="AE55" s="8" t="s">
        <v>1547</v>
      </c>
      <c r="AF55" s="8" t="s">
        <v>1553</v>
      </c>
    </row>
    <row r="56" spans="1:32" x14ac:dyDescent="0.35">
      <c r="A56" s="3">
        <v>57</v>
      </c>
      <c r="B56" t="s">
        <v>554</v>
      </c>
      <c r="C56" t="s">
        <v>556</v>
      </c>
      <c r="D56" s="7" t="s">
        <v>751</v>
      </c>
      <c r="E56" s="7">
        <v>2018</v>
      </c>
      <c r="F56" s="3">
        <v>2014</v>
      </c>
      <c r="G56" s="7" t="s">
        <v>753</v>
      </c>
      <c r="H56" s="7" t="s">
        <v>754</v>
      </c>
      <c r="I56" s="3">
        <v>6.6833330000000002</v>
      </c>
      <c r="J56" s="3">
        <v>-1.6166670000000001</v>
      </c>
      <c r="K56" t="s">
        <v>1554</v>
      </c>
      <c r="L56" s="8" t="s">
        <v>1325</v>
      </c>
      <c r="M56" s="8" t="s">
        <v>1019</v>
      </c>
      <c r="N56" s="8" t="s">
        <v>1944</v>
      </c>
      <c r="O56" s="28" t="s">
        <v>1952</v>
      </c>
      <c r="P56" s="3" t="s">
        <v>763</v>
      </c>
      <c r="Q56" t="s">
        <v>1886</v>
      </c>
      <c r="R56" t="s">
        <v>1560</v>
      </c>
      <c r="S56" s="7" t="s">
        <v>787</v>
      </c>
      <c r="T56" s="7" t="s">
        <v>1986</v>
      </c>
      <c r="U56" s="7" t="s">
        <v>764</v>
      </c>
      <c r="V56" s="7" t="s">
        <v>2026</v>
      </c>
      <c r="W56" s="7" t="s">
        <v>766</v>
      </c>
      <c r="X56" s="7" t="s">
        <v>787</v>
      </c>
      <c r="Y56" s="7" t="s">
        <v>763</v>
      </c>
      <c r="Z56" s="7" t="s">
        <v>789</v>
      </c>
      <c r="AA56" s="8" t="s">
        <v>1562</v>
      </c>
      <c r="AB56" s="7" t="s">
        <v>1568</v>
      </c>
      <c r="AC56" t="s">
        <v>1567</v>
      </c>
      <c r="AD56" s="8" t="s">
        <v>763</v>
      </c>
      <c r="AE56" s="8" t="s">
        <v>1569</v>
      </c>
      <c r="AF56" t="s">
        <v>2054</v>
      </c>
    </row>
    <row r="57" spans="1:32" x14ac:dyDescent="0.35">
      <c r="A57" s="3">
        <v>58</v>
      </c>
      <c r="B57" t="s">
        <v>549</v>
      </c>
      <c r="C57" t="s">
        <v>551</v>
      </c>
      <c r="D57" s="7" t="s">
        <v>751</v>
      </c>
      <c r="E57" s="7">
        <v>2022</v>
      </c>
      <c r="F57" s="3">
        <v>2018</v>
      </c>
      <c r="G57" s="7" t="s">
        <v>753</v>
      </c>
      <c r="H57" s="7" t="s">
        <v>754</v>
      </c>
      <c r="I57" s="3">
        <v>13.7525</v>
      </c>
      <c r="J57" s="3">
        <v>100.494167</v>
      </c>
      <c r="K57" t="s">
        <v>1572</v>
      </c>
      <c r="L57" s="8" t="s">
        <v>1068</v>
      </c>
      <c r="M57" s="8" t="s">
        <v>1019</v>
      </c>
      <c r="N57" s="3" t="s">
        <v>763</v>
      </c>
      <c r="O57" s="3" t="s">
        <v>763</v>
      </c>
      <c r="P57" s="3" t="s">
        <v>763</v>
      </c>
      <c r="Q57" t="s">
        <v>1573</v>
      </c>
      <c r="R57" t="s">
        <v>1560</v>
      </c>
      <c r="S57" s="7" t="s">
        <v>787</v>
      </c>
      <c r="T57" s="7" t="s">
        <v>1031</v>
      </c>
      <c r="U57" s="7" t="s">
        <v>764</v>
      </c>
      <c r="V57" s="7" t="s">
        <v>2026</v>
      </c>
      <c r="W57" s="7" t="s">
        <v>766</v>
      </c>
      <c r="X57" s="7" t="s">
        <v>787</v>
      </c>
      <c r="Y57" s="7" t="s">
        <v>763</v>
      </c>
      <c r="Z57" s="7" t="s">
        <v>768</v>
      </c>
      <c r="AA57" s="7" t="s">
        <v>1578</v>
      </c>
      <c r="AB57" s="7" t="s">
        <v>1577</v>
      </c>
      <c r="AC57" t="s">
        <v>1574</v>
      </c>
      <c r="AD57" s="8" t="s">
        <v>763</v>
      </c>
      <c r="AE57" s="8" t="s">
        <v>1570</v>
      </c>
      <c r="AF57" s="11" t="s">
        <v>2055</v>
      </c>
    </row>
    <row r="58" spans="1:32" x14ac:dyDescent="0.35">
      <c r="A58" s="3">
        <v>59</v>
      </c>
      <c r="B58" t="s">
        <v>564</v>
      </c>
      <c r="C58" t="s">
        <v>566</v>
      </c>
      <c r="D58" s="7" t="s">
        <v>751</v>
      </c>
      <c r="E58" s="7">
        <v>2022</v>
      </c>
      <c r="F58" s="3" t="s">
        <v>1907</v>
      </c>
      <c r="G58" s="7" t="s">
        <v>753</v>
      </c>
      <c r="H58" s="7" t="s">
        <v>776</v>
      </c>
      <c r="I58" s="3">
        <v>-5.1166669999999996</v>
      </c>
      <c r="J58" s="3">
        <v>105.3</v>
      </c>
      <c r="K58" t="s">
        <v>1583</v>
      </c>
      <c r="L58" s="8" t="s">
        <v>832</v>
      </c>
      <c r="M58" s="3" t="s">
        <v>763</v>
      </c>
      <c r="N58" s="3" t="s">
        <v>763</v>
      </c>
      <c r="O58" s="3" t="s">
        <v>763</v>
      </c>
      <c r="P58" s="3" t="s">
        <v>759</v>
      </c>
      <c r="Q58" s="3" t="s">
        <v>763</v>
      </c>
      <c r="R58" t="s">
        <v>786</v>
      </c>
      <c r="S58" s="7" t="s">
        <v>762</v>
      </c>
      <c r="T58" s="7" t="s">
        <v>834</v>
      </c>
      <c r="U58" s="7" t="s">
        <v>764</v>
      </c>
      <c r="V58" s="7" t="s">
        <v>2031</v>
      </c>
      <c r="W58" s="7" t="s">
        <v>766</v>
      </c>
      <c r="X58" s="7" t="s">
        <v>762</v>
      </c>
      <c r="Y58" s="7" t="s">
        <v>1584</v>
      </c>
      <c r="Z58" s="7" t="s">
        <v>789</v>
      </c>
      <c r="AA58" s="7" t="s">
        <v>1589</v>
      </c>
      <c r="AB58" s="7" t="s">
        <v>1585</v>
      </c>
      <c r="AC58" t="s">
        <v>763</v>
      </c>
      <c r="AD58" s="8" t="s">
        <v>763</v>
      </c>
      <c r="AE58" t="s">
        <v>1571</v>
      </c>
      <c r="AF58" t="s">
        <v>1581</v>
      </c>
    </row>
    <row r="59" spans="1:32" x14ac:dyDescent="0.35">
      <c r="A59" s="3">
        <v>60</v>
      </c>
      <c r="B59" t="s">
        <v>578</v>
      </c>
      <c r="C59" t="s">
        <v>580</v>
      </c>
      <c r="D59" s="7" t="s">
        <v>751</v>
      </c>
      <c r="E59" s="7">
        <v>2024</v>
      </c>
      <c r="F59" s="3" t="s">
        <v>763</v>
      </c>
      <c r="G59" s="7" t="s">
        <v>753</v>
      </c>
      <c r="H59" s="7" t="s">
        <v>754</v>
      </c>
      <c r="I59" s="3">
        <v>11.183332999999999</v>
      </c>
      <c r="J59" s="3">
        <v>-4.2833329999999998</v>
      </c>
      <c r="K59" s="25" t="s">
        <v>1374</v>
      </c>
      <c r="L59" s="8" t="s">
        <v>1373</v>
      </c>
      <c r="M59" s="8" t="s">
        <v>1591</v>
      </c>
      <c r="N59" s="8" t="s">
        <v>1945</v>
      </c>
      <c r="O59" s="8" t="s">
        <v>1982</v>
      </c>
      <c r="P59" s="3" t="s">
        <v>763</v>
      </c>
      <c r="Q59" t="s">
        <v>1887</v>
      </c>
      <c r="R59" s="3" t="s">
        <v>833</v>
      </c>
      <c r="S59" s="7" t="s">
        <v>787</v>
      </c>
      <c r="T59" s="7" t="s">
        <v>865</v>
      </c>
      <c r="U59" s="7" t="s">
        <v>764</v>
      </c>
      <c r="V59" s="7" t="s">
        <v>2026</v>
      </c>
      <c r="W59" s="7" t="s">
        <v>766</v>
      </c>
      <c r="X59" s="7" t="s">
        <v>787</v>
      </c>
      <c r="Y59" s="7" t="s">
        <v>763</v>
      </c>
      <c r="Z59" s="7" t="s">
        <v>789</v>
      </c>
      <c r="AA59" s="8" t="s">
        <v>1597</v>
      </c>
      <c r="AB59" s="7" t="s">
        <v>1598</v>
      </c>
      <c r="AC59" s="8" t="s">
        <v>1600</v>
      </c>
      <c r="AD59" s="8" t="s">
        <v>763</v>
      </c>
      <c r="AE59" s="8" t="s">
        <v>2022</v>
      </c>
      <c r="AF59" t="s">
        <v>2062</v>
      </c>
    </row>
    <row r="60" spans="1:32" x14ac:dyDescent="0.35">
      <c r="A60" s="3">
        <v>61</v>
      </c>
      <c r="B60" t="s">
        <v>593</v>
      </c>
      <c r="C60" t="s">
        <v>595</v>
      </c>
      <c r="D60" s="7" t="s">
        <v>751</v>
      </c>
      <c r="E60" s="7">
        <v>2025</v>
      </c>
      <c r="F60" s="3" t="s">
        <v>830</v>
      </c>
      <c r="G60" s="7" t="s">
        <v>753</v>
      </c>
      <c r="H60" s="7" t="s">
        <v>776</v>
      </c>
      <c r="I60" s="3">
        <v>-6.8848890000000003</v>
      </c>
      <c r="J60" s="3">
        <v>107.61061100000001</v>
      </c>
      <c r="K60" t="s">
        <v>831</v>
      </c>
      <c r="L60" s="8" t="s">
        <v>832</v>
      </c>
      <c r="M60" s="3" t="s">
        <v>763</v>
      </c>
      <c r="N60" s="3" t="s">
        <v>763</v>
      </c>
      <c r="O60" s="3" t="s">
        <v>763</v>
      </c>
      <c r="P60" s="3" t="s">
        <v>759</v>
      </c>
      <c r="Q60" t="s">
        <v>1886</v>
      </c>
      <c r="R60" s="3" t="s">
        <v>833</v>
      </c>
      <c r="S60" s="7" t="s">
        <v>762</v>
      </c>
      <c r="T60" s="7" t="s">
        <v>834</v>
      </c>
      <c r="U60" s="7" t="s">
        <v>2003</v>
      </c>
      <c r="V60" s="7" t="s">
        <v>2035</v>
      </c>
      <c r="W60" s="7" t="s">
        <v>766</v>
      </c>
      <c r="X60" s="7" t="s">
        <v>787</v>
      </c>
      <c r="Y60" s="7" t="s">
        <v>1606</v>
      </c>
      <c r="Z60" s="7" t="s">
        <v>768</v>
      </c>
      <c r="AA60" s="8" t="s">
        <v>1605</v>
      </c>
      <c r="AB60" s="7" t="s">
        <v>763</v>
      </c>
      <c r="AC60" s="8" t="s">
        <v>1604</v>
      </c>
      <c r="AD60" s="8" t="s">
        <v>763</v>
      </c>
      <c r="AE60" s="8" t="s">
        <v>2023</v>
      </c>
      <c r="AF60" t="s">
        <v>2056</v>
      </c>
    </row>
    <row r="61" spans="1:32" x14ac:dyDescent="0.35">
      <c r="A61" s="3">
        <v>62</v>
      </c>
      <c r="B61" t="s">
        <v>607</v>
      </c>
      <c r="C61" t="s">
        <v>1611</v>
      </c>
      <c r="D61" s="7" t="s">
        <v>751</v>
      </c>
      <c r="E61" s="7">
        <v>2013</v>
      </c>
      <c r="F61" s="3" t="s">
        <v>1626</v>
      </c>
      <c r="G61" s="7" t="s">
        <v>795</v>
      </c>
      <c r="H61" s="7" t="s">
        <v>754</v>
      </c>
      <c r="I61" s="3">
        <v>1.3142940000000001</v>
      </c>
      <c r="J61" s="3">
        <v>103.911197</v>
      </c>
      <c r="K61" t="s">
        <v>1159</v>
      </c>
      <c r="L61" s="8" t="s">
        <v>1159</v>
      </c>
      <c r="M61" s="8" t="s">
        <v>1360</v>
      </c>
      <c r="N61" s="8" t="s">
        <v>1950</v>
      </c>
      <c r="O61" t="s">
        <v>1963</v>
      </c>
      <c r="P61" s="3" t="s">
        <v>1843</v>
      </c>
      <c r="Q61" t="s">
        <v>1860</v>
      </c>
      <c r="R61" t="s">
        <v>1560</v>
      </c>
      <c r="S61" s="7" t="s">
        <v>787</v>
      </c>
      <c r="T61" s="7" t="s">
        <v>834</v>
      </c>
      <c r="U61" s="7" t="s">
        <v>764</v>
      </c>
      <c r="V61" s="7" t="s">
        <v>2027</v>
      </c>
      <c r="W61" s="7" t="s">
        <v>1619</v>
      </c>
      <c r="X61" s="7" t="s">
        <v>787</v>
      </c>
      <c r="Y61" s="8" t="s">
        <v>1621</v>
      </c>
      <c r="Z61" s="7" t="s">
        <v>768</v>
      </c>
      <c r="AA61" s="8" t="s">
        <v>1623</v>
      </c>
      <c r="AB61" s="3" t="s">
        <v>1625</v>
      </c>
      <c r="AC61" s="8" t="s">
        <v>1624</v>
      </c>
      <c r="AD61" s="8" t="s">
        <v>763</v>
      </c>
      <c r="AE61" s="8" t="s">
        <v>1636</v>
      </c>
      <c r="AF61" t="s">
        <v>2057</v>
      </c>
    </row>
    <row r="62" spans="1:32" x14ac:dyDescent="0.35">
      <c r="A62" s="3">
        <v>63</v>
      </c>
      <c r="B62" t="s">
        <v>624</v>
      </c>
      <c r="C62" t="s">
        <v>626</v>
      </c>
      <c r="D62" s="7" t="s">
        <v>751</v>
      </c>
      <c r="E62" s="7">
        <v>2020</v>
      </c>
      <c r="F62" s="3" t="s">
        <v>763</v>
      </c>
      <c r="G62" s="7" t="s">
        <v>753</v>
      </c>
      <c r="H62" s="7" t="s">
        <v>776</v>
      </c>
      <c r="I62" s="3">
        <v>-1.4837</v>
      </c>
      <c r="J62" s="3">
        <v>-78.002600000000001</v>
      </c>
      <c r="K62" t="s">
        <v>1628</v>
      </c>
      <c r="L62" t="s">
        <v>1627</v>
      </c>
      <c r="M62" s="8" t="s">
        <v>1019</v>
      </c>
      <c r="N62" s="8" t="s">
        <v>1946</v>
      </c>
      <c r="O62" s="8" t="s">
        <v>1977</v>
      </c>
      <c r="P62" s="3" t="s">
        <v>763</v>
      </c>
      <c r="Q62" t="s">
        <v>1633</v>
      </c>
      <c r="R62" s="3" t="s">
        <v>833</v>
      </c>
      <c r="S62" s="7" t="s">
        <v>787</v>
      </c>
      <c r="T62" s="7" t="s">
        <v>865</v>
      </c>
      <c r="U62" s="7" t="s">
        <v>764</v>
      </c>
      <c r="V62" s="7" t="s">
        <v>2036</v>
      </c>
      <c r="W62" s="7" t="s">
        <v>1241</v>
      </c>
      <c r="X62" s="7" t="s">
        <v>787</v>
      </c>
      <c r="Y62" s="7" t="s">
        <v>763</v>
      </c>
      <c r="Z62" s="7" t="s">
        <v>789</v>
      </c>
      <c r="AA62" s="8" t="s">
        <v>1637</v>
      </c>
      <c r="AB62" s="7" t="s">
        <v>1638</v>
      </c>
      <c r="AC62" s="8" t="s">
        <v>1639</v>
      </c>
      <c r="AD62" s="8" t="s">
        <v>763</v>
      </c>
      <c r="AE62" s="8" t="s">
        <v>1640</v>
      </c>
      <c r="AF62" t="s">
        <v>2058</v>
      </c>
    </row>
    <row r="63" spans="1:32" x14ac:dyDescent="0.35">
      <c r="A63" s="3">
        <v>65</v>
      </c>
      <c r="B63" t="s">
        <v>640</v>
      </c>
      <c r="C63" t="s">
        <v>1656</v>
      </c>
      <c r="D63" s="7" t="s">
        <v>751</v>
      </c>
      <c r="E63" s="7">
        <v>2020</v>
      </c>
      <c r="F63" s="3" t="s">
        <v>1659</v>
      </c>
      <c r="G63" s="7" t="s">
        <v>753</v>
      </c>
      <c r="H63" s="7" t="s">
        <v>754</v>
      </c>
      <c r="I63" s="3">
        <v>22.09</v>
      </c>
      <c r="J63" s="3">
        <v>82.15</v>
      </c>
      <c r="K63" t="s">
        <v>1658</v>
      </c>
      <c r="L63" t="s">
        <v>756</v>
      </c>
      <c r="M63" s="3" t="s">
        <v>763</v>
      </c>
      <c r="N63" s="3" t="s">
        <v>763</v>
      </c>
      <c r="O63" s="8" t="s">
        <v>1975</v>
      </c>
      <c r="P63" s="3" t="s">
        <v>913</v>
      </c>
      <c r="Q63" s="3" t="s">
        <v>763</v>
      </c>
      <c r="R63" s="8" t="s">
        <v>786</v>
      </c>
      <c r="S63" s="7" t="s">
        <v>787</v>
      </c>
      <c r="T63" s="7" t="s">
        <v>834</v>
      </c>
      <c r="U63" s="7" t="s">
        <v>764</v>
      </c>
      <c r="V63" s="7" t="s">
        <v>2026</v>
      </c>
      <c r="W63" s="7" t="s">
        <v>766</v>
      </c>
      <c r="X63" s="7" t="s">
        <v>787</v>
      </c>
      <c r="Y63" s="7" t="s">
        <v>763</v>
      </c>
      <c r="Z63" s="7" t="s">
        <v>768</v>
      </c>
      <c r="AA63" s="8" t="s">
        <v>1664</v>
      </c>
      <c r="AB63" s="7" t="s">
        <v>1667</v>
      </c>
      <c r="AC63" s="8" t="s">
        <v>1666</v>
      </c>
      <c r="AD63" s="8" t="s">
        <v>763</v>
      </c>
      <c r="AE63" s="8" t="s">
        <v>1665</v>
      </c>
      <c r="AF63" t="s">
        <v>1657</v>
      </c>
    </row>
    <row r="64" spans="1:32" x14ac:dyDescent="0.35">
      <c r="A64" s="3">
        <v>66</v>
      </c>
      <c r="B64" t="s">
        <v>646</v>
      </c>
      <c r="C64" t="s">
        <v>648</v>
      </c>
      <c r="D64" s="7" t="s">
        <v>751</v>
      </c>
      <c r="E64" s="7">
        <v>2021</v>
      </c>
      <c r="F64" s="7" t="s">
        <v>1669</v>
      </c>
      <c r="G64" s="7" t="s">
        <v>753</v>
      </c>
      <c r="H64" s="7" t="s">
        <v>754</v>
      </c>
      <c r="I64" s="3">
        <v>9.8333329999999997</v>
      </c>
      <c r="J64" s="3">
        <v>76.94</v>
      </c>
      <c r="K64" t="s">
        <v>1668</v>
      </c>
      <c r="L64" t="s">
        <v>756</v>
      </c>
      <c r="M64" s="3" t="s">
        <v>763</v>
      </c>
      <c r="N64" t="s">
        <v>1947</v>
      </c>
      <c r="O64" s="8" t="s">
        <v>1976</v>
      </c>
      <c r="P64" s="3" t="s">
        <v>763</v>
      </c>
      <c r="Q64" s="3" t="s">
        <v>763</v>
      </c>
      <c r="R64" s="8" t="s">
        <v>1673</v>
      </c>
      <c r="S64" s="7" t="s">
        <v>787</v>
      </c>
      <c r="T64" s="7" t="s">
        <v>1031</v>
      </c>
      <c r="U64" s="7" t="s">
        <v>764</v>
      </c>
      <c r="V64" s="7" t="s">
        <v>2026</v>
      </c>
      <c r="W64" s="7" t="s">
        <v>766</v>
      </c>
      <c r="X64" s="7" t="s">
        <v>787</v>
      </c>
      <c r="Y64" s="7" t="s">
        <v>763</v>
      </c>
      <c r="Z64" s="7" t="s">
        <v>768</v>
      </c>
      <c r="AA64" s="7" t="s">
        <v>1677</v>
      </c>
      <c r="AB64" s="7" t="s">
        <v>1678</v>
      </c>
      <c r="AC64" s="8" t="s">
        <v>1670</v>
      </c>
      <c r="AD64" s="8" t="s">
        <v>763</v>
      </c>
      <c r="AE64" s="8" t="s">
        <v>1676</v>
      </c>
      <c r="AF64" t="s">
        <v>2059</v>
      </c>
    </row>
    <row r="65" spans="1:32" x14ac:dyDescent="0.35">
      <c r="A65" s="3">
        <v>67</v>
      </c>
      <c r="B65" t="s">
        <v>651</v>
      </c>
      <c r="C65" t="s">
        <v>653</v>
      </c>
      <c r="D65" s="7" t="s">
        <v>751</v>
      </c>
      <c r="E65" s="7">
        <v>2021</v>
      </c>
      <c r="F65" s="3">
        <v>2016</v>
      </c>
      <c r="G65" s="7" t="s">
        <v>753</v>
      </c>
      <c r="H65" s="7" t="s">
        <v>754</v>
      </c>
      <c r="I65" s="3">
        <v>23.7</v>
      </c>
      <c r="J65" s="3">
        <v>90.366667000000007</v>
      </c>
      <c r="K65" t="s">
        <v>1679</v>
      </c>
      <c r="L65" t="s">
        <v>985</v>
      </c>
      <c r="M65" t="s">
        <v>1685</v>
      </c>
      <c r="N65" s="3" t="s">
        <v>763</v>
      </c>
      <c r="O65" s="3" t="s">
        <v>763</v>
      </c>
      <c r="P65" s="3" t="s">
        <v>763</v>
      </c>
      <c r="Q65" s="3" t="s">
        <v>763</v>
      </c>
      <c r="R65" s="8" t="s">
        <v>1615</v>
      </c>
      <c r="S65" s="7" t="s">
        <v>787</v>
      </c>
      <c r="T65" s="7" t="s">
        <v>834</v>
      </c>
      <c r="U65" s="7" t="s">
        <v>764</v>
      </c>
      <c r="V65" t="s">
        <v>2026</v>
      </c>
      <c r="W65" s="7" t="s">
        <v>766</v>
      </c>
      <c r="X65" s="7" t="s">
        <v>787</v>
      </c>
      <c r="Y65" s="7" t="s">
        <v>763</v>
      </c>
      <c r="Z65" s="7" t="s">
        <v>789</v>
      </c>
      <c r="AA65" s="8" t="s">
        <v>1686</v>
      </c>
      <c r="AB65" s="7" t="s">
        <v>1687</v>
      </c>
      <c r="AC65" s="8" t="s">
        <v>1681</v>
      </c>
      <c r="AD65" s="8" t="s">
        <v>763</v>
      </c>
      <c r="AE65" s="8" t="s">
        <v>1688</v>
      </c>
      <c r="AF65" t="s">
        <v>2049</v>
      </c>
    </row>
    <row r="66" spans="1:32" x14ac:dyDescent="0.35">
      <c r="A66" s="3">
        <v>68</v>
      </c>
      <c r="B66" t="s">
        <v>655</v>
      </c>
      <c r="C66" t="s">
        <v>657</v>
      </c>
      <c r="D66" s="7" t="s">
        <v>751</v>
      </c>
      <c r="E66" s="7">
        <v>2023</v>
      </c>
      <c r="F66" s="3" t="s">
        <v>1908</v>
      </c>
      <c r="G66" s="7" t="s">
        <v>795</v>
      </c>
      <c r="H66" s="7" t="s">
        <v>776</v>
      </c>
      <c r="I66" s="3">
        <v>-12.05</v>
      </c>
      <c r="J66" s="3">
        <v>-77.033332999999999</v>
      </c>
      <c r="K66" s="7" t="s">
        <v>1694</v>
      </c>
      <c r="L66" t="s">
        <v>1689</v>
      </c>
      <c r="M66" s="3" t="s">
        <v>763</v>
      </c>
      <c r="N66" s="3" t="s">
        <v>763</v>
      </c>
      <c r="O66" s="3" t="s">
        <v>763</v>
      </c>
      <c r="P66" s="3" t="s">
        <v>763</v>
      </c>
      <c r="Q66" t="s">
        <v>1888</v>
      </c>
      <c r="R66" s="8" t="s">
        <v>786</v>
      </c>
      <c r="S66" s="7" t="s">
        <v>787</v>
      </c>
      <c r="T66" s="7" t="s">
        <v>834</v>
      </c>
      <c r="U66" s="7" t="s">
        <v>764</v>
      </c>
      <c r="V66" s="7" t="s">
        <v>2031</v>
      </c>
      <c r="W66" s="7" t="s">
        <v>766</v>
      </c>
      <c r="X66" s="7" t="s">
        <v>787</v>
      </c>
      <c r="Y66" s="7" t="s">
        <v>1690</v>
      </c>
      <c r="Z66" s="7" t="s">
        <v>789</v>
      </c>
      <c r="AA66" s="7" t="s">
        <v>763</v>
      </c>
      <c r="AB66" s="7" t="s">
        <v>763</v>
      </c>
      <c r="AC66" s="8" t="s">
        <v>1691</v>
      </c>
      <c r="AD66" s="8" t="s">
        <v>763</v>
      </c>
      <c r="AE66" s="8" t="s">
        <v>2024</v>
      </c>
      <c r="AF66" t="s">
        <v>763</v>
      </c>
    </row>
    <row r="67" spans="1:32" x14ac:dyDescent="0.35">
      <c r="A67" s="3">
        <v>69</v>
      </c>
      <c r="B67" t="s">
        <v>660</v>
      </c>
      <c r="C67" t="s">
        <v>1701</v>
      </c>
      <c r="D67" s="7" t="s">
        <v>751</v>
      </c>
      <c r="E67" s="7">
        <v>2017</v>
      </c>
      <c r="F67" s="3" t="s">
        <v>1700</v>
      </c>
      <c r="G67" s="7" t="s">
        <v>753</v>
      </c>
      <c r="H67" s="7" t="s">
        <v>754</v>
      </c>
      <c r="I67" s="3">
        <v>6.6833330000000002</v>
      </c>
      <c r="J67" s="3">
        <v>-1.6166670000000001</v>
      </c>
      <c r="K67" s="7" t="s">
        <v>1554</v>
      </c>
      <c r="L67" t="s">
        <v>1325</v>
      </c>
      <c r="M67" t="s">
        <v>1019</v>
      </c>
      <c r="N67" t="s">
        <v>1944</v>
      </c>
      <c r="O67" t="s">
        <v>1952</v>
      </c>
      <c r="P67" s="3" t="s">
        <v>1859</v>
      </c>
      <c r="Q67" s="3" t="s">
        <v>763</v>
      </c>
      <c r="R67" t="s">
        <v>1984</v>
      </c>
      <c r="S67" s="7" t="s">
        <v>787</v>
      </c>
      <c r="T67" s="7" t="s">
        <v>1712</v>
      </c>
      <c r="U67" s="7" t="s">
        <v>1988</v>
      </c>
      <c r="V67" s="7" t="s">
        <v>2026</v>
      </c>
      <c r="W67" s="7" t="s">
        <v>1706</v>
      </c>
      <c r="X67" s="7" t="s">
        <v>787</v>
      </c>
      <c r="Y67" s="7" t="s">
        <v>763</v>
      </c>
      <c r="Z67" s="7" t="s">
        <v>768</v>
      </c>
      <c r="AA67" s="8" t="s">
        <v>1713</v>
      </c>
      <c r="AB67" s="7" t="s">
        <v>1714</v>
      </c>
      <c r="AC67" t="s">
        <v>1708</v>
      </c>
      <c r="AD67" s="8" t="s">
        <v>763</v>
      </c>
      <c r="AE67" s="8" t="s">
        <v>763</v>
      </c>
      <c r="AF67" t="s">
        <v>2060</v>
      </c>
    </row>
    <row r="68" spans="1:32" x14ac:dyDescent="0.35">
      <c r="A68" s="3">
        <v>70</v>
      </c>
      <c r="B68" s="8" t="s">
        <v>697</v>
      </c>
      <c r="C68" s="8" t="s">
        <v>699</v>
      </c>
      <c r="D68" s="7" t="s">
        <v>751</v>
      </c>
      <c r="E68" s="7">
        <v>2020</v>
      </c>
      <c r="F68" s="7" t="s">
        <v>1909</v>
      </c>
      <c r="G68" s="7" t="s">
        <v>753</v>
      </c>
      <c r="H68" s="7" t="s">
        <v>754</v>
      </c>
      <c r="I68" s="3">
        <v>21.15</v>
      </c>
      <c r="J68" s="3">
        <v>79.099999999999994</v>
      </c>
      <c r="K68" s="7" t="s">
        <v>1715</v>
      </c>
      <c r="L68" s="8" t="s">
        <v>756</v>
      </c>
      <c r="M68" t="s">
        <v>1208</v>
      </c>
      <c r="N68" s="8" t="s">
        <v>1948</v>
      </c>
      <c r="O68" s="8" t="s">
        <v>1958</v>
      </c>
      <c r="P68" s="7" t="s">
        <v>1016</v>
      </c>
      <c r="Q68" s="8" t="s">
        <v>1337</v>
      </c>
      <c r="R68" s="8" t="s">
        <v>1985</v>
      </c>
      <c r="S68" s="7" t="s">
        <v>787</v>
      </c>
      <c r="T68" s="7" t="s">
        <v>1031</v>
      </c>
      <c r="U68" s="7" t="s">
        <v>764</v>
      </c>
      <c r="V68" s="7" t="s">
        <v>2026</v>
      </c>
      <c r="W68" s="7" t="s">
        <v>766</v>
      </c>
      <c r="X68" s="7" t="s">
        <v>787</v>
      </c>
      <c r="Y68" s="7" t="s">
        <v>763</v>
      </c>
      <c r="Z68" s="7" t="s">
        <v>768</v>
      </c>
      <c r="AA68" s="8" t="s">
        <v>1724</v>
      </c>
      <c r="AB68" s="7" t="s">
        <v>1723</v>
      </c>
      <c r="AC68" s="8" t="s">
        <v>1719</v>
      </c>
      <c r="AD68" s="8" t="s">
        <v>763</v>
      </c>
      <c r="AE68" s="8" t="s">
        <v>1725</v>
      </c>
      <c r="AF68" s="8" t="s">
        <v>2061</v>
      </c>
    </row>
    <row r="69" spans="1:32" x14ac:dyDescent="0.35">
      <c r="A69" s="3">
        <v>73</v>
      </c>
      <c r="B69" s="8" t="s">
        <v>1759</v>
      </c>
      <c r="C69" s="8" t="s">
        <v>1760</v>
      </c>
      <c r="D69" s="7" t="s">
        <v>751</v>
      </c>
      <c r="E69" s="7">
        <v>2016</v>
      </c>
      <c r="F69" s="7" t="s">
        <v>1767</v>
      </c>
      <c r="G69" s="7" t="s">
        <v>795</v>
      </c>
      <c r="H69" s="7" t="s">
        <v>776</v>
      </c>
      <c r="I69" s="3">
        <v>-6.5590339999999996</v>
      </c>
      <c r="J69" s="3">
        <v>106.725227</v>
      </c>
      <c r="K69" s="8" t="s">
        <v>1757</v>
      </c>
      <c r="L69" s="8" t="s">
        <v>832</v>
      </c>
      <c r="M69" s="7" t="s">
        <v>763</v>
      </c>
      <c r="N69" s="8" t="s">
        <v>1949</v>
      </c>
      <c r="O69" s="8" t="s">
        <v>923</v>
      </c>
      <c r="P69" s="7" t="s">
        <v>913</v>
      </c>
      <c r="Q69" s="8" t="s">
        <v>1768</v>
      </c>
      <c r="R69" t="s">
        <v>1560</v>
      </c>
      <c r="S69" s="7" t="s">
        <v>762</v>
      </c>
      <c r="T69" s="7" t="s">
        <v>865</v>
      </c>
      <c r="U69" s="7" t="s">
        <v>1987</v>
      </c>
      <c r="V69" s="8" t="s">
        <v>2037</v>
      </c>
      <c r="W69" s="7" t="s">
        <v>766</v>
      </c>
      <c r="X69" s="7" t="s">
        <v>787</v>
      </c>
      <c r="Y69" s="7" t="s">
        <v>763</v>
      </c>
      <c r="Z69" s="7" t="s">
        <v>789</v>
      </c>
      <c r="AA69" s="8" t="s">
        <v>1761</v>
      </c>
      <c r="AB69" s="7" t="s">
        <v>1762</v>
      </c>
      <c r="AC69" s="8" t="s">
        <v>1763</v>
      </c>
      <c r="AD69" s="8" t="s">
        <v>763</v>
      </c>
      <c r="AE69" s="8" t="s">
        <v>763</v>
      </c>
      <c r="AF69" s="8" t="s">
        <v>763</v>
      </c>
    </row>
    <row r="70" spans="1:32" x14ac:dyDescent="0.35">
      <c r="A70" s="13">
        <v>28</v>
      </c>
      <c r="B70" s="8" t="s">
        <v>163</v>
      </c>
      <c r="C70" s="8" t="s">
        <v>165</v>
      </c>
      <c r="D70" s="7" t="s">
        <v>751</v>
      </c>
      <c r="E70" s="7">
        <v>2023</v>
      </c>
      <c r="F70" s="7" t="s">
        <v>763</v>
      </c>
      <c r="G70" s="7" t="s">
        <v>753</v>
      </c>
      <c r="H70" s="7" t="s">
        <v>754</v>
      </c>
      <c r="I70" s="7">
        <v>8.5833329999999997</v>
      </c>
      <c r="J70" s="7">
        <v>124.45</v>
      </c>
      <c r="K70" s="8" t="s">
        <v>1794</v>
      </c>
      <c r="L70" s="7" t="s">
        <v>1112</v>
      </c>
      <c r="M70" s="7" t="s">
        <v>763</v>
      </c>
      <c r="N70" s="7" t="s">
        <v>763</v>
      </c>
      <c r="O70" s="7" t="s">
        <v>763</v>
      </c>
      <c r="P70" s="7" t="s">
        <v>763</v>
      </c>
      <c r="Q70" s="8" t="s">
        <v>1113</v>
      </c>
      <c r="R70" s="7" t="s">
        <v>761</v>
      </c>
      <c r="S70" s="7" t="s">
        <v>914</v>
      </c>
      <c r="T70" s="7" t="s">
        <v>1031</v>
      </c>
      <c r="U70" s="7" t="s">
        <v>764</v>
      </c>
      <c r="V70" s="8" t="s">
        <v>2026</v>
      </c>
      <c r="W70" s="7" t="s">
        <v>766</v>
      </c>
      <c r="X70" s="7" t="s">
        <v>787</v>
      </c>
      <c r="Y70" s="7" t="s">
        <v>763</v>
      </c>
      <c r="Z70" s="7" t="s">
        <v>789</v>
      </c>
      <c r="AA70" s="7" t="s">
        <v>1817</v>
      </c>
      <c r="AB70" s="7" t="s">
        <v>1818</v>
      </c>
      <c r="AC70" s="7" t="s">
        <v>1819</v>
      </c>
      <c r="AD70" s="8" t="s">
        <v>1820</v>
      </c>
      <c r="AE70" s="7" t="s">
        <v>1118</v>
      </c>
      <c r="AF70" s="7" t="s">
        <v>763</v>
      </c>
    </row>
    <row r="71" spans="1:32" x14ac:dyDescent="0.35">
      <c r="A71" s="13">
        <v>28</v>
      </c>
      <c r="B71" s="8" t="s">
        <v>163</v>
      </c>
      <c r="C71" s="8" t="s">
        <v>165</v>
      </c>
      <c r="D71" s="7" t="s">
        <v>751</v>
      </c>
      <c r="E71" s="7">
        <v>2023</v>
      </c>
      <c r="F71" s="7" t="s">
        <v>763</v>
      </c>
      <c r="G71" s="7" t="s">
        <v>753</v>
      </c>
      <c r="H71" s="7" t="s">
        <v>754</v>
      </c>
      <c r="I71" s="7">
        <v>8.5714109999999994</v>
      </c>
      <c r="J71" s="7">
        <v>124.4751</v>
      </c>
      <c r="K71" s="8" t="s">
        <v>1795</v>
      </c>
      <c r="L71" s="7" t="s">
        <v>1112</v>
      </c>
      <c r="M71" s="7" t="s">
        <v>763</v>
      </c>
      <c r="N71" s="7" t="s">
        <v>763</v>
      </c>
      <c r="O71" s="7" t="s">
        <v>763</v>
      </c>
      <c r="P71" s="7" t="s">
        <v>763</v>
      </c>
      <c r="Q71" s="8" t="s">
        <v>1113</v>
      </c>
      <c r="R71" s="7" t="s">
        <v>761</v>
      </c>
      <c r="S71" s="7" t="s">
        <v>914</v>
      </c>
      <c r="T71" s="7" t="s">
        <v>1031</v>
      </c>
      <c r="U71" s="7" t="s">
        <v>764</v>
      </c>
      <c r="V71" s="8" t="s">
        <v>2026</v>
      </c>
      <c r="W71" s="7" t="s">
        <v>766</v>
      </c>
      <c r="X71" s="7" t="s">
        <v>787</v>
      </c>
      <c r="Y71" s="7" t="s">
        <v>763</v>
      </c>
      <c r="Z71" s="7" t="s">
        <v>789</v>
      </c>
      <c r="AA71" s="7" t="s">
        <v>1827</v>
      </c>
      <c r="AB71" s="7" t="s">
        <v>1825</v>
      </c>
      <c r="AC71" s="7" t="s">
        <v>1824</v>
      </c>
      <c r="AD71" s="8" t="s">
        <v>1821</v>
      </c>
      <c r="AE71" s="7" t="s">
        <v>1118</v>
      </c>
      <c r="AF71" s="7" t="s">
        <v>763</v>
      </c>
    </row>
    <row r="72" spans="1:32" x14ac:dyDescent="0.35">
      <c r="A72" s="13">
        <v>28</v>
      </c>
      <c r="B72" s="8" t="s">
        <v>163</v>
      </c>
      <c r="C72" s="8" t="s">
        <v>165</v>
      </c>
      <c r="D72" s="7" t="s">
        <v>751</v>
      </c>
      <c r="E72" s="7">
        <v>2023</v>
      </c>
      <c r="F72" s="7" t="s">
        <v>763</v>
      </c>
      <c r="G72" s="7" t="s">
        <v>753</v>
      </c>
      <c r="H72" s="7" t="s">
        <v>754</v>
      </c>
      <c r="I72" s="7">
        <v>8.5666670000000007</v>
      </c>
      <c r="J72" s="7">
        <v>124.5167</v>
      </c>
      <c r="K72" s="8" t="s">
        <v>1796</v>
      </c>
      <c r="L72" s="7" t="s">
        <v>1112</v>
      </c>
      <c r="M72" s="7" t="s">
        <v>763</v>
      </c>
      <c r="N72" s="7" t="s">
        <v>763</v>
      </c>
      <c r="O72" s="7" t="s">
        <v>763</v>
      </c>
      <c r="P72" s="7" t="s">
        <v>763</v>
      </c>
      <c r="Q72" s="8" t="s">
        <v>1113</v>
      </c>
      <c r="R72" s="7" t="s">
        <v>761</v>
      </c>
      <c r="S72" s="7" t="s">
        <v>914</v>
      </c>
      <c r="T72" s="7" t="s">
        <v>1031</v>
      </c>
      <c r="U72" s="7" t="s">
        <v>764</v>
      </c>
      <c r="V72" s="8" t="s">
        <v>2026</v>
      </c>
      <c r="W72" s="7" t="s">
        <v>766</v>
      </c>
      <c r="X72" s="7" t="s">
        <v>787</v>
      </c>
      <c r="Y72" s="7" t="s">
        <v>763</v>
      </c>
      <c r="Z72" s="7" t="s">
        <v>789</v>
      </c>
      <c r="AA72" s="7" t="s">
        <v>1828</v>
      </c>
      <c r="AB72" s="7" t="s">
        <v>1826</v>
      </c>
      <c r="AC72" s="7" t="s">
        <v>1823</v>
      </c>
      <c r="AD72" s="8" t="s">
        <v>1822</v>
      </c>
      <c r="AE72" s="7" t="s">
        <v>1118</v>
      </c>
      <c r="AF72" s="7" t="s">
        <v>763</v>
      </c>
    </row>
    <row r="73" spans="1:32" x14ac:dyDescent="0.35">
      <c r="A73" s="13">
        <v>74</v>
      </c>
      <c r="B73" s="8" t="s">
        <v>639</v>
      </c>
      <c r="C73" s="8" t="s">
        <v>1642</v>
      </c>
      <c r="D73" s="7" t="s">
        <v>751</v>
      </c>
      <c r="E73" s="7">
        <v>2020</v>
      </c>
      <c r="F73" s="7" t="s">
        <v>1641</v>
      </c>
      <c r="G73" s="7" t="s">
        <v>753</v>
      </c>
      <c r="H73" s="7" t="s">
        <v>754</v>
      </c>
      <c r="I73" s="7">
        <v>4.7894439999999996</v>
      </c>
      <c r="J73" s="7">
        <v>6.9730559999999997</v>
      </c>
      <c r="K73" s="8" t="s">
        <v>1797</v>
      </c>
      <c r="L73" s="8" t="s">
        <v>823</v>
      </c>
      <c r="M73" s="8" t="s">
        <v>1019</v>
      </c>
      <c r="N73" s="26" t="s">
        <v>1941</v>
      </c>
      <c r="O73" s="8" t="s">
        <v>1647</v>
      </c>
      <c r="P73" s="7" t="s">
        <v>1843</v>
      </c>
      <c r="Q73" s="8" t="s">
        <v>1860</v>
      </c>
      <c r="R73" s="8" t="s">
        <v>1560</v>
      </c>
      <c r="S73" s="7" t="s">
        <v>914</v>
      </c>
      <c r="T73" s="7" t="s">
        <v>834</v>
      </c>
      <c r="U73" s="7" t="s">
        <v>764</v>
      </c>
      <c r="V73" s="7" t="s">
        <v>2039</v>
      </c>
      <c r="W73" s="7" t="s">
        <v>766</v>
      </c>
      <c r="X73" s="7" t="s">
        <v>787</v>
      </c>
      <c r="Y73" s="7" t="s">
        <v>763</v>
      </c>
      <c r="Z73" s="7" t="s">
        <v>768</v>
      </c>
      <c r="AA73" s="8" t="s">
        <v>1829</v>
      </c>
      <c r="AB73" s="8" t="s">
        <v>1830</v>
      </c>
      <c r="AC73" s="8" t="s">
        <v>1831</v>
      </c>
      <c r="AD73" s="8" t="s">
        <v>763</v>
      </c>
      <c r="AE73" s="8" t="s">
        <v>1832</v>
      </c>
      <c r="AF73" s="8" t="s">
        <v>2063</v>
      </c>
    </row>
    <row r="74" spans="1:32" x14ac:dyDescent="0.35">
      <c r="A74" s="13">
        <v>74</v>
      </c>
      <c r="B74" s="8" t="s">
        <v>639</v>
      </c>
      <c r="C74" s="8" t="s">
        <v>1642</v>
      </c>
      <c r="D74" s="7" t="s">
        <v>751</v>
      </c>
      <c r="E74" s="7">
        <v>2020</v>
      </c>
      <c r="F74" s="7" t="s">
        <v>1641</v>
      </c>
      <c r="G74" s="7" t="s">
        <v>753</v>
      </c>
      <c r="H74" s="7" t="s">
        <v>754</v>
      </c>
      <c r="I74" s="7">
        <v>8.4991669999999999</v>
      </c>
      <c r="J74" s="7">
        <v>4.5005559999999996</v>
      </c>
      <c r="K74" s="8" t="s">
        <v>1798</v>
      </c>
      <c r="L74" s="8" t="s">
        <v>823</v>
      </c>
      <c r="M74" s="8" t="s">
        <v>1019</v>
      </c>
      <c r="N74" s="8" t="s">
        <v>1940</v>
      </c>
      <c r="O74" s="8" t="s">
        <v>1647</v>
      </c>
      <c r="P74" s="7" t="s">
        <v>1843</v>
      </c>
      <c r="Q74" s="7" t="s">
        <v>1861</v>
      </c>
      <c r="R74" s="8" t="s">
        <v>1560</v>
      </c>
      <c r="S74" s="7" t="s">
        <v>914</v>
      </c>
      <c r="T74" s="7" t="s">
        <v>834</v>
      </c>
      <c r="U74" s="7" t="s">
        <v>764</v>
      </c>
      <c r="V74" s="7" t="s">
        <v>2039</v>
      </c>
      <c r="W74" s="7" t="s">
        <v>766</v>
      </c>
      <c r="X74" s="7" t="s">
        <v>787</v>
      </c>
      <c r="Y74" s="7" t="s">
        <v>763</v>
      </c>
      <c r="Z74" s="7" t="s">
        <v>768</v>
      </c>
      <c r="AA74" s="8" t="s">
        <v>1833</v>
      </c>
      <c r="AB74" s="8" t="s">
        <v>1834</v>
      </c>
      <c r="AC74" s="8" t="s">
        <v>1835</v>
      </c>
      <c r="AD74" s="8" t="s">
        <v>763</v>
      </c>
      <c r="AE74" s="8" t="s">
        <v>1836</v>
      </c>
      <c r="AF74" s="8" t="s">
        <v>2064</v>
      </c>
    </row>
    <row r="75" spans="1:32" x14ac:dyDescent="0.35">
      <c r="A75" s="13">
        <v>81</v>
      </c>
      <c r="B75" s="8" t="s">
        <v>707</v>
      </c>
      <c r="C75" s="8" t="s">
        <v>709</v>
      </c>
      <c r="D75" s="7" t="s">
        <v>751</v>
      </c>
      <c r="E75" s="7">
        <v>2019</v>
      </c>
      <c r="F75" s="7" t="s">
        <v>763</v>
      </c>
      <c r="G75" s="7" t="s">
        <v>753</v>
      </c>
      <c r="H75" s="7" t="s">
        <v>754</v>
      </c>
      <c r="I75" s="7">
        <v>13.583333</v>
      </c>
      <c r="J75" s="7">
        <v>2.25</v>
      </c>
      <c r="K75" s="8" t="s">
        <v>1799</v>
      </c>
      <c r="L75" s="8" t="s">
        <v>1729</v>
      </c>
      <c r="M75" s="8" t="s">
        <v>1731</v>
      </c>
      <c r="N75" s="8" t="s">
        <v>1942</v>
      </c>
      <c r="O75" s="7" t="s">
        <v>763</v>
      </c>
      <c r="P75" s="7" t="s">
        <v>763</v>
      </c>
      <c r="Q75" s="8" t="s">
        <v>1337</v>
      </c>
      <c r="R75" s="8" t="s">
        <v>1736</v>
      </c>
      <c r="S75" s="7" t="s">
        <v>914</v>
      </c>
      <c r="T75" s="7" t="s">
        <v>1397</v>
      </c>
      <c r="U75" s="7" t="s">
        <v>764</v>
      </c>
      <c r="V75" s="7" t="s">
        <v>2026</v>
      </c>
      <c r="W75" s="7" t="s">
        <v>1733</v>
      </c>
      <c r="X75" s="7" t="s">
        <v>787</v>
      </c>
      <c r="Y75" s="7" t="s">
        <v>763</v>
      </c>
      <c r="Z75" s="7" t="s">
        <v>768</v>
      </c>
      <c r="AA75" s="8" t="s">
        <v>1841</v>
      </c>
      <c r="AB75" s="8" t="s">
        <v>1839</v>
      </c>
      <c r="AC75" s="8" t="s">
        <v>1837</v>
      </c>
      <c r="AD75" s="8" t="s">
        <v>763</v>
      </c>
      <c r="AE75" s="8" t="s">
        <v>1740</v>
      </c>
      <c r="AF75" s="8" t="s">
        <v>2065</v>
      </c>
    </row>
    <row r="76" spans="1:32" x14ac:dyDescent="0.35">
      <c r="A76" s="13">
        <v>81</v>
      </c>
      <c r="B76" s="8" t="s">
        <v>707</v>
      </c>
      <c r="C76" s="8" t="s">
        <v>709</v>
      </c>
      <c r="D76" s="7" t="s">
        <v>751</v>
      </c>
      <c r="E76" s="7">
        <v>2019</v>
      </c>
      <c r="F76" s="7" t="s">
        <v>763</v>
      </c>
      <c r="G76" s="7" t="s">
        <v>753</v>
      </c>
      <c r="H76" s="7" t="s">
        <v>754</v>
      </c>
      <c r="I76" s="7">
        <v>13.533333000000001</v>
      </c>
      <c r="J76" s="7">
        <v>7.6666670000000003</v>
      </c>
      <c r="K76" s="8" t="s">
        <v>1800</v>
      </c>
      <c r="L76" s="8" t="s">
        <v>1729</v>
      </c>
      <c r="M76" s="8" t="s">
        <v>1731</v>
      </c>
      <c r="N76" s="8" t="s">
        <v>1942</v>
      </c>
      <c r="O76" s="7" t="s">
        <v>763</v>
      </c>
      <c r="P76" s="7" t="s">
        <v>763</v>
      </c>
      <c r="Q76" s="8" t="s">
        <v>1337</v>
      </c>
      <c r="R76" s="8" t="s">
        <v>1736</v>
      </c>
      <c r="S76" s="7" t="s">
        <v>914</v>
      </c>
      <c r="T76" s="7" t="s">
        <v>1397</v>
      </c>
      <c r="U76" s="7" t="s">
        <v>764</v>
      </c>
      <c r="V76" s="7" t="s">
        <v>2026</v>
      </c>
      <c r="W76" s="7" t="s">
        <v>1733</v>
      </c>
      <c r="X76" s="7" t="s">
        <v>787</v>
      </c>
      <c r="Y76" s="7" t="s">
        <v>763</v>
      </c>
      <c r="Z76" s="7" t="s">
        <v>768</v>
      </c>
      <c r="AA76" s="8" t="s">
        <v>1842</v>
      </c>
      <c r="AB76" s="8" t="s">
        <v>1840</v>
      </c>
      <c r="AC76" s="8" t="s">
        <v>1838</v>
      </c>
      <c r="AD76" s="8" t="s">
        <v>763</v>
      </c>
      <c r="AE76" s="8" t="s">
        <v>1740</v>
      </c>
      <c r="AF76" s="8" t="s">
        <v>2066</v>
      </c>
    </row>
    <row r="77" spans="1:32" x14ac:dyDescent="0.35">
      <c r="A77" s="12">
        <v>82</v>
      </c>
      <c r="B77" t="s">
        <v>712</v>
      </c>
      <c r="C77" t="s">
        <v>714</v>
      </c>
      <c r="D77" s="7" t="s">
        <v>751</v>
      </c>
      <c r="E77" s="7">
        <v>2025</v>
      </c>
      <c r="F77" s="7" t="s">
        <v>1742</v>
      </c>
      <c r="G77" s="7" t="s">
        <v>795</v>
      </c>
      <c r="H77" s="7" t="s">
        <v>776</v>
      </c>
      <c r="I77" s="3">
        <v>-10.9095</v>
      </c>
      <c r="J77" s="3">
        <v>-37.074800000000003</v>
      </c>
      <c r="K77" t="s">
        <v>1801</v>
      </c>
      <c r="L77" s="8" t="s">
        <v>846</v>
      </c>
      <c r="M77" s="3" t="s">
        <v>763</v>
      </c>
      <c r="N77" s="3" t="s">
        <v>763</v>
      </c>
      <c r="O77" s="3" t="s">
        <v>763</v>
      </c>
      <c r="P77" s="3" t="s">
        <v>763</v>
      </c>
      <c r="Q77" s="8" t="s">
        <v>850</v>
      </c>
      <c r="R77" s="8" t="s">
        <v>1560</v>
      </c>
      <c r="S77" s="3" t="s">
        <v>914</v>
      </c>
      <c r="T77" s="7" t="s">
        <v>1031</v>
      </c>
      <c r="U77" s="7" t="s">
        <v>1745</v>
      </c>
      <c r="V77" s="7" t="s">
        <v>1744</v>
      </c>
      <c r="W77" s="7" t="s">
        <v>1188</v>
      </c>
      <c r="X77" s="7" t="s">
        <v>787</v>
      </c>
      <c r="Y77" s="8" t="s">
        <v>1846</v>
      </c>
      <c r="Z77" s="7" t="s">
        <v>768</v>
      </c>
      <c r="AA77" s="8" t="s">
        <v>1866</v>
      </c>
      <c r="AB77" s="8" t="s">
        <v>763</v>
      </c>
      <c r="AC77" s="8" t="s">
        <v>763</v>
      </c>
      <c r="AD77" s="8" t="s">
        <v>763</v>
      </c>
      <c r="AE77" s="8" t="s">
        <v>763</v>
      </c>
      <c r="AF77" s="8" t="s">
        <v>763</v>
      </c>
    </row>
    <row r="78" spans="1:32" x14ac:dyDescent="0.35">
      <c r="A78" s="12">
        <v>82</v>
      </c>
      <c r="B78" t="s">
        <v>712</v>
      </c>
      <c r="C78" t="s">
        <v>714</v>
      </c>
      <c r="D78" s="7" t="s">
        <v>751</v>
      </c>
      <c r="E78" s="7">
        <v>2025</v>
      </c>
      <c r="F78" s="7" t="s">
        <v>1742</v>
      </c>
      <c r="G78" s="7" t="s">
        <v>795</v>
      </c>
      <c r="H78" s="7" t="s">
        <v>776</v>
      </c>
      <c r="I78" s="3">
        <v>-19.916699999999999</v>
      </c>
      <c r="J78" s="3">
        <v>-43.933300000000003</v>
      </c>
      <c r="K78" t="s">
        <v>1802</v>
      </c>
      <c r="L78" s="8" t="s">
        <v>846</v>
      </c>
      <c r="M78" s="3" t="s">
        <v>763</v>
      </c>
      <c r="N78" s="3" t="s">
        <v>763</v>
      </c>
      <c r="O78" s="3" t="s">
        <v>763</v>
      </c>
      <c r="P78" s="3" t="s">
        <v>763</v>
      </c>
      <c r="Q78" s="8" t="s">
        <v>850</v>
      </c>
      <c r="R78" s="8" t="s">
        <v>1560</v>
      </c>
      <c r="S78" s="3" t="s">
        <v>914</v>
      </c>
      <c r="T78" s="7" t="s">
        <v>1031</v>
      </c>
      <c r="U78" s="7" t="s">
        <v>1745</v>
      </c>
      <c r="V78" s="7" t="s">
        <v>1744</v>
      </c>
      <c r="W78" s="7" t="s">
        <v>1188</v>
      </c>
      <c r="X78" s="7" t="s">
        <v>787</v>
      </c>
      <c r="Y78" s="8" t="s">
        <v>1847</v>
      </c>
      <c r="Z78" s="7" t="s">
        <v>768</v>
      </c>
      <c r="AA78" s="8" t="s">
        <v>1867</v>
      </c>
      <c r="AB78" s="8" t="s">
        <v>763</v>
      </c>
      <c r="AC78" s="8" t="s">
        <v>763</v>
      </c>
      <c r="AD78" s="8" t="s">
        <v>763</v>
      </c>
      <c r="AE78" s="8" t="s">
        <v>763</v>
      </c>
      <c r="AF78" s="8" t="s">
        <v>763</v>
      </c>
    </row>
    <row r="79" spans="1:32" x14ac:dyDescent="0.35">
      <c r="A79" s="12">
        <v>82</v>
      </c>
      <c r="B79" t="s">
        <v>712</v>
      </c>
      <c r="C79" t="s">
        <v>714</v>
      </c>
      <c r="D79" s="7" t="s">
        <v>751</v>
      </c>
      <c r="E79" s="7">
        <v>2025</v>
      </c>
      <c r="F79" s="7" t="s">
        <v>1742</v>
      </c>
      <c r="G79" s="7" t="s">
        <v>795</v>
      </c>
      <c r="H79" s="7" t="s">
        <v>776</v>
      </c>
      <c r="I79" s="3">
        <v>-12.697800000000001</v>
      </c>
      <c r="J79" s="3">
        <v>-38.324199999999998</v>
      </c>
      <c r="K79" t="s">
        <v>1803</v>
      </c>
      <c r="L79" s="8" t="s">
        <v>846</v>
      </c>
      <c r="M79" s="3" t="s">
        <v>763</v>
      </c>
      <c r="N79" s="3" t="s">
        <v>763</v>
      </c>
      <c r="O79" s="3" t="s">
        <v>763</v>
      </c>
      <c r="P79" s="3" t="s">
        <v>763</v>
      </c>
      <c r="Q79" s="8" t="s">
        <v>850</v>
      </c>
      <c r="R79" s="8" t="s">
        <v>1560</v>
      </c>
      <c r="S79" s="3" t="s">
        <v>914</v>
      </c>
      <c r="T79" s="7" t="s">
        <v>1031</v>
      </c>
      <c r="U79" s="7" t="s">
        <v>1745</v>
      </c>
      <c r="V79" s="7" t="s">
        <v>1744</v>
      </c>
      <c r="W79" s="7" t="s">
        <v>1188</v>
      </c>
      <c r="X79" s="7" t="s">
        <v>787</v>
      </c>
      <c r="Y79" s="8" t="s">
        <v>1848</v>
      </c>
      <c r="Z79" s="7" t="s">
        <v>768</v>
      </c>
      <c r="AA79" s="8" t="s">
        <v>1868</v>
      </c>
      <c r="AB79" s="8" t="s">
        <v>763</v>
      </c>
      <c r="AC79" s="8" t="s">
        <v>763</v>
      </c>
      <c r="AD79" s="8" t="s">
        <v>763</v>
      </c>
      <c r="AE79" s="8" t="s">
        <v>763</v>
      </c>
      <c r="AF79" s="8" t="s">
        <v>763</v>
      </c>
    </row>
    <row r="80" spans="1:32" x14ac:dyDescent="0.35">
      <c r="A80" s="12">
        <v>82</v>
      </c>
      <c r="B80" t="s">
        <v>712</v>
      </c>
      <c r="C80" t="s">
        <v>714</v>
      </c>
      <c r="D80" s="7" t="s">
        <v>751</v>
      </c>
      <c r="E80" s="7">
        <v>2025</v>
      </c>
      <c r="F80" s="7" t="s">
        <v>1742</v>
      </c>
      <c r="G80" s="7" t="s">
        <v>795</v>
      </c>
      <c r="H80" s="7" t="s">
        <v>776</v>
      </c>
      <c r="I80" s="3">
        <v>-21.752199999999998</v>
      </c>
      <c r="J80" s="3">
        <v>-41.324399999999997</v>
      </c>
      <c r="K80" t="s">
        <v>1804</v>
      </c>
      <c r="L80" s="8" t="s">
        <v>846</v>
      </c>
      <c r="M80" s="3" t="s">
        <v>763</v>
      </c>
      <c r="N80" s="3" t="s">
        <v>763</v>
      </c>
      <c r="O80" s="3" t="s">
        <v>763</v>
      </c>
      <c r="P80" s="3" t="s">
        <v>763</v>
      </c>
      <c r="Q80" s="8" t="s">
        <v>850</v>
      </c>
      <c r="R80" s="8" t="s">
        <v>1560</v>
      </c>
      <c r="S80" s="3" t="s">
        <v>914</v>
      </c>
      <c r="T80" s="7" t="s">
        <v>1031</v>
      </c>
      <c r="U80" s="7" t="s">
        <v>1745</v>
      </c>
      <c r="V80" s="7" t="s">
        <v>1744</v>
      </c>
      <c r="W80" s="7" t="s">
        <v>1188</v>
      </c>
      <c r="X80" s="7" t="s">
        <v>787</v>
      </c>
      <c r="Y80" s="8" t="s">
        <v>1849</v>
      </c>
      <c r="Z80" s="7" t="s">
        <v>768</v>
      </c>
      <c r="AA80" s="8" t="s">
        <v>1869</v>
      </c>
      <c r="AB80" s="8" t="s">
        <v>763</v>
      </c>
      <c r="AC80" s="8" t="s">
        <v>763</v>
      </c>
      <c r="AD80" s="8" t="s">
        <v>763</v>
      </c>
      <c r="AE80" s="8" t="s">
        <v>763</v>
      </c>
      <c r="AF80" s="8" t="s">
        <v>763</v>
      </c>
    </row>
    <row r="81" spans="1:32" x14ac:dyDescent="0.35">
      <c r="A81" s="12">
        <v>82</v>
      </c>
      <c r="B81" t="s">
        <v>712</v>
      </c>
      <c r="C81" t="s">
        <v>714</v>
      </c>
      <c r="D81" s="7" t="s">
        <v>751</v>
      </c>
      <c r="E81" s="7">
        <v>2025</v>
      </c>
      <c r="F81" s="7" t="s">
        <v>1742</v>
      </c>
      <c r="G81" s="7" t="s">
        <v>795</v>
      </c>
      <c r="H81" s="7" t="s">
        <v>776</v>
      </c>
      <c r="I81" s="3">
        <v>-22.785799999999998</v>
      </c>
      <c r="J81" s="3">
        <v>-43.309699999999999</v>
      </c>
      <c r="K81" t="s">
        <v>1805</v>
      </c>
      <c r="L81" s="8" t="s">
        <v>846</v>
      </c>
      <c r="M81" s="3" t="s">
        <v>763</v>
      </c>
      <c r="N81" s="3" t="s">
        <v>763</v>
      </c>
      <c r="O81" s="3" t="s">
        <v>763</v>
      </c>
      <c r="P81" s="3" t="s">
        <v>763</v>
      </c>
      <c r="Q81" s="8" t="s">
        <v>850</v>
      </c>
      <c r="R81" s="8" t="s">
        <v>1560</v>
      </c>
      <c r="S81" s="3" t="s">
        <v>914</v>
      </c>
      <c r="T81" s="7" t="s">
        <v>1031</v>
      </c>
      <c r="U81" s="7" t="s">
        <v>1745</v>
      </c>
      <c r="V81" s="7" t="s">
        <v>1744</v>
      </c>
      <c r="W81" s="7" t="s">
        <v>1188</v>
      </c>
      <c r="X81" s="7" t="s">
        <v>787</v>
      </c>
      <c r="Y81" s="8" t="s">
        <v>1850</v>
      </c>
      <c r="Z81" s="7" t="s">
        <v>768</v>
      </c>
      <c r="AA81" s="8" t="s">
        <v>1870</v>
      </c>
      <c r="AB81" s="8" t="s">
        <v>763</v>
      </c>
      <c r="AC81" s="8" t="s">
        <v>763</v>
      </c>
      <c r="AD81" s="8" t="s">
        <v>763</v>
      </c>
      <c r="AE81" s="8" t="s">
        <v>763</v>
      </c>
      <c r="AF81" s="8" t="s">
        <v>763</v>
      </c>
    </row>
    <row r="82" spans="1:32" x14ac:dyDescent="0.35">
      <c r="A82" s="12">
        <v>82</v>
      </c>
      <c r="B82" t="s">
        <v>712</v>
      </c>
      <c r="C82" t="s">
        <v>714</v>
      </c>
      <c r="D82" s="7" t="s">
        <v>751</v>
      </c>
      <c r="E82" s="7">
        <v>2025</v>
      </c>
      <c r="F82" s="7" t="s">
        <v>1742</v>
      </c>
      <c r="G82" s="7" t="s">
        <v>795</v>
      </c>
      <c r="H82" s="7" t="s">
        <v>776</v>
      </c>
      <c r="I82" s="3">
        <v>-12.2669</v>
      </c>
      <c r="J82" s="3">
        <v>-38.966900000000003</v>
      </c>
      <c r="K82" t="s">
        <v>1806</v>
      </c>
      <c r="L82" s="8" t="s">
        <v>846</v>
      </c>
      <c r="M82" s="3" t="s">
        <v>763</v>
      </c>
      <c r="N82" s="3" t="s">
        <v>763</v>
      </c>
      <c r="O82" s="3" t="s">
        <v>763</v>
      </c>
      <c r="P82" s="3" t="s">
        <v>763</v>
      </c>
      <c r="Q82" s="8" t="s">
        <v>850</v>
      </c>
      <c r="R82" s="8" t="s">
        <v>1560</v>
      </c>
      <c r="S82" s="3" t="s">
        <v>914</v>
      </c>
      <c r="T82" s="7" t="s">
        <v>1031</v>
      </c>
      <c r="U82" s="7" t="s">
        <v>1745</v>
      </c>
      <c r="V82" s="7" t="s">
        <v>1744</v>
      </c>
      <c r="W82" s="7" t="s">
        <v>1188</v>
      </c>
      <c r="X82" s="7" t="s">
        <v>787</v>
      </c>
      <c r="Y82" s="8" t="s">
        <v>1851</v>
      </c>
      <c r="Z82" s="7" t="s">
        <v>768</v>
      </c>
      <c r="AA82" s="8" t="s">
        <v>1871</v>
      </c>
      <c r="AB82" s="8" t="s">
        <v>763</v>
      </c>
      <c r="AC82" s="8" t="s">
        <v>763</v>
      </c>
      <c r="AD82" s="8" t="s">
        <v>763</v>
      </c>
      <c r="AE82" s="8" t="s">
        <v>763</v>
      </c>
      <c r="AF82" s="8" t="s">
        <v>763</v>
      </c>
    </row>
    <row r="83" spans="1:32" x14ac:dyDescent="0.35">
      <c r="A83" s="12">
        <v>82</v>
      </c>
      <c r="B83" t="s">
        <v>712</v>
      </c>
      <c r="C83" t="s">
        <v>714</v>
      </c>
      <c r="D83" s="7" t="s">
        <v>751</v>
      </c>
      <c r="E83" s="7">
        <v>2025</v>
      </c>
      <c r="F83" s="7" t="s">
        <v>1742</v>
      </c>
      <c r="G83" s="7" t="s">
        <v>795</v>
      </c>
      <c r="H83" s="7" t="s">
        <v>776</v>
      </c>
      <c r="I83" s="3">
        <v>-14.7889</v>
      </c>
      <c r="J83" s="3">
        <v>-39.049399999999999</v>
      </c>
      <c r="K83" t="s">
        <v>1807</v>
      </c>
      <c r="L83" s="8" t="s">
        <v>846</v>
      </c>
      <c r="M83" s="3" t="s">
        <v>763</v>
      </c>
      <c r="N83" s="3" t="s">
        <v>763</v>
      </c>
      <c r="O83" s="3" t="s">
        <v>763</v>
      </c>
      <c r="P83" s="3" t="s">
        <v>763</v>
      </c>
      <c r="Q83" s="8" t="s">
        <v>850</v>
      </c>
      <c r="R83" s="8" t="s">
        <v>1560</v>
      </c>
      <c r="S83" s="3" t="s">
        <v>914</v>
      </c>
      <c r="T83" s="7" t="s">
        <v>1031</v>
      </c>
      <c r="U83" s="7" t="s">
        <v>1745</v>
      </c>
      <c r="V83" s="7" t="s">
        <v>1744</v>
      </c>
      <c r="W83" s="7" t="s">
        <v>1188</v>
      </c>
      <c r="X83" s="7" t="s">
        <v>787</v>
      </c>
      <c r="Y83" s="8" t="s">
        <v>1852</v>
      </c>
      <c r="Z83" s="7" t="s">
        <v>768</v>
      </c>
      <c r="AA83" s="8" t="s">
        <v>1872</v>
      </c>
      <c r="AB83" s="8" t="s">
        <v>763</v>
      </c>
      <c r="AC83" s="8" t="s">
        <v>763</v>
      </c>
      <c r="AD83" s="8" t="s">
        <v>763</v>
      </c>
      <c r="AE83" s="8" t="s">
        <v>763</v>
      </c>
      <c r="AF83" s="8" t="s">
        <v>763</v>
      </c>
    </row>
    <row r="84" spans="1:32" x14ac:dyDescent="0.35">
      <c r="A84" s="12">
        <v>82</v>
      </c>
      <c r="B84" t="s">
        <v>712</v>
      </c>
      <c r="C84" t="s">
        <v>714</v>
      </c>
      <c r="D84" s="7" t="s">
        <v>751</v>
      </c>
      <c r="E84" s="7">
        <v>2025</v>
      </c>
      <c r="F84" s="7" t="s">
        <v>1742</v>
      </c>
      <c r="G84" s="7" t="s">
        <v>795</v>
      </c>
      <c r="H84" s="7" t="s">
        <v>776</v>
      </c>
      <c r="I84" s="3">
        <v>-8.1130999999999993</v>
      </c>
      <c r="J84" s="3">
        <v>-35.015000000000001</v>
      </c>
      <c r="K84" t="s">
        <v>1808</v>
      </c>
      <c r="L84" s="8" t="s">
        <v>846</v>
      </c>
      <c r="M84" s="3" t="s">
        <v>763</v>
      </c>
      <c r="N84" s="3" t="s">
        <v>763</v>
      </c>
      <c r="O84" s="3" t="s">
        <v>763</v>
      </c>
      <c r="P84" s="3" t="s">
        <v>763</v>
      </c>
      <c r="Q84" s="8" t="s">
        <v>850</v>
      </c>
      <c r="R84" s="8" t="s">
        <v>1560</v>
      </c>
      <c r="S84" s="3" t="s">
        <v>914</v>
      </c>
      <c r="T84" s="7" t="s">
        <v>1031</v>
      </c>
      <c r="U84" s="7" t="s">
        <v>1745</v>
      </c>
      <c r="V84" s="7" t="s">
        <v>1744</v>
      </c>
      <c r="W84" s="7" t="s">
        <v>1188</v>
      </c>
      <c r="X84" s="7" t="s">
        <v>787</v>
      </c>
      <c r="Y84" s="8" t="s">
        <v>1853</v>
      </c>
      <c r="Z84" s="7" t="s">
        <v>768</v>
      </c>
      <c r="AA84" s="8" t="s">
        <v>1873</v>
      </c>
      <c r="AB84" s="8" t="s">
        <v>763</v>
      </c>
      <c r="AC84" s="8" t="s">
        <v>763</v>
      </c>
      <c r="AD84" s="8" t="s">
        <v>763</v>
      </c>
      <c r="AE84" s="8" t="s">
        <v>763</v>
      </c>
      <c r="AF84" s="8" t="s">
        <v>763</v>
      </c>
    </row>
    <row r="85" spans="1:32" x14ac:dyDescent="0.35">
      <c r="A85" s="12">
        <v>82</v>
      </c>
      <c r="B85" t="s">
        <v>712</v>
      </c>
      <c r="C85" t="s">
        <v>714</v>
      </c>
      <c r="D85" s="7" t="s">
        <v>751</v>
      </c>
      <c r="E85" s="7">
        <v>2025</v>
      </c>
      <c r="F85" s="7" t="s">
        <v>1742</v>
      </c>
      <c r="G85" s="7" t="s">
        <v>795</v>
      </c>
      <c r="H85" s="7" t="s">
        <v>776</v>
      </c>
      <c r="I85" s="3">
        <v>-22.185600000000001</v>
      </c>
      <c r="J85" s="3">
        <v>-47.39</v>
      </c>
      <c r="K85" t="s">
        <v>1809</v>
      </c>
      <c r="L85" s="8" t="s">
        <v>846</v>
      </c>
      <c r="M85" s="3" t="s">
        <v>763</v>
      </c>
      <c r="N85" s="3" t="s">
        <v>763</v>
      </c>
      <c r="O85" s="3" t="s">
        <v>763</v>
      </c>
      <c r="P85" s="3" t="s">
        <v>763</v>
      </c>
      <c r="Q85" s="8" t="s">
        <v>850</v>
      </c>
      <c r="R85" s="8" t="s">
        <v>1560</v>
      </c>
      <c r="S85" s="3" t="s">
        <v>914</v>
      </c>
      <c r="T85" s="7" t="s">
        <v>1031</v>
      </c>
      <c r="U85" s="7" t="s">
        <v>1745</v>
      </c>
      <c r="V85" s="7" t="s">
        <v>1744</v>
      </c>
      <c r="W85" s="7" t="s">
        <v>1188</v>
      </c>
      <c r="X85" s="7" t="s">
        <v>787</v>
      </c>
      <c r="Y85" s="8" t="s">
        <v>1854</v>
      </c>
      <c r="Z85" s="7" t="s">
        <v>768</v>
      </c>
      <c r="AA85" s="8" t="s">
        <v>1874</v>
      </c>
      <c r="AB85" s="8" t="s">
        <v>763</v>
      </c>
      <c r="AC85" s="8" t="s">
        <v>763</v>
      </c>
      <c r="AD85" s="8" t="s">
        <v>763</v>
      </c>
      <c r="AE85" s="8" t="s">
        <v>763</v>
      </c>
      <c r="AF85" s="8" t="s">
        <v>763</v>
      </c>
    </row>
    <row r="86" spans="1:32" x14ac:dyDescent="0.35">
      <c r="A86" s="12">
        <v>82</v>
      </c>
      <c r="B86" t="s">
        <v>712</v>
      </c>
      <c r="C86" t="s">
        <v>714</v>
      </c>
      <c r="D86" s="7" t="s">
        <v>751</v>
      </c>
      <c r="E86" s="7">
        <v>2025</v>
      </c>
      <c r="F86" s="7" t="s">
        <v>1742</v>
      </c>
      <c r="G86" s="7" t="s">
        <v>795</v>
      </c>
      <c r="H86" s="7" t="s">
        <v>776</v>
      </c>
      <c r="I86" s="3">
        <v>-22.370799999999999</v>
      </c>
      <c r="J86" s="3">
        <v>-41.786900000000003</v>
      </c>
      <c r="K86" t="s">
        <v>1810</v>
      </c>
      <c r="L86" s="8" t="s">
        <v>846</v>
      </c>
      <c r="M86" s="3" t="s">
        <v>763</v>
      </c>
      <c r="N86" s="3" t="s">
        <v>763</v>
      </c>
      <c r="O86" s="3" t="s">
        <v>763</v>
      </c>
      <c r="P86" s="3" t="s">
        <v>763</v>
      </c>
      <c r="Q86" s="8" t="s">
        <v>850</v>
      </c>
      <c r="R86" s="8" t="s">
        <v>1560</v>
      </c>
      <c r="S86" s="3" t="s">
        <v>914</v>
      </c>
      <c r="T86" s="7" t="s">
        <v>1031</v>
      </c>
      <c r="U86" s="7" t="s">
        <v>1745</v>
      </c>
      <c r="V86" s="7" t="s">
        <v>1744</v>
      </c>
      <c r="W86" s="7" t="s">
        <v>1188</v>
      </c>
      <c r="X86" s="7" t="s">
        <v>787</v>
      </c>
      <c r="Y86" s="8" t="s">
        <v>1855</v>
      </c>
      <c r="Z86" s="7" t="s">
        <v>768</v>
      </c>
      <c r="AA86" s="8" t="s">
        <v>1875</v>
      </c>
      <c r="AB86" s="8" t="s">
        <v>763</v>
      </c>
      <c r="AC86" s="8" t="s">
        <v>763</v>
      </c>
      <c r="AD86" s="8" t="s">
        <v>763</v>
      </c>
      <c r="AE86" s="8" t="s">
        <v>763</v>
      </c>
      <c r="AF86" s="8" t="s">
        <v>763</v>
      </c>
    </row>
    <row r="87" spans="1:32" x14ac:dyDescent="0.35">
      <c r="A87" s="12">
        <v>82</v>
      </c>
      <c r="B87" t="s">
        <v>712</v>
      </c>
      <c r="C87" t="s">
        <v>714</v>
      </c>
      <c r="D87" s="7" t="s">
        <v>751</v>
      </c>
      <c r="E87" s="7">
        <v>2025</v>
      </c>
      <c r="F87" s="7" t="s">
        <v>1742</v>
      </c>
      <c r="G87" s="7" t="s">
        <v>795</v>
      </c>
      <c r="H87" s="7" t="s">
        <v>776</v>
      </c>
      <c r="I87" s="3">
        <v>-9.6658000000000008</v>
      </c>
      <c r="J87" s="3">
        <v>-35.735300000000002</v>
      </c>
      <c r="K87" t="s">
        <v>1811</v>
      </c>
      <c r="L87" s="8" t="s">
        <v>846</v>
      </c>
      <c r="M87" s="3" t="s">
        <v>763</v>
      </c>
      <c r="N87" s="3" t="s">
        <v>763</v>
      </c>
      <c r="O87" s="3" t="s">
        <v>763</v>
      </c>
      <c r="P87" s="3" t="s">
        <v>763</v>
      </c>
      <c r="Q87" s="8" t="s">
        <v>850</v>
      </c>
      <c r="R87" s="8" t="s">
        <v>1560</v>
      </c>
      <c r="S87" s="3" t="s">
        <v>914</v>
      </c>
      <c r="T87" s="7" t="s">
        <v>1031</v>
      </c>
      <c r="U87" s="7" t="s">
        <v>1745</v>
      </c>
      <c r="V87" s="7" t="s">
        <v>1744</v>
      </c>
      <c r="W87" s="7" t="s">
        <v>1188</v>
      </c>
      <c r="X87" s="7" t="s">
        <v>787</v>
      </c>
      <c r="Y87" s="8" t="s">
        <v>1856</v>
      </c>
      <c r="Z87" s="7" t="s">
        <v>768</v>
      </c>
      <c r="AA87" s="8" t="s">
        <v>1876</v>
      </c>
      <c r="AB87" s="8" t="s">
        <v>763</v>
      </c>
      <c r="AC87" s="8" t="s">
        <v>763</v>
      </c>
      <c r="AD87" s="8" t="s">
        <v>763</v>
      </c>
      <c r="AE87" s="8" t="s">
        <v>763</v>
      </c>
      <c r="AF87" s="8" t="s">
        <v>763</v>
      </c>
    </row>
    <row r="88" spans="1:32" x14ac:dyDescent="0.35">
      <c r="A88" s="12">
        <v>82</v>
      </c>
      <c r="B88" t="s">
        <v>712</v>
      </c>
      <c r="C88" t="s">
        <v>714</v>
      </c>
      <c r="D88" s="7" t="s">
        <v>751</v>
      </c>
      <c r="E88" s="7">
        <v>2025</v>
      </c>
      <c r="F88" s="7" t="s">
        <v>1742</v>
      </c>
      <c r="G88" s="7" t="s">
        <v>795</v>
      </c>
      <c r="H88" s="7" t="s">
        <v>776</v>
      </c>
      <c r="I88" s="3">
        <v>-8.0475999999999992</v>
      </c>
      <c r="J88" s="3">
        <v>-34.877000000000002</v>
      </c>
      <c r="K88" t="s">
        <v>1813</v>
      </c>
      <c r="L88" s="8" t="s">
        <v>846</v>
      </c>
      <c r="M88" s="3" t="s">
        <v>763</v>
      </c>
      <c r="N88" s="3" t="s">
        <v>763</v>
      </c>
      <c r="O88" s="3" t="s">
        <v>763</v>
      </c>
      <c r="P88" s="3" t="s">
        <v>763</v>
      </c>
      <c r="Q88" s="8" t="s">
        <v>850</v>
      </c>
      <c r="R88" s="8" t="s">
        <v>1560</v>
      </c>
      <c r="S88" s="3" t="s">
        <v>914</v>
      </c>
      <c r="T88" s="7" t="s">
        <v>1031</v>
      </c>
      <c r="U88" s="7" t="s">
        <v>1745</v>
      </c>
      <c r="V88" s="7" t="s">
        <v>1744</v>
      </c>
      <c r="W88" s="7" t="s">
        <v>1188</v>
      </c>
      <c r="X88" s="7" t="s">
        <v>787</v>
      </c>
      <c r="Y88" s="8" t="s">
        <v>1862</v>
      </c>
      <c r="Z88" s="7" t="s">
        <v>768</v>
      </c>
      <c r="AA88" s="8" t="s">
        <v>1878</v>
      </c>
      <c r="AB88" s="8" t="s">
        <v>763</v>
      </c>
      <c r="AC88" s="8" t="s">
        <v>763</v>
      </c>
      <c r="AD88" s="8" t="s">
        <v>763</v>
      </c>
      <c r="AE88" s="8" t="s">
        <v>763</v>
      </c>
      <c r="AF88" s="8" t="s">
        <v>763</v>
      </c>
    </row>
    <row r="89" spans="1:32" x14ac:dyDescent="0.35">
      <c r="A89" s="12">
        <v>82</v>
      </c>
      <c r="B89" t="s">
        <v>712</v>
      </c>
      <c r="C89" t="s">
        <v>714</v>
      </c>
      <c r="D89" s="7" t="s">
        <v>751</v>
      </c>
      <c r="E89" s="7">
        <v>2025</v>
      </c>
      <c r="F89" s="7" t="s">
        <v>1742</v>
      </c>
      <c r="G89" s="7" t="s">
        <v>795</v>
      </c>
      <c r="H89" s="7" t="s">
        <v>776</v>
      </c>
      <c r="I89" s="3">
        <v>-22.8231</v>
      </c>
      <c r="J89" s="3">
        <v>-43.053899999999999</v>
      </c>
      <c r="K89" t="s">
        <v>1814</v>
      </c>
      <c r="L89" s="8" t="s">
        <v>846</v>
      </c>
      <c r="M89" s="3" t="s">
        <v>763</v>
      </c>
      <c r="N89" s="3" t="s">
        <v>763</v>
      </c>
      <c r="O89" s="3" t="s">
        <v>763</v>
      </c>
      <c r="P89" s="3" t="s">
        <v>763</v>
      </c>
      <c r="Q89" s="8" t="s">
        <v>850</v>
      </c>
      <c r="R89" s="8" t="s">
        <v>1560</v>
      </c>
      <c r="S89" s="3" t="s">
        <v>914</v>
      </c>
      <c r="T89" s="7" t="s">
        <v>1031</v>
      </c>
      <c r="U89" s="7" t="s">
        <v>1745</v>
      </c>
      <c r="V89" s="7" t="s">
        <v>1744</v>
      </c>
      <c r="W89" s="7" t="s">
        <v>1188</v>
      </c>
      <c r="X89" s="7" t="s">
        <v>787</v>
      </c>
      <c r="Y89" s="8" t="s">
        <v>1863</v>
      </c>
      <c r="Z89" s="7" t="s">
        <v>768</v>
      </c>
      <c r="AA89" s="8" t="s">
        <v>1879</v>
      </c>
      <c r="AB89" s="8" t="s">
        <v>763</v>
      </c>
      <c r="AC89" s="8" t="s">
        <v>763</v>
      </c>
      <c r="AD89" s="8" t="s">
        <v>763</v>
      </c>
      <c r="AE89" s="8" t="s">
        <v>763</v>
      </c>
      <c r="AF89" s="8" t="s">
        <v>763</v>
      </c>
    </row>
    <row r="90" spans="1:32" x14ac:dyDescent="0.35">
      <c r="A90" s="12">
        <v>82</v>
      </c>
      <c r="B90" t="s">
        <v>712</v>
      </c>
      <c r="C90" t="s">
        <v>714</v>
      </c>
      <c r="D90" s="7" t="s">
        <v>751</v>
      </c>
      <c r="E90" s="7">
        <v>2025</v>
      </c>
      <c r="F90" s="7" t="s">
        <v>1742</v>
      </c>
      <c r="G90" s="7" t="s">
        <v>795</v>
      </c>
      <c r="H90" s="7" t="s">
        <v>776</v>
      </c>
      <c r="I90" s="3">
        <v>-20.128599999999999</v>
      </c>
      <c r="J90" s="3">
        <v>-40.3078</v>
      </c>
      <c r="K90" t="s">
        <v>1815</v>
      </c>
      <c r="L90" s="8" t="s">
        <v>846</v>
      </c>
      <c r="M90" s="3" t="s">
        <v>763</v>
      </c>
      <c r="N90" s="3" t="s">
        <v>763</v>
      </c>
      <c r="O90" s="3" t="s">
        <v>763</v>
      </c>
      <c r="P90" s="3" t="s">
        <v>763</v>
      </c>
      <c r="Q90" s="8" t="s">
        <v>850</v>
      </c>
      <c r="R90" s="8" t="s">
        <v>1560</v>
      </c>
      <c r="S90" s="3" t="s">
        <v>914</v>
      </c>
      <c r="T90" s="7" t="s">
        <v>1031</v>
      </c>
      <c r="U90" s="7" t="s">
        <v>1745</v>
      </c>
      <c r="V90" s="7" t="s">
        <v>1744</v>
      </c>
      <c r="W90" s="7" t="s">
        <v>1188</v>
      </c>
      <c r="X90" s="7" t="s">
        <v>787</v>
      </c>
      <c r="Y90" s="8" t="s">
        <v>1864</v>
      </c>
      <c r="Z90" s="7" t="s">
        <v>768</v>
      </c>
      <c r="AA90" s="8" t="s">
        <v>1880</v>
      </c>
      <c r="AB90" s="8" t="s">
        <v>763</v>
      </c>
      <c r="AC90" s="8" t="s">
        <v>763</v>
      </c>
      <c r="AD90" s="8" t="s">
        <v>763</v>
      </c>
      <c r="AE90" s="8" t="s">
        <v>763</v>
      </c>
      <c r="AF90" s="8" t="s">
        <v>763</v>
      </c>
    </row>
    <row r="91" spans="1:32" x14ac:dyDescent="0.35">
      <c r="A91" s="12">
        <v>82</v>
      </c>
      <c r="B91" t="s">
        <v>712</v>
      </c>
      <c r="C91" t="s">
        <v>714</v>
      </c>
      <c r="D91" s="7" t="s">
        <v>751</v>
      </c>
      <c r="E91" s="7">
        <v>2025</v>
      </c>
      <c r="F91" s="7" t="s">
        <v>1742</v>
      </c>
      <c r="G91" s="7" t="s">
        <v>795</v>
      </c>
      <c r="H91" s="7" t="s">
        <v>776</v>
      </c>
      <c r="I91" s="3">
        <v>-12.785</v>
      </c>
      <c r="J91" s="3">
        <v>-38.404200000000003</v>
      </c>
      <c r="K91" t="s">
        <v>1816</v>
      </c>
      <c r="L91" s="8" t="s">
        <v>846</v>
      </c>
      <c r="M91" s="3" t="s">
        <v>763</v>
      </c>
      <c r="N91" s="3" t="s">
        <v>763</v>
      </c>
      <c r="O91" s="3" t="s">
        <v>763</v>
      </c>
      <c r="P91" s="3" t="s">
        <v>763</v>
      </c>
      <c r="Q91" s="8" t="s">
        <v>850</v>
      </c>
      <c r="R91" s="8" t="s">
        <v>1560</v>
      </c>
      <c r="S91" s="3" t="s">
        <v>914</v>
      </c>
      <c r="T91" s="7" t="s">
        <v>1031</v>
      </c>
      <c r="U91" s="7" t="s">
        <v>1745</v>
      </c>
      <c r="V91" s="7" t="s">
        <v>1744</v>
      </c>
      <c r="W91" s="7" t="s">
        <v>1188</v>
      </c>
      <c r="X91" s="7" t="s">
        <v>787</v>
      </c>
      <c r="Y91" s="8" t="s">
        <v>1865</v>
      </c>
      <c r="Z91" s="7" t="s">
        <v>768</v>
      </c>
      <c r="AA91" s="8" t="s">
        <v>1881</v>
      </c>
      <c r="AB91" s="8" t="s">
        <v>763</v>
      </c>
      <c r="AC91" s="8" t="s">
        <v>763</v>
      </c>
      <c r="AD91" s="8" t="s">
        <v>763</v>
      </c>
      <c r="AE91" s="8" t="s">
        <v>763</v>
      </c>
      <c r="AF91" s="8" t="s">
        <v>763</v>
      </c>
    </row>
  </sheetData>
  <autoFilter ref="A1:AF91" xr:uid="{4DCA69EF-7491-4A61-8A24-17E9235A1061}"/>
  <hyperlinks>
    <hyperlink ref="C26" r:id="rId1" display="https://www.sciencedirect.com/author/57219425459/erik-velasco" xr:uid="{2ABAF06F-E8A6-4A01-AB56-4F654D492C7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6224-AF98-423C-AE39-7674AAD3A28B}">
  <dimension ref="A1:AS115"/>
  <sheetViews>
    <sheetView topLeftCell="D1" workbookViewId="0">
      <pane ySplit="1" topLeftCell="A2" activePane="bottomLeft" state="frozen"/>
      <selection pane="bottomLeft" activeCell="U23" sqref="U23"/>
    </sheetView>
  </sheetViews>
  <sheetFormatPr defaultRowHeight="14.5" x14ac:dyDescent="0.35"/>
  <cols>
    <col min="2" max="2" width="27.26953125" customWidth="1"/>
    <col min="13" max="13" width="9" customWidth="1"/>
    <col min="28" max="28" width="10.81640625" bestFit="1" customWidth="1"/>
    <col min="32" max="32" width="10.81640625" bestFit="1" customWidth="1"/>
    <col min="33" max="33" width="8.90625" customWidth="1"/>
    <col min="34" max="34" width="10.81640625" customWidth="1"/>
    <col min="37" max="37" width="11.36328125" bestFit="1" customWidth="1"/>
    <col min="38" max="38" width="10.81640625" bestFit="1" customWidth="1"/>
  </cols>
  <sheetData>
    <row r="1" spans="1:45"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2073</v>
      </c>
      <c r="O1" s="2" t="s">
        <v>2076</v>
      </c>
      <c r="P1" s="2" t="s">
        <v>735</v>
      </c>
      <c r="Q1" s="2" t="s">
        <v>736</v>
      </c>
      <c r="R1" s="2" t="s">
        <v>737</v>
      </c>
      <c r="S1" s="2" t="s">
        <v>738</v>
      </c>
      <c r="T1" s="2" t="s">
        <v>739</v>
      </c>
      <c r="U1" s="2" t="s">
        <v>740</v>
      </c>
      <c r="V1" s="2" t="s">
        <v>741</v>
      </c>
      <c r="W1" s="2" t="s">
        <v>742</v>
      </c>
      <c r="X1" s="2" t="s">
        <v>743</v>
      </c>
      <c r="Y1" s="2" t="s">
        <v>744</v>
      </c>
      <c r="Z1" s="12" t="s">
        <v>2227</v>
      </c>
      <c r="AA1" s="47" t="s">
        <v>2226</v>
      </c>
      <c r="AB1" s="12" t="s">
        <v>2214</v>
      </c>
      <c r="AC1" s="47" t="s">
        <v>2225</v>
      </c>
      <c r="AD1" s="2" t="s">
        <v>745</v>
      </c>
      <c r="AE1" s="2" t="s">
        <v>746</v>
      </c>
      <c r="AF1" s="47" t="s">
        <v>2215</v>
      </c>
      <c r="AG1" s="12" t="s">
        <v>2224</v>
      </c>
      <c r="AH1" s="12" t="s">
        <v>2216</v>
      </c>
      <c r="AI1" s="47" t="s">
        <v>2229</v>
      </c>
      <c r="AJ1" s="2" t="s">
        <v>747</v>
      </c>
      <c r="AK1" s="12" t="s">
        <v>2217</v>
      </c>
      <c r="AL1" s="12" t="s">
        <v>2218</v>
      </c>
      <c r="AM1" s="12" t="s">
        <v>2219</v>
      </c>
      <c r="AN1" s="12" t="s">
        <v>2220</v>
      </c>
      <c r="AO1" s="2" t="s">
        <v>748</v>
      </c>
      <c r="AP1" s="47" t="s">
        <v>2221</v>
      </c>
      <c r="AQ1" s="2" t="s">
        <v>2223</v>
      </c>
      <c r="AR1" s="2" t="s">
        <v>750</v>
      </c>
      <c r="AS1" s="2" t="s">
        <v>2004</v>
      </c>
    </row>
    <row r="2" spans="1:45" x14ac:dyDescent="0.35">
      <c r="A2" s="3">
        <v>1</v>
      </c>
      <c r="B2" s="3" t="s">
        <v>33</v>
      </c>
      <c r="C2" s="3" t="s">
        <v>35</v>
      </c>
      <c r="D2" s="3" t="s">
        <v>751</v>
      </c>
      <c r="E2" s="3">
        <v>2025</v>
      </c>
      <c r="F2" s="3" t="s">
        <v>752</v>
      </c>
      <c r="G2" s="3" t="s">
        <v>753</v>
      </c>
      <c r="H2" s="3" t="s">
        <v>754</v>
      </c>
      <c r="I2" s="3">
        <v>13.01784</v>
      </c>
      <c r="J2" s="3">
        <v>80.268242000000001</v>
      </c>
      <c r="K2" s="3" t="s">
        <v>755</v>
      </c>
      <c r="L2" s="3" t="s">
        <v>756</v>
      </c>
      <c r="M2" s="3" t="s">
        <v>2095</v>
      </c>
      <c r="N2" s="3">
        <v>1400</v>
      </c>
      <c r="O2" s="3">
        <v>27.9</v>
      </c>
      <c r="P2" s="3" t="s">
        <v>759</v>
      </c>
      <c r="Q2" s="3" t="s">
        <v>1113</v>
      </c>
      <c r="R2" s="3" t="s">
        <v>2074</v>
      </c>
      <c r="S2" s="3" t="s">
        <v>762</v>
      </c>
      <c r="T2" s="3" t="s">
        <v>1031</v>
      </c>
      <c r="U2" s="3" t="s">
        <v>764</v>
      </c>
      <c r="V2" s="3" t="s">
        <v>2026</v>
      </c>
      <c r="W2" s="3" t="s">
        <v>766</v>
      </c>
      <c r="X2" s="3" t="s">
        <v>762</v>
      </c>
      <c r="Y2" s="3" t="s">
        <v>2075</v>
      </c>
      <c r="Z2" s="3">
        <v>325.70999999999998</v>
      </c>
      <c r="AA2" s="3">
        <f>Z2/AP2</f>
        <v>1.4219908920284947</v>
      </c>
      <c r="AB2" s="3">
        <v>1195.42</v>
      </c>
      <c r="AC2" s="3">
        <f>AB2/AP2</f>
        <v>5.2189872959034211</v>
      </c>
      <c r="AD2" s="3" t="s">
        <v>768</v>
      </c>
      <c r="AE2" s="3" t="s">
        <v>769</v>
      </c>
      <c r="AF2" s="3">
        <v>99.89</v>
      </c>
      <c r="AG2" s="3">
        <v>2288</v>
      </c>
      <c r="AH2" s="3">
        <v>8397.0499999999993</v>
      </c>
      <c r="AI2" s="3">
        <f>AH2/AP2</f>
        <v>36.660000061121465</v>
      </c>
      <c r="AJ2" s="3" t="s">
        <v>770</v>
      </c>
      <c r="AK2" s="3">
        <v>222.26</v>
      </c>
      <c r="AL2" s="3">
        <f>AK2*AP2</f>
        <v>50909.119745999997</v>
      </c>
      <c r="AM2" s="3">
        <f>AK2/1.24</f>
        <v>179.24193548387098</v>
      </c>
      <c r="AN2" s="3">
        <f>AM2*0.24</f>
        <v>43.01806451612903</v>
      </c>
      <c r="AO2" s="3">
        <v>229.0521</v>
      </c>
      <c r="AP2" s="3">
        <v>229.0521</v>
      </c>
      <c r="AQ2" s="3">
        <v>14</v>
      </c>
      <c r="AR2" s="3" t="s">
        <v>2008</v>
      </c>
      <c r="AS2" s="3" t="s">
        <v>2275</v>
      </c>
    </row>
    <row r="3" spans="1:45" x14ac:dyDescent="0.35">
      <c r="A3" s="3">
        <v>2</v>
      </c>
      <c r="B3" s="3" t="s">
        <v>38</v>
      </c>
      <c r="C3" s="3" t="s">
        <v>40</v>
      </c>
      <c r="D3" s="3" t="s">
        <v>751</v>
      </c>
      <c r="E3" s="3">
        <v>2023</v>
      </c>
      <c r="F3" s="3" t="s">
        <v>1890</v>
      </c>
      <c r="G3" s="3" t="s">
        <v>753</v>
      </c>
      <c r="H3" s="3" t="s">
        <v>776</v>
      </c>
      <c r="I3" s="3">
        <v>-12.816667000000001</v>
      </c>
      <c r="J3" s="3">
        <v>28.2</v>
      </c>
      <c r="K3" s="3" t="s">
        <v>779</v>
      </c>
      <c r="L3" s="3" t="s">
        <v>780</v>
      </c>
      <c r="M3" s="3" t="s">
        <v>2092</v>
      </c>
      <c r="N3" s="3">
        <v>1226</v>
      </c>
      <c r="O3" s="3">
        <v>22.3</v>
      </c>
      <c r="P3" s="3" t="s">
        <v>2079</v>
      </c>
      <c r="Q3" s="3" t="s">
        <v>1882</v>
      </c>
      <c r="R3" s="3" t="s">
        <v>2166</v>
      </c>
      <c r="S3" s="3" t="s">
        <v>787</v>
      </c>
      <c r="T3" s="3" t="s">
        <v>1031</v>
      </c>
      <c r="U3" s="3" t="s">
        <v>764</v>
      </c>
      <c r="V3" s="3" t="s">
        <v>2027</v>
      </c>
      <c r="W3" s="3" t="s">
        <v>766</v>
      </c>
      <c r="X3" s="3" t="s">
        <v>787</v>
      </c>
      <c r="Y3" s="3" t="s">
        <v>763</v>
      </c>
      <c r="Z3" s="3" t="s">
        <v>763</v>
      </c>
      <c r="AA3" s="3" t="s">
        <v>763</v>
      </c>
      <c r="AB3" s="3" t="s">
        <v>763</v>
      </c>
      <c r="AC3" s="3" t="s">
        <v>763</v>
      </c>
      <c r="AD3" s="3" t="s">
        <v>789</v>
      </c>
      <c r="AE3" s="4" t="s">
        <v>2190</v>
      </c>
      <c r="AF3" s="4">
        <f>AG3/AO3</f>
        <v>3.6859716859716858E-3</v>
      </c>
      <c r="AG3" s="4">
        <v>286.39999999999998</v>
      </c>
      <c r="AH3" s="4">
        <v>1211.93</v>
      </c>
      <c r="AI3" s="4">
        <f>AH3/AP3</f>
        <v>1.5597554697554698E-2</v>
      </c>
      <c r="AJ3" s="4" t="s">
        <v>2188</v>
      </c>
      <c r="AK3" s="4">
        <f>AM3+AN3</f>
        <v>9.1412097812097817E-3</v>
      </c>
      <c r="AL3" s="4">
        <f>AK3*AP3</f>
        <v>710.27200000000005</v>
      </c>
      <c r="AM3" s="4">
        <f>572.8/AO3</f>
        <v>7.3719433719433717E-3</v>
      </c>
      <c r="AN3" s="4">
        <f>AM3*0.24</f>
        <v>1.7692664092664092E-3</v>
      </c>
      <c r="AO3" s="3">
        <v>77700</v>
      </c>
      <c r="AP3" s="3">
        <v>77700</v>
      </c>
      <c r="AQ3" s="3" t="s">
        <v>763</v>
      </c>
      <c r="AR3" s="3" t="s">
        <v>792</v>
      </c>
      <c r="AS3" s="3" t="s">
        <v>2189</v>
      </c>
    </row>
    <row r="4" spans="1:45" x14ac:dyDescent="0.35">
      <c r="A4" s="3">
        <v>3</v>
      </c>
      <c r="B4" s="3" t="s">
        <v>43</v>
      </c>
      <c r="C4" s="3" t="s">
        <v>45</v>
      </c>
      <c r="D4" s="3" t="s">
        <v>751</v>
      </c>
      <c r="E4" s="3">
        <v>2020</v>
      </c>
      <c r="F4" s="4" t="s">
        <v>1891</v>
      </c>
      <c r="G4" s="3" t="s">
        <v>795</v>
      </c>
      <c r="H4" s="3" t="s">
        <v>754</v>
      </c>
      <c r="I4" s="3">
        <v>4.6785030000000001</v>
      </c>
      <c r="J4" s="3">
        <v>101.07940000000001</v>
      </c>
      <c r="K4" s="3" t="s">
        <v>798</v>
      </c>
      <c r="L4" s="3" t="s">
        <v>799</v>
      </c>
      <c r="M4" s="3" t="s">
        <v>2077</v>
      </c>
      <c r="N4">
        <v>2298</v>
      </c>
      <c r="O4" s="3">
        <v>25.8</v>
      </c>
      <c r="P4" s="3" t="s">
        <v>763</v>
      </c>
      <c r="Q4" s="3" t="s">
        <v>763</v>
      </c>
      <c r="R4" s="19" t="s">
        <v>2167</v>
      </c>
      <c r="S4" s="3" t="s">
        <v>762</v>
      </c>
      <c r="T4" s="3" t="s">
        <v>865</v>
      </c>
      <c r="U4" s="3" t="s">
        <v>801</v>
      </c>
      <c r="V4" s="3" t="s">
        <v>802</v>
      </c>
      <c r="W4" s="3" t="s">
        <v>766</v>
      </c>
      <c r="X4" s="3" t="s">
        <v>762</v>
      </c>
      <c r="Y4" s="3" t="s">
        <v>763</v>
      </c>
      <c r="Z4" s="3" t="s">
        <v>763</v>
      </c>
      <c r="AA4" s="3" t="s">
        <v>763</v>
      </c>
      <c r="AB4" s="3" t="s">
        <v>763</v>
      </c>
      <c r="AC4" s="3" t="s">
        <v>763</v>
      </c>
      <c r="AD4" s="3" t="s">
        <v>789</v>
      </c>
      <c r="AE4" s="3" t="s">
        <v>2106</v>
      </c>
      <c r="AF4" s="3">
        <f xml:space="preserve"> ((1995*48.953)+(2005*662.568)+(2015*860.027))/(1995+2005+2015)</f>
        <v>525.19775228595176</v>
      </c>
      <c r="AG4" s="3">
        <f>AF4*AP4</f>
        <v>18320.114766262152</v>
      </c>
      <c r="AH4" s="3">
        <f>AF4*3.65</f>
        <v>1916.9717958437238</v>
      </c>
      <c r="AI4" s="3">
        <f>AH4/AP4</f>
        <v>54.95540236607934</v>
      </c>
      <c r="AJ4" s="3" t="s">
        <v>2256</v>
      </c>
      <c r="AK4" s="4">
        <f>AM4+AN4</f>
        <v>1302.4912564588531</v>
      </c>
      <c r="AL4" s="4">
        <f>AK4*AP4</f>
        <v>45433.913600200009</v>
      </c>
      <c r="AM4" s="3">
        <f>((1995*97.906)+(2005*1325.136)+(2015*1720.056))/(1995+2005+2015)</f>
        <v>1050.3961745635911</v>
      </c>
      <c r="AN4" s="4">
        <f>AM4*0.24</f>
        <v>252.09508189526184</v>
      </c>
      <c r="AO4" t="s">
        <v>2246</v>
      </c>
      <c r="AP4">
        <f>((1995*52.951)+(2005*31.599)+(2015*20.26))/(1995+2005+2015)</f>
        <v>34.882317539484617</v>
      </c>
      <c r="AQ4" s="3" t="s">
        <v>763</v>
      </c>
      <c r="AR4" s="3" t="s">
        <v>763</v>
      </c>
      <c r="AS4" s="3" t="s">
        <v>763</v>
      </c>
    </row>
    <row r="5" spans="1:45" x14ac:dyDescent="0.35">
      <c r="A5" s="3">
        <v>3</v>
      </c>
      <c r="B5" s="3" t="s">
        <v>43</v>
      </c>
      <c r="C5" s="3" t="s">
        <v>45</v>
      </c>
      <c r="D5" s="3" t="s">
        <v>751</v>
      </c>
      <c r="E5" s="3">
        <v>2021</v>
      </c>
      <c r="F5" s="4" t="s">
        <v>1891</v>
      </c>
      <c r="G5" s="3" t="s">
        <v>795</v>
      </c>
      <c r="H5" s="3" t="s">
        <v>754</v>
      </c>
      <c r="I5" s="3">
        <v>4.6785030000000001</v>
      </c>
      <c r="J5" s="3">
        <v>101.07940000000001</v>
      </c>
      <c r="K5" s="3" t="s">
        <v>798</v>
      </c>
      <c r="L5" s="3" t="s">
        <v>799</v>
      </c>
      <c r="M5" s="3" t="s">
        <v>2077</v>
      </c>
      <c r="N5">
        <v>2298</v>
      </c>
      <c r="O5" s="3">
        <v>25.8</v>
      </c>
      <c r="P5" s="3" t="s">
        <v>763</v>
      </c>
      <c r="Q5" s="3" t="s">
        <v>763</v>
      </c>
      <c r="R5" s="3" t="s">
        <v>2167</v>
      </c>
      <c r="S5" s="3" t="s">
        <v>762</v>
      </c>
      <c r="T5" s="3" t="s">
        <v>865</v>
      </c>
      <c r="U5" s="3" t="s">
        <v>801</v>
      </c>
      <c r="V5" s="3" t="s">
        <v>802</v>
      </c>
      <c r="W5" s="3" t="s">
        <v>766</v>
      </c>
      <c r="X5" s="3" t="s">
        <v>762</v>
      </c>
      <c r="Y5" s="3" t="s">
        <v>763</v>
      </c>
      <c r="Z5" s="3" t="s">
        <v>763</v>
      </c>
      <c r="AA5" s="3" t="s">
        <v>763</v>
      </c>
      <c r="AB5" s="3" t="s">
        <v>763</v>
      </c>
      <c r="AC5" s="3" t="s">
        <v>763</v>
      </c>
      <c r="AD5" s="3" t="s">
        <v>789</v>
      </c>
      <c r="AE5" s="3" t="s">
        <v>2107</v>
      </c>
      <c r="AF5" s="3">
        <f>((1995*20532.462)+(2005*18669.592)+(2015*11868.363))/(1995+2005+2015)</f>
        <v>17009.068178719866</v>
      </c>
      <c r="AG5" s="3">
        <f>AF5*AP5</f>
        <v>6120843.85560703</v>
      </c>
      <c r="AH5" s="3">
        <f>AF5*3.65</f>
        <v>62083.098852327508</v>
      </c>
      <c r="AI5" s="3">
        <f>AH5/AP5</f>
        <v>172.52125459108254</v>
      </c>
      <c r="AJ5" s="3" t="s">
        <v>2108</v>
      </c>
      <c r="AK5" s="4">
        <f>AM5+AN5</f>
        <v>42091.555338620121</v>
      </c>
      <c r="AL5" s="4">
        <f>AK5*AP5</f>
        <v>15146969.555314369</v>
      </c>
      <c r="AM5" s="3">
        <f>((1995*41064.923)+(2005*37119.184)+(2015*23736.726))/(1995+2005+2015)</f>
        <v>33944.80269243558</v>
      </c>
      <c r="AN5" s="4">
        <f>AM5*0.24</f>
        <v>8146.7526461845391</v>
      </c>
      <c r="AO5" t="s">
        <v>2247</v>
      </c>
      <c r="AP5">
        <f>((1995*341.789)+(2005*363.141)+(2015*374.48))/(1995+2005+2015)</f>
        <v>359.85768246051538</v>
      </c>
      <c r="AQ5" s="3" t="s">
        <v>763</v>
      </c>
      <c r="AR5" s="3" t="s">
        <v>763</v>
      </c>
      <c r="AS5" s="3" t="s">
        <v>763</v>
      </c>
    </row>
    <row r="6" spans="1:45" s="37" customFormat="1" x14ac:dyDescent="0.35">
      <c r="A6" s="12">
        <v>3</v>
      </c>
      <c r="B6" s="12" t="s">
        <v>43</v>
      </c>
      <c r="C6" s="12" t="s">
        <v>45</v>
      </c>
      <c r="D6" s="12" t="s">
        <v>751</v>
      </c>
      <c r="E6" s="12">
        <v>2022</v>
      </c>
      <c r="F6" s="12" t="s">
        <v>1891</v>
      </c>
      <c r="G6" s="12" t="s">
        <v>795</v>
      </c>
      <c r="H6" s="12" t="s">
        <v>754</v>
      </c>
      <c r="I6" s="12">
        <v>4.6785030000000001</v>
      </c>
      <c r="J6" s="12">
        <v>101.07940000000001</v>
      </c>
      <c r="K6" s="12" t="s">
        <v>798</v>
      </c>
      <c r="L6" s="12" t="s">
        <v>799</v>
      </c>
      <c r="M6" s="12" t="s">
        <v>2077</v>
      </c>
      <c r="N6" s="37">
        <v>2298</v>
      </c>
      <c r="O6" s="12">
        <v>25.8</v>
      </c>
      <c r="P6" s="12" t="s">
        <v>763</v>
      </c>
      <c r="Q6" s="12" t="s">
        <v>763</v>
      </c>
      <c r="R6" s="12" t="s">
        <v>800</v>
      </c>
      <c r="S6" s="12" t="s">
        <v>762</v>
      </c>
      <c r="T6" s="12" t="s">
        <v>865</v>
      </c>
      <c r="U6" s="12" t="s">
        <v>801</v>
      </c>
      <c r="V6" s="12" t="s">
        <v>802</v>
      </c>
      <c r="W6" s="12" t="s">
        <v>766</v>
      </c>
      <c r="X6" s="12" t="s">
        <v>762</v>
      </c>
      <c r="Y6" s="12" t="s">
        <v>763</v>
      </c>
      <c r="Z6" s="12" t="s">
        <v>763</v>
      </c>
      <c r="AA6" s="12" t="s">
        <v>763</v>
      </c>
      <c r="AB6" s="12" t="s">
        <v>763</v>
      </c>
      <c r="AC6" s="12" t="s">
        <v>763</v>
      </c>
      <c r="AD6" s="12" t="s">
        <v>789</v>
      </c>
      <c r="AE6" s="12" t="s">
        <v>803</v>
      </c>
      <c r="AF6" s="12" t="s">
        <v>803</v>
      </c>
      <c r="AG6" s="12" t="s">
        <v>763</v>
      </c>
      <c r="AH6" s="12" t="s">
        <v>763</v>
      </c>
      <c r="AI6" s="12" t="s">
        <v>763</v>
      </c>
      <c r="AJ6" s="12" t="s">
        <v>804</v>
      </c>
      <c r="AK6" s="12" t="s">
        <v>763</v>
      </c>
      <c r="AL6" s="12" t="s">
        <v>763</v>
      </c>
      <c r="AM6" s="12" t="s">
        <v>2191</v>
      </c>
      <c r="AN6" s="12" t="s">
        <v>763</v>
      </c>
      <c r="AO6" s="12" t="s">
        <v>805</v>
      </c>
      <c r="AP6" s="12" t="s">
        <v>2257</v>
      </c>
      <c r="AQ6" s="12" t="s">
        <v>763</v>
      </c>
      <c r="AR6" s="12" t="s">
        <v>763</v>
      </c>
      <c r="AS6" s="12" t="s">
        <v>763</v>
      </c>
    </row>
    <row r="7" spans="1:45" x14ac:dyDescent="0.35">
      <c r="A7" s="3">
        <v>4</v>
      </c>
      <c r="B7" s="3" t="s">
        <v>53</v>
      </c>
      <c r="C7" s="3" t="s">
        <v>55</v>
      </c>
      <c r="D7" s="3" t="s">
        <v>751</v>
      </c>
      <c r="E7" s="3">
        <v>2016</v>
      </c>
      <c r="F7" s="3" t="s">
        <v>1892</v>
      </c>
      <c r="G7" s="3" t="s">
        <v>753</v>
      </c>
      <c r="H7" s="3" t="s">
        <v>754</v>
      </c>
      <c r="I7" s="3">
        <v>7.25</v>
      </c>
      <c r="J7" s="3">
        <v>5.1950000000000003</v>
      </c>
      <c r="K7" s="3" t="s">
        <v>822</v>
      </c>
      <c r="L7" s="3" t="s">
        <v>823</v>
      </c>
      <c r="M7" s="3" t="s">
        <v>2095</v>
      </c>
      <c r="N7">
        <v>1711</v>
      </c>
      <c r="O7" s="3">
        <v>25.1</v>
      </c>
      <c r="P7" s="3" t="s">
        <v>2079</v>
      </c>
      <c r="Q7" s="3" t="s">
        <v>1860</v>
      </c>
      <c r="R7" s="3" t="s">
        <v>2166</v>
      </c>
      <c r="S7" s="3" t="s">
        <v>787</v>
      </c>
      <c r="T7" s="3" t="s">
        <v>1031</v>
      </c>
      <c r="U7" s="3" t="s">
        <v>764</v>
      </c>
      <c r="V7" s="7" t="s">
        <v>2028</v>
      </c>
      <c r="W7" s="7" t="s">
        <v>766</v>
      </c>
      <c r="X7" s="3" t="s">
        <v>826</v>
      </c>
      <c r="Y7" s="3" t="s">
        <v>763</v>
      </c>
      <c r="Z7" s="3" t="s">
        <v>763</v>
      </c>
      <c r="AA7" s="3" t="s">
        <v>763</v>
      </c>
      <c r="AB7" s="3" t="s">
        <v>763</v>
      </c>
      <c r="AC7" s="3" t="s">
        <v>763</v>
      </c>
      <c r="AD7" s="3" t="s">
        <v>789</v>
      </c>
      <c r="AE7" s="3" t="s">
        <v>827</v>
      </c>
      <c r="AF7" s="3" t="s">
        <v>763</v>
      </c>
      <c r="AG7" s="3">
        <v>9.9374400000000005</v>
      </c>
      <c r="AH7" s="3">
        <v>35.736359999999998</v>
      </c>
      <c r="AI7" s="3" t="s">
        <v>763</v>
      </c>
      <c r="AJ7" s="3" t="s">
        <v>1780</v>
      </c>
      <c r="AK7" s="4" t="s">
        <v>763</v>
      </c>
      <c r="AL7" s="4" t="s">
        <v>763</v>
      </c>
      <c r="AM7" s="34" t="s">
        <v>2234</v>
      </c>
      <c r="AN7" s="4" t="s">
        <v>763</v>
      </c>
      <c r="AO7" s="32" t="s">
        <v>763</v>
      </c>
      <c r="AP7" s="32" t="s">
        <v>763</v>
      </c>
      <c r="AQ7" s="3" t="s">
        <v>763</v>
      </c>
      <c r="AR7" s="3" t="s">
        <v>2009</v>
      </c>
      <c r="AS7" s="5" t="s">
        <v>829</v>
      </c>
    </row>
    <row r="8" spans="1:45" x14ac:dyDescent="0.35">
      <c r="A8" s="3">
        <v>5</v>
      </c>
      <c r="B8" s="3" t="s">
        <v>58</v>
      </c>
      <c r="C8" s="3" t="s">
        <v>60</v>
      </c>
      <c r="D8" s="3" t="s">
        <v>751</v>
      </c>
      <c r="E8" s="3">
        <v>2024</v>
      </c>
      <c r="F8" s="3" t="s">
        <v>830</v>
      </c>
      <c r="G8" s="3" t="s">
        <v>753</v>
      </c>
      <c r="H8" s="3" t="s">
        <v>776</v>
      </c>
      <c r="I8" s="3">
        <v>-6.8858100000000002</v>
      </c>
      <c r="J8" s="3">
        <v>107.61136999999999</v>
      </c>
      <c r="K8" s="3" t="s">
        <v>831</v>
      </c>
      <c r="L8" s="3" t="s">
        <v>832</v>
      </c>
      <c r="M8" s="3" t="s">
        <v>2077</v>
      </c>
      <c r="N8">
        <v>3710</v>
      </c>
      <c r="O8" s="3">
        <v>22.4</v>
      </c>
      <c r="P8" s="3" t="s">
        <v>759</v>
      </c>
      <c r="Q8" s="3" t="s">
        <v>763</v>
      </c>
      <c r="R8" s="3" t="s">
        <v>2167</v>
      </c>
      <c r="S8" s="3" t="s">
        <v>762</v>
      </c>
      <c r="T8" s="3" t="s">
        <v>1031</v>
      </c>
      <c r="U8" s="7" t="s">
        <v>2003</v>
      </c>
      <c r="V8" s="3" t="s">
        <v>2038</v>
      </c>
      <c r="W8" s="3" t="s">
        <v>766</v>
      </c>
      <c r="X8" s="3" t="s">
        <v>762</v>
      </c>
      <c r="Y8" s="3" t="s">
        <v>837</v>
      </c>
      <c r="Z8" s="3">
        <v>25.17</v>
      </c>
      <c r="AA8" s="3">
        <f>Z8/AP8</f>
        <v>5.0340000000000007</v>
      </c>
      <c r="AB8" s="3">
        <f>Z8*3.65</f>
        <v>91.870500000000007</v>
      </c>
      <c r="AC8" s="3">
        <f>AB8/AP8</f>
        <v>18.374100000000002</v>
      </c>
      <c r="AD8" s="3" t="s">
        <v>789</v>
      </c>
      <c r="AE8" s="3" t="s">
        <v>838</v>
      </c>
      <c r="AF8" s="3">
        <f>AG8/AP8</f>
        <v>76.2</v>
      </c>
      <c r="AG8" s="3">
        <v>381</v>
      </c>
      <c r="AH8" s="3">
        <f>AG8*3.65</f>
        <v>1390.6499999999999</v>
      </c>
      <c r="AI8" s="3">
        <f t="shared" ref="AI8:AI13" si="0">AH8/AP8</f>
        <v>278.13</v>
      </c>
      <c r="AJ8" s="3" t="s">
        <v>763</v>
      </c>
      <c r="AK8" s="3" t="s">
        <v>763</v>
      </c>
      <c r="AL8" s="3" t="s">
        <v>763</v>
      </c>
      <c r="AM8" s="3" t="s">
        <v>763</v>
      </c>
      <c r="AN8" s="3" t="s">
        <v>763</v>
      </c>
      <c r="AO8" s="3">
        <v>5</v>
      </c>
      <c r="AP8" s="3">
        <v>5</v>
      </c>
      <c r="AQ8" s="3" t="s">
        <v>763</v>
      </c>
      <c r="AR8" s="3" t="s">
        <v>840</v>
      </c>
      <c r="AS8" s="3" t="s">
        <v>2041</v>
      </c>
    </row>
    <row r="9" spans="1:45" x14ac:dyDescent="0.35">
      <c r="A9" s="3">
        <v>6</v>
      </c>
      <c r="B9" s="3" t="s">
        <v>63</v>
      </c>
      <c r="C9" s="3" t="s">
        <v>65</v>
      </c>
      <c r="D9" s="3" t="s">
        <v>751</v>
      </c>
      <c r="E9" s="3">
        <v>2023</v>
      </c>
      <c r="F9" s="3">
        <v>2020</v>
      </c>
      <c r="G9" s="3" t="s">
        <v>753</v>
      </c>
      <c r="H9" s="3" t="s">
        <v>776</v>
      </c>
      <c r="I9" s="3">
        <v>-21.688889</v>
      </c>
      <c r="J9" s="3">
        <v>-43.344444000000003</v>
      </c>
      <c r="K9" s="3" t="s">
        <v>845</v>
      </c>
      <c r="L9" s="3" t="s">
        <v>846</v>
      </c>
      <c r="M9" s="3" t="s">
        <v>2092</v>
      </c>
      <c r="N9" s="3">
        <v>1500</v>
      </c>
      <c r="O9" s="3">
        <v>19</v>
      </c>
      <c r="P9" s="3" t="s">
        <v>763</v>
      </c>
      <c r="Q9" s="3" t="s">
        <v>850</v>
      </c>
      <c r="R9" s="3" t="s">
        <v>2167</v>
      </c>
      <c r="S9" s="3" t="s">
        <v>787</v>
      </c>
      <c r="T9" s="3" t="s">
        <v>1235</v>
      </c>
      <c r="U9" s="3" t="s">
        <v>1990</v>
      </c>
      <c r="V9" t="s">
        <v>1032</v>
      </c>
      <c r="W9" s="3" t="s">
        <v>766</v>
      </c>
      <c r="X9" s="3" t="s">
        <v>787</v>
      </c>
      <c r="Y9" s="3" t="s">
        <v>2169</v>
      </c>
      <c r="Z9" s="3">
        <v>158430</v>
      </c>
      <c r="AA9" s="3">
        <f>Z9/AP9</f>
        <v>3.1686000000000001</v>
      </c>
      <c r="AB9" s="3">
        <v>580920</v>
      </c>
      <c r="AC9" s="3">
        <f>AB9/AP9</f>
        <v>11.618399999999999</v>
      </c>
      <c r="AD9" s="3" t="s">
        <v>789</v>
      </c>
      <c r="AE9" s="3" t="s">
        <v>854</v>
      </c>
      <c r="AF9" s="3">
        <f>AG9/AP9</f>
        <v>79.577399999999997</v>
      </c>
      <c r="AG9" s="3">
        <v>3978870</v>
      </c>
      <c r="AH9" s="3">
        <f>AG9*3.65</f>
        <v>14522875.5</v>
      </c>
      <c r="AI9" s="3">
        <f t="shared" si="0"/>
        <v>290.45751000000001</v>
      </c>
      <c r="AJ9" s="3" t="s">
        <v>763</v>
      </c>
      <c r="AK9" s="3" t="s">
        <v>763</v>
      </c>
      <c r="AL9" s="3" t="s">
        <v>763</v>
      </c>
      <c r="AM9" s="3" t="s">
        <v>763</v>
      </c>
      <c r="AN9" s="3" t="s">
        <v>763</v>
      </c>
      <c r="AO9" s="3">
        <v>50000</v>
      </c>
      <c r="AP9" s="3">
        <v>50000</v>
      </c>
      <c r="AQ9" s="3" t="s">
        <v>763</v>
      </c>
      <c r="AR9" s="3" t="s">
        <v>763</v>
      </c>
      <c r="AS9" s="3" t="s">
        <v>2042</v>
      </c>
    </row>
    <row r="10" spans="1:45" x14ac:dyDescent="0.35">
      <c r="A10" s="3">
        <v>11</v>
      </c>
      <c r="B10" s="3" t="s">
        <v>82</v>
      </c>
      <c r="C10" s="3" t="s">
        <v>84</v>
      </c>
      <c r="D10" s="3" t="s">
        <v>751</v>
      </c>
      <c r="E10" s="3">
        <v>2024</v>
      </c>
      <c r="F10" s="3">
        <v>2023</v>
      </c>
      <c r="G10" s="3" t="s">
        <v>753</v>
      </c>
      <c r="H10" s="3" t="s">
        <v>754</v>
      </c>
      <c r="I10" s="3">
        <v>9.5333330000000007</v>
      </c>
      <c r="J10" s="3">
        <v>76.599999999999994</v>
      </c>
      <c r="K10" s="3" t="s">
        <v>920</v>
      </c>
      <c r="L10" s="3" t="s">
        <v>756</v>
      </c>
      <c r="M10" s="3" t="s">
        <v>2082</v>
      </c>
      <c r="N10" s="3">
        <v>2600</v>
      </c>
      <c r="O10" s="3">
        <v>25</v>
      </c>
      <c r="P10" s="3" t="s">
        <v>763</v>
      </c>
      <c r="Q10" s="3" t="s">
        <v>763</v>
      </c>
      <c r="R10" s="19" t="s">
        <v>2167</v>
      </c>
      <c r="S10" s="3" t="s">
        <v>787</v>
      </c>
      <c r="T10" s="3" t="s">
        <v>865</v>
      </c>
      <c r="U10" s="3" t="s">
        <v>925</v>
      </c>
      <c r="V10" s="3" t="s">
        <v>2033</v>
      </c>
      <c r="W10" s="3" t="s">
        <v>766</v>
      </c>
      <c r="X10" s="3" t="s">
        <v>787</v>
      </c>
      <c r="Y10" s="15" t="s">
        <v>928</v>
      </c>
      <c r="Z10">
        <f>AA10*AP10</f>
        <v>328.77358490566036</v>
      </c>
      <c r="AA10">
        <f>(((570/(10*23)*10 + 1425/(25*23)*25 + 2850/(50*23)*50)/ (10+25+50))*23 + ((1480/(10*30)*10 + 3700/(25*30)*25 + 7400/(50*30)*50)/(10+25+50))*30) / (23+30)</f>
        <v>3.8679245283018866</v>
      </c>
      <c r="AB10" s="3">
        <f>Z10*3.65</f>
        <v>1200.0235849056603</v>
      </c>
      <c r="AC10" s="3">
        <f>AA10*3.65</f>
        <v>14.117924528301886</v>
      </c>
      <c r="AD10" s="3" t="s">
        <v>768</v>
      </c>
      <c r="AE10" s="3" t="s">
        <v>928</v>
      </c>
      <c r="AF10" s="3">
        <f>AG10/AP10</f>
        <v>108.50943396226415</v>
      </c>
      <c r="AG10">
        <f>(((570 + 1425 + 2850)*23) + ((1480 + 3700 + 7400)*30)) / (23+30)</f>
        <v>9223.3018867924529</v>
      </c>
      <c r="AH10" s="3">
        <f>AG10*3.65</f>
        <v>33665.051886792455</v>
      </c>
      <c r="AI10" s="3">
        <f t="shared" si="0"/>
        <v>396.05943396226417</v>
      </c>
      <c r="AJ10" s="3" t="s">
        <v>763</v>
      </c>
      <c r="AK10" s="3" t="s">
        <v>763</v>
      </c>
      <c r="AL10" s="3" t="s">
        <v>763</v>
      </c>
      <c r="AM10" s="3" t="s">
        <v>763</v>
      </c>
      <c r="AN10" s="3" t="s">
        <v>763</v>
      </c>
      <c r="AO10" s="3">
        <v>170</v>
      </c>
      <c r="AP10" s="3">
        <v>85</v>
      </c>
      <c r="AQ10" s="3">
        <v>26.5</v>
      </c>
      <c r="AR10" s="3" t="s">
        <v>931</v>
      </c>
      <c r="AS10" s="3" t="s">
        <v>763</v>
      </c>
    </row>
    <row r="11" spans="1:45" x14ac:dyDescent="0.35">
      <c r="A11" s="3">
        <v>14</v>
      </c>
      <c r="B11" s="3" t="s">
        <v>92</v>
      </c>
      <c r="C11" s="3" t="s">
        <v>1008</v>
      </c>
      <c r="D11" s="3" t="s">
        <v>751</v>
      </c>
      <c r="E11" s="3">
        <v>2020</v>
      </c>
      <c r="F11" s="27">
        <v>43831</v>
      </c>
      <c r="G11" s="3" t="s">
        <v>753</v>
      </c>
      <c r="H11" s="3" t="s">
        <v>754</v>
      </c>
      <c r="I11" s="3">
        <v>23.241667</v>
      </c>
      <c r="J11" s="3">
        <v>77.391666999999998</v>
      </c>
      <c r="K11" s="3" t="s">
        <v>1012</v>
      </c>
      <c r="L11" s="3" t="s">
        <v>756</v>
      </c>
      <c r="M11" s="3" t="s">
        <v>2092</v>
      </c>
      <c r="N11" s="3">
        <v>1000</v>
      </c>
      <c r="O11" s="3">
        <v>26</v>
      </c>
      <c r="P11" s="3" t="s">
        <v>1016</v>
      </c>
      <c r="Q11" s="3" t="s">
        <v>763</v>
      </c>
      <c r="R11" s="3" t="s">
        <v>2167</v>
      </c>
      <c r="S11" s="3" t="s">
        <v>787</v>
      </c>
      <c r="T11" s="3" t="s">
        <v>865</v>
      </c>
      <c r="U11" s="3" t="s">
        <v>764</v>
      </c>
      <c r="V11" s="29" t="s">
        <v>2030</v>
      </c>
      <c r="W11" s="3" t="s">
        <v>766</v>
      </c>
      <c r="X11" s="3" t="s">
        <v>787</v>
      </c>
      <c r="Y11" s="3" t="s">
        <v>763</v>
      </c>
      <c r="Z11" s="3" t="s">
        <v>763</v>
      </c>
      <c r="AA11" s="3" t="s">
        <v>763</v>
      </c>
      <c r="AB11" s="3" t="s">
        <v>763</v>
      </c>
      <c r="AC11" s="3" t="s">
        <v>763</v>
      </c>
      <c r="AD11" s="3" t="s">
        <v>768</v>
      </c>
      <c r="AE11" s="3" t="s">
        <v>1781</v>
      </c>
      <c r="AF11" s="3">
        <v>16.670000000000002</v>
      </c>
      <c r="AG11" s="3">
        <f>AF11*AP11</f>
        <v>1344.2688000000001</v>
      </c>
      <c r="AH11" s="3">
        <f>AG11*3.65</f>
        <v>4906.5811199999998</v>
      </c>
      <c r="AI11" s="3">
        <f t="shared" si="0"/>
        <v>60.845499999999994</v>
      </c>
      <c r="AJ11" s="3" t="s">
        <v>763</v>
      </c>
      <c r="AK11" s="3" t="s">
        <v>763</v>
      </c>
      <c r="AL11" s="3" t="s">
        <v>763</v>
      </c>
      <c r="AM11" s="3" t="s">
        <v>763</v>
      </c>
      <c r="AN11" s="3" t="s">
        <v>763</v>
      </c>
      <c r="AO11" s="3">
        <v>80.64</v>
      </c>
      <c r="AP11" s="3">
        <v>80.64</v>
      </c>
      <c r="AQ11" s="3">
        <v>32</v>
      </c>
      <c r="AR11" s="3" t="s">
        <v>1018</v>
      </c>
      <c r="AS11" s="3" t="s">
        <v>2046</v>
      </c>
    </row>
    <row r="12" spans="1:45" s="37" customFormat="1" x14ac:dyDescent="0.35">
      <c r="A12" s="3">
        <v>12</v>
      </c>
      <c r="B12" s="3" t="s">
        <v>932</v>
      </c>
      <c r="C12" s="3" t="s">
        <v>933</v>
      </c>
      <c r="D12" s="3" t="s">
        <v>751</v>
      </c>
      <c r="E12" s="3">
        <v>2023</v>
      </c>
      <c r="F12" s="3" t="s">
        <v>763</v>
      </c>
      <c r="G12" s="3" t="s">
        <v>753</v>
      </c>
      <c r="H12" s="3" t="s">
        <v>754</v>
      </c>
      <c r="I12" s="3">
        <v>9.8820949999999996</v>
      </c>
      <c r="J12" s="3">
        <v>78.081536999999997</v>
      </c>
      <c r="K12" s="3" t="s">
        <v>2084</v>
      </c>
      <c r="L12" s="3" t="s">
        <v>756</v>
      </c>
      <c r="M12" s="3" t="s">
        <v>2095</v>
      </c>
      <c r="N12" s="3">
        <v>849</v>
      </c>
      <c r="O12" s="3">
        <v>28.2</v>
      </c>
      <c r="P12" s="3" t="s">
        <v>763</v>
      </c>
      <c r="Q12" s="3" t="s">
        <v>763</v>
      </c>
      <c r="R12" s="3" t="s">
        <v>2167</v>
      </c>
      <c r="S12" s="3" t="s">
        <v>762</v>
      </c>
      <c r="T12" s="3" t="s">
        <v>865</v>
      </c>
      <c r="U12" s="3" t="s">
        <v>936</v>
      </c>
      <c r="V12" s="3" t="s">
        <v>2026</v>
      </c>
      <c r="W12" s="3" t="s">
        <v>766</v>
      </c>
      <c r="X12" s="3" t="s">
        <v>762</v>
      </c>
      <c r="Y12" s="3" t="s">
        <v>763</v>
      </c>
      <c r="Z12" s="3" t="s">
        <v>763</v>
      </c>
      <c r="AA12" s="3" t="s">
        <v>763</v>
      </c>
      <c r="AB12" s="3" t="s">
        <v>763</v>
      </c>
      <c r="AC12" s="3" t="s">
        <v>763</v>
      </c>
      <c r="AD12" s="3" t="s">
        <v>768</v>
      </c>
      <c r="AE12" s="3" t="s">
        <v>938</v>
      </c>
      <c r="AF12" s="3">
        <f>AG12/AP12</f>
        <v>433.66211408689668</v>
      </c>
      <c r="AG12" s="3">
        <f>AH12/3.65</f>
        <v>8774.8493150684935</v>
      </c>
      <c r="AH12" s="3">
        <v>32028.2</v>
      </c>
      <c r="AI12" s="3">
        <f t="shared" si="0"/>
        <v>1582.8667164171727</v>
      </c>
      <c r="AJ12" s="3" t="s">
        <v>763</v>
      </c>
      <c r="AK12" s="3" t="s">
        <v>763</v>
      </c>
      <c r="AL12" s="3" t="s">
        <v>763</v>
      </c>
      <c r="AM12" s="3" t="s">
        <v>763</v>
      </c>
      <c r="AN12" s="3" t="s">
        <v>763</v>
      </c>
      <c r="AO12" s="3">
        <v>20.234300000000001</v>
      </c>
      <c r="AP12" s="3">
        <v>20.234300000000001</v>
      </c>
      <c r="AQ12" s="3">
        <v>66</v>
      </c>
      <c r="AR12" s="3" t="s">
        <v>941</v>
      </c>
      <c r="AS12" s="3" t="s">
        <v>942</v>
      </c>
    </row>
    <row r="13" spans="1:45" x14ac:dyDescent="0.35">
      <c r="A13" s="3">
        <v>15</v>
      </c>
      <c r="B13" s="3" t="s">
        <v>98</v>
      </c>
      <c r="C13" s="3" t="s">
        <v>1030</v>
      </c>
      <c r="D13" s="3" t="s">
        <v>751</v>
      </c>
      <c r="E13" s="3">
        <v>2018</v>
      </c>
      <c r="F13" s="4" t="s">
        <v>1897</v>
      </c>
      <c r="G13" s="3" t="s">
        <v>795</v>
      </c>
      <c r="H13" s="3" t="s">
        <v>754</v>
      </c>
      <c r="I13" s="3">
        <v>9.9311939999999996</v>
      </c>
      <c r="J13" s="3">
        <v>76.267306000000005</v>
      </c>
      <c r="K13" s="3" t="s">
        <v>1753</v>
      </c>
      <c r="L13" s="3" t="s">
        <v>756</v>
      </c>
      <c r="M13" s="3" t="s">
        <v>2082</v>
      </c>
      <c r="N13" s="3">
        <v>3344.5</v>
      </c>
      <c r="O13" s="3">
        <v>30.8</v>
      </c>
      <c r="P13" s="3" t="s">
        <v>759</v>
      </c>
      <c r="Q13" s="3" t="s">
        <v>763</v>
      </c>
      <c r="R13" s="3" t="s">
        <v>2166</v>
      </c>
      <c r="S13" s="3" t="s">
        <v>762</v>
      </c>
      <c r="T13" s="3" t="s">
        <v>1031</v>
      </c>
      <c r="U13" s="3" t="s">
        <v>1991</v>
      </c>
      <c r="V13" s="3" t="s">
        <v>1032</v>
      </c>
      <c r="W13" s="3" t="s">
        <v>766</v>
      </c>
      <c r="X13" s="3" t="s">
        <v>762</v>
      </c>
      <c r="Y13" s="3" t="s">
        <v>763</v>
      </c>
      <c r="Z13" s="3" t="s">
        <v>763</v>
      </c>
      <c r="AA13" s="3" t="s">
        <v>763</v>
      </c>
      <c r="AB13" s="3" t="s">
        <v>763</v>
      </c>
      <c r="AC13" s="3" t="s">
        <v>763</v>
      </c>
      <c r="AD13" s="3" t="s">
        <v>789</v>
      </c>
      <c r="AE13" s="3" t="s">
        <v>1033</v>
      </c>
      <c r="AF13" s="3">
        <f>((2013*42.78)+(2015*39.49))/(2013+2015)</f>
        <v>41.134183217477656</v>
      </c>
      <c r="AG13" s="3">
        <f>AF13*AP13</f>
        <v>710.41287431927594</v>
      </c>
      <c r="AH13" s="3">
        <f>AG13*3.65</f>
        <v>2593.0069912653571</v>
      </c>
      <c r="AI13" s="3">
        <f t="shared" si="0"/>
        <v>150.13976874379344</v>
      </c>
      <c r="AJ13" s="3" t="s">
        <v>763</v>
      </c>
      <c r="AK13" s="3" t="s">
        <v>763</v>
      </c>
      <c r="AL13" s="3" t="s">
        <v>763</v>
      </c>
      <c r="AM13" s="3" t="s">
        <v>763</v>
      </c>
      <c r="AN13" s="3" t="s">
        <v>763</v>
      </c>
      <c r="AO13" t="s">
        <v>1034</v>
      </c>
      <c r="AP13">
        <f>((2013*16.02)+(2015*18.52))/(2013+2015)</f>
        <v>17.270620655412113</v>
      </c>
      <c r="AQ13" s="3" t="s">
        <v>763</v>
      </c>
      <c r="AR13" s="3" t="s">
        <v>763</v>
      </c>
      <c r="AS13" s="3" t="s">
        <v>2211</v>
      </c>
    </row>
    <row r="14" spans="1:45" x14ac:dyDescent="0.35">
      <c r="A14" s="3">
        <v>7</v>
      </c>
      <c r="B14" s="3" t="s">
        <v>857</v>
      </c>
      <c r="C14" s="3" t="s">
        <v>858</v>
      </c>
      <c r="D14" s="3" t="s">
        <v>859</v>
      </c>
      <c r="E14" s="3">
        <v>2012</v>
      </c>
      <c r="F14" s="3" t="s">
        <v>2113</v>
      </c>
      <c r="G14" s="3" t="s">
        <v>753</v>
      </c>
      <c r="H14" s="3" t="s">
        <v>776</v>
      </c>
      <c r="I14" s="3">
        <v>-20.8</v>
      </c>
      <c r="J14" s="3">
        <v>-42.883333</v>
      </c>
      <c r="K14" s="3" t="s">
        <v>863</v>
      </c>
      <c r="L14" s="3" t="s">
        <v>846</v>
      </c>
      <c r="M14" s="3" t="s">
        <v>2092</v>
      </c>
      <c r="N14" s="3">
        <v>1251</v>
      </c>
      <c r="O14" s="3">
        <v>20.399999999999999</v>
      </c>
      <c r="P14" s="3" t="s">
        <v>763</v>
      </c>
      <c r="Q14" s="3" t="s">
        <v>850</v>
      </c>
      <c r="R14" s="3" t="s">
        <v>2167</v>
      </c>
      <c r="S14" s="3" t="s">
        <v>787</v>
      </c>
      <c r="T14" s="3" t="s">
        <v>865</v>
      </c>
      <c r="U14" s="3" t="s">
        <v>866</v>
      </c>
      <c r="V14" s="3" t="s">
        <v>763</v>
      </c>
      <c r="W14" s="3" t="s">
        <v>766</v>
      </c>
      <c r="X14" s="3" t="s">
        <v>787</v>
      </c>
      <c r="Y14" s="3" t="s">
        <v>2109</v>
      </c>
      <c r="Z14" s="3">
        <f>AB14/3.65</f>
        <v>431.00321171120061</v>
      </c>
      <c r="AA14" s="3">
        <f>AC14/3.65</f>
        <v>0.82072400592440375</v>
      </c>
      <c r="AB14" s="3">
        <f>((1285.89*175.19)+(1596.89*290.08)+(2298.68*59.88))/(175.19+290.08+59.88)</f>
        <v>1573.1617227458821</v>
      </c>
      <c r="AC14" s="3">
        <f>AB14/AP14</f>
        <v>2.9956426216240737</v>
      </c>
      <c r="AD14" s="3" t="s">
        <v>789</v>
      </c>
      <c r="AE14" s="3" t="s">
        <v>763</v>
      </c>
      <c r="AF14" s="3" t="s">
        <v>763</v>
      </c>
      <c r="AG14" s="3" t="s">
        <v>763</v>
      </c>
      <c r="AH14" s="3" t="s">
        <v>763</v>
      </c>
      <c r="AI14" s="3" t="s">
        <v>763</v>
      </c>
      <c r="AJ14" s="3" t="s">
        <v>763</v>
      </c>
      <c r="AK14" s="3" t="s">
        <v>763</v>
      </c>
      <c r="AL14" s="3" t="s">
        <v>763</v>
      </c>
      <c r="AM14" s="3" t="s">
        <v>763</v>
      </c>
      <c r="AN14" s="3" t="s">
        <v>763</v>
      </c>
      <c r="AO14" s="3" t="s">
        <v>2111</v>
      </c>
      <c r="AP14" s="3">
        <f>(175.19+290.08+59.88)</f>
        <v>525.15</v>
      </c>
      <c r="AQ14" s="3" t="s">
        <v>763</v>
      </c>
      <c r="AR14" s="3" t="s">
        <v>870</v>
      </c>
      <c r="AS14" s="3" t="s">
        <v>763</v>
      </c>
    </row>
    <row r="15" spans="1:45" x14ac:dyDescent="0.35">
      <c r="A15" s="3">
        <v>7</v>
      </c>
      <c r="B15" s="3" t="s">
        <v>857</v>
      </c>
      <c r="C15" s="3" t="s">
        <v>858</v>
      </c>
      <c r="D15" s="3" t="s">
        <v>859</v>
      </c>
      <c r="E15" s="3">
        <v>2013</v>
      </c>
      <c r="F15" s="3" t="s">
        <v>2114</v>
      </c>
      <c r="G15" s="3" t="s">
        <v>753</v>
      </c>
      <c r="H15" s="3" t="s">
        <v>776</v>
      </c>
      <c r="I15" s="3">
        <v>-20.8</v>
      </c>
      <c r="J15" s="3">
        <v>-42.883333</v>
      </c>
      <c r="K15" s="3" t="s">
        <v>863</v>
      </c>
      <c r="L15" s="3" t="s">
        <v>846</v>
      </c>
      <c r="M15" s="3" t="s">
        <v>2092</v>
      </c>
      <c r="N15" s="3">
        <v>1251</v>
      </c>
      <c r="O15" s="3">
        <v>20.399999999999999</v>
      </c>
      <c r="P15" s="3" t="s">
        <v>763</v>
      </c>
      <c r="Q15" s="3" t="s">
        <v>850</v>
      </c>
      <c r="R15" s="3" t="s">
        <v>2166</v>
      </c>
      <c r="S15" s="3" t="s">
        <v>787</v>
      </c>
      <c r="T15" s="3" t="s">
        <v>865</v>
      </c>
      <c r="U15" s="3" t="s">
        <v>866</v>
      </c>
      <c r="V15" s="3" t="s">
        <v>763</v>
      </c>
      <c r="W15" s="3" t="s">
        <v>766</v>
      </c>
      <c r="X15" s="3" t="s">
        <v>787</v>
      </c>
      <c r="Y15" s="3" t="s">
        <v>2110</v>
      </c>
      <c r="Z15" s="3">
        <f>AB15/3.65</f>
        <v>34.438356164383563</v>
      </c>
      <c r="AA15" s="3">
        <f>Z15/AP15</f>
        <v>2.2261380843169722</v>
      </c>
      <c r="AB15" s="3">
        <v>125.7</v>
      </c>
      <c r="AC15" s="3">
        <f>AB15/AP15</f>
        <v>8.1254040077569485</v>
      </c>
      <c r="AD15" s="3" t="s">
        <v>768</v>
      </c>
      <c r="AE15" s="3" t="s">
        <v>763</v>
      </c>
      <c r="AF15" s="3" t="s">
        <v>763</v>
      </c>
      <c r="AG15" s="3" t="s">
        <v>763</v>
      </c>
      <c r="AH15" s="3" t="s">
        <v>763</v>
      </c>
      <c r="AI15" s="3" t="s">
        <v>763</v>
      </c>
      <c r="AJ15" s="3" t="s">
        <v>763</v>
      </c>
      <c r="AK15" s="3" t="s">
        <v>763</v>
      </c>
      <c r="AL15" s="3" t="s">
        <v>763</v>
      </c>
      <c r="AM15" s="3" t="s">
        <v>763</v>
      </c>
      <c r="AN15" s="3" t="s">
        <v>763</v>
      </c>
      <c r="AO15" s="3" t="s">
        <v>2112</v>
      </c>
      <c r="AP15" s="3">
        <v>15.47</v>
      </c>
      <c r="AQ15" s="3" t="s">
        <v>763</v>
      </c>
      <c r="AR15" s="3" t="s">
        <v>870</v>
      </c>
      <c r="AS15" s="3" t="s">
        <v>763</v>
      </c>
    </row>
    <row r="16" spans="1:45" x14ac:dyDescent="0.35">
      <c r="A16" s="12">
        <v>7</v>
      </c>
      <c r="B16" s="12" t="s">
        <v>857</v>
      </c>
      <c r="C16" s="12" t="s">
        <v>858</v>
      </c>
      <c r="D16" s="12" t="s">
        <v>859</v>
      </c>
      <c r="E16" s="12">
        <v>2014</v>
      </c>
      <c r="F16" s="12" t="s">
        <v>1893</v>
      </c>
      <c r="G16" s="12" t="s">
        <v>753</v>
      </c>
      <c r="H16" s="12" t="s">
        <v>776</v>
      </c>
      <c r="I16" s="12">
        <v>-20.8</v>
      </c>
      <c r="J16" s="12">
        <v>-42.883333</v>
      </c>
      <c r="K16" s="12" t="s">
        <v>863</v>
      </c>
      <c r="L16" s="12" t="s">
        <v>846</v>
      </c>
      <c r="M16" s="12" t="s">
        <v>2092</v>
      </c>
      <c r="N16" s="12">
        <v>1251</v>
      </c>
      <c r="O16" s="12">
        <v>20.399999999999999</v>
      </c>
      <c r="P16" s="12" t="s">
        <v>763</v>
      </c>
      <c r="Q16" s="12" t="s">
        <v>850</v>
      </c>
      <c r="R16" s="12" t="s">
        <v>864</v>
      </c>
      <c r="S16" s="12" t="s">
        <v>787</v>
      </c>
      <c r="T16" s="12" t="s">
        <v>865</v>
      </c>
      <c r="U16" s="12" t="s">
        <v>866</v>
      </c>
      <c r="V16" s="12" t="s">
        <v>763</v>
      </c>
      <c r="W16" s="12" t="s">
        <v>766</v>
      </c>
      <c r="X16" s="12" t="s">
        <v>787</v>
      </c>
      <c r="Y16" s="12" t="s">
        <v>867</v>
      </c>
      <c r="Z16" s="12" t="s">
        <v>763</v>
      </c>
      <c r="AA16" s="12" t="s">
        <v>763</v>
      </c>
      <c r="AB16" s="12" t="s">
        <v>867</v>
      </c>
      <c r="AC16" s="12" t="s">
        <v>867</v>
      </c>
      <c r="AD16" s="12" t="s">
        <v>868</v>
      </c>
      <c r="AE16" s="12" t="s">
        <v>763</v>
      </c>
      <c r="AF16" s="12" t="s">
        <v>763</v>
      </c>
      <c r="AG16" s="12" t="s">
        <v>763</v>
      </c>
      <c r="AH16" s="12" t="s">
        <v>763</v>
      </c>
      <c r="AI16" s="12" t="s">
        <v>763</v>
      </c>
      <c r="AJ16" s="12" t="s">
        <v>763</v>
      </c>
      <c r="AK16" s="12" t="s">
        <v>763</v>
      </c>
      <c r="AL16" s="12" t="s">
        <v>763</v>
      </c>
      <c r="AM16" s="12" t="s">
        <v>763</v>
      </c>
      <c r="AN16" s="12" t="s">
        <v>763</v>
      </c>
      <c r="AO16" s="12" t="s">
        <v>869</v>
      </c>
      <c r="AP16" s="12" t="s">
        <v>869</v>
      </c>
      <c r="AQ16" s="12" t="s">
        <v>763</v>
      </c>
      <c r="AR16" s="12" t="s">
        <v>870</v>
      </c>
      <c r="AS16" s="12" t="s">
        <v>763</v>
      </c>
    </row>
    <row r="17" spans="1:45" x14ac:dyDescent="0.35">
      <c r="A17" s="3">
        <v>13</v>
      </c>
      <c r="B17" s="3" t="s">
        <v>958</v>
      </c>
      <c r="C17" s="3" t="s">
        <v>959</v>
      </c>
      <c r="D17" s="3" t="s">
        <v>751</v>
      </c>
      <c r="E17" s="3">
        <v>2021</v>
      </c>
      <c r="F17" s="3">
        <v>2020</v>
      </c>
      <c r="G17" s="3" t="s">
        <v>753</v>
      </c>
      <c r="H17" s="3" t="s">
        <v>776</v>
      </c>
      <c r="I17" s="3">
        <v>-6.2394439999999998</v>
      </c>
      <c r="J17" s="3">
        <v>106.992778</v>
      </c>
      <c r="K17" s="3" t="s">
        <v>962</v>
      </c>
      <c r="L17" s="3" t="s">
        <v>832</v>
      </c>
      <c r="M17" s="8" t="s">
        <v>2082</v>
      </c>
      <c r="N17" s="3">
        <v>2266</v>
      </c>
      <c r="O17" s="3">
        <v>26.5</v>
      </c>
      <c r="P17" s="3" t="s">
        <v>763</v>
      </c>
      <c r="Q17" s="3" t="s">
        <v>763</v>
      </c>
      <c r="R17" s="3" t="s">
        <v>1560</v>
      </c>
      <c r="S17" s="3" t="s">
        <v>787</v>
      </c>
      <c r="T17" s="3" t="s">
        <v>1235</v>
      </c>
      <c r="U17" s="3" t="s">
        <v>1989</v>
      </c>
      <c r="V17" s="3" t="s">
        <v>2026</v>
      </c>
      <c r="W17" s="3" t="s">
        <v>766</v>
      </c>
      <c r="X17" s="3" t="s">
        <v>787</v>
      </c>
      <c r="Y17" s="3" t="s">
        <v>763</v>
      </c>
      <c r="Z17" s="3" t="s">
        <v>763</v>
      </c>
      <c r="AA17" s="3" t="s">
        <v>763</v>
      </c>
      <c r="AB17" s="3" t="s">
        <v>763</v>
      </c>
      <c r="AC17" s="3" t="s">
        <v>763</v>
      </c>
      <c r="AD17" s="3" t="s">
        <v>789</v>
      </c>
      <c r="AE17" s="4" t="s">
        <v>763</v>
      </c>
      <c r="AF17" s="4" t="s">
        <v>763</v>
      </c>
      <c r="AG17" s="4" t="s">
        <v>763</v>
      </c>
      <c r="AH17" s="4" t="s">
        <v>763</v>
      </c>
      <c r="AI17" s="4" t="s">
        <v>763</v>
      </c>
      <c r="AJ17" s="3" t="s">
        <v>2192</v>
      </c>
      <c r="AK17" s="4">
        <f>AM17+AN17</f>
        <v>1.2486799999999998</v>
      </c>
      <c r="AL17" s="4">
        <f>AK17*AP17</f>
        <v>1816.8293999999996</v>
      </c>
      <c r="AM17" s="3">
        <v>1.0069999999999999</v>
      </c>
      <c r="AN17" s="4">
        <f>AM17*0.24</f>
        <v>0.24167999999999998</v>
      </c>
      <c r="AO17" s="3">
        <v>1455</v>
      </c>
      <c r="AP17" s="3">
        <v>1455</v>
      </c>
      <c r="AQ17" s="3" t="s">
        <v>763</v>
      </c>
      <c r="AR17" s="3" t="s">
        <v>969</v>
      </c>
      <c r="AS17" s="3" t="s">
        <v>763</v>
      </c>
    </row>
    <row r="18" spans="1:45" x14ac:dyDescent="0.35">
      <c r="A18" s="3">
        <v>16</v>
      </c>
      <c r="B18" t="s">
        <v>111</v>
      </c>
      <c r="C18" t="s">
        <v>113</v>
      </c>
      <c r="D18" s="3" t="s">
        <v>751</v>
      </c>
      <c r="E18" s="3">
        <v>2018</v>
      </c>
      <c r="F18" s="3">
        <v>2016</v>
      </c>
      <c r="G18" s="3" t="s">
        <v>753</v>
      </c>
      <c r="H18" s="3" t="s">
        <v>776</v>
      </c>
      <c r="I18" s="3">
        <v>-6.2249999999999996</v>
      </c>
      <c r="J18" s="3">
        <v>106.63333299999999</v>
      </c>
      <c r="K18" s="3" t="s">
        <v>2085</v>
      </c>
      <c r="L18" s="3" t="s">
        <v>832</v>
      </c>
      <c r="M18" t="s">
        <v>2096</v>
      </c>
      <c r="N18" s="3">
        <v>2097</v>
      </c>
      <c r="O18" s="3">
        <v>26.3</v>
      </c>
      <c r="P18" s="3" t="s">
        <v>763</v>
      </c>
      <c r="Q18" s="3" t="s">
        <v>763</v>
      </c>
      <c r="R18" s="3" t="s">
        <v>1560</v>
      </c>
      <c r="S18" s="3" t="s">
        <v>787</v>
      </c>
      <c r="T18" s="3" t="s">
        <v>1031</v>
      </c>
      <c r="U18" s="3" t="s">
        <v>1039</v>
      </c>
      <c r="V18" s="3" t="s">
        <v>2026</v>
      </c>
      <c r="W18" s="3" t="s">
        <v>766</v>
      </c>
      <c r="X18" s="3" t="s">
        <v>787</v>
      </c>
      <c r="Y18" s="3" t="s">
        <v>763</v>
      </c>
      <c r="Z18" s="3" t="s">
        <v>763</v>
      </c>
      <c r="AA18" s="3" t="s">
        <v>763</v>
      </c>
      <c r="AB18" s="3" t="s">
        <v>763</v>
      </c>
      <c r="AC18" s="3" t="s">
        <v>763</v>
      </c>
      <c r="AD18" s="3" t="s">
        <v>789</v>
      </c>
      <c r="AE18" s="3" t="s">
        <v>1041</v>
      </c>
      <c r="AF18" s="3">
        <f>AG18/AP18</f>
        <v>8.3196843359142356</v>
      </c>
      <c r="AG18" s="3">
        <f>AH18/3.65</f>
        <v>122465.75342465754</v>
      </c>
      <c r="AH18" s="3">
        <v>447000</v>
      </c>
      <c r="AI18" s="3">
        <f>AH18/AP18</f>
        <v>30.366847826086957</v>
      </c>
      <c r="AJ18" s="3" t="s">
        <v>1040</v>
      </c>
      <c r="AK18" s="4">
        <f>AM18+AN18</f>
        <v>20.543107548067127</v>
      </c>
      <c r="AL18" s="4">
        <f>AK18*AP18</f>
        <v>302394.54310754809</v>
      </c>
      <c r="AM18" s="3">
        <f>243850/AO18</f>
        <v>16.567022216183165</v>
      </c>
      <c r="AN18" s="4">
        <f>AM18*0.24</f>
        <v>3.9760853318839597</v>
      </c>
      <c r="AO18" s="3">
        <v>14719</v>
      </c>
      <c r="AP18" s="3">
        <v>14720</v>
      </c>
      <c r="AQ18" s="3" t="s">
        <v>763</v>
      </c>
      <c r="AR18" s="3" t="s">
        <v>2010</v>
      </c>
      <c r="AS18" s="5" t="s">
        <v>1044</v>
      </c>
    </row>
    <row r="19" spans="1:45" x14ac:dyDescent="0.35">
      <c r="A19" s="3">
        <v>17</v>
      </c>
      <c r="B19" t="s">
        <v>126</v>
      </c>
      <c r="C19" t="s">
        <v>128</v>
      </c>
      <c r="D19" s="3" t="s">
        <v>751</v>
      </c>
      <c r="E19" s="3">
        <v>2023</v>
      </c>
      <c r="F19" s="3">
        <v>2019</v>
      </c>
      <c r="G19" s="3" t="s">
        <v>753</v>
      </c>
      <c r="H19" s="3" t="s">
        <v>776</v>
      </c>
      <c r="I19" s="3">
        <v>-20.761651000000001</v>
      </c>
      <c r="J19" s="3">
        <v>-42.870387999999998</v>
      </c>
      <c r="K19" s="3" t="s">
        <v>863</v>
      </c>
      <c r="L19" s="3" t="s">
        <v>846</v>
      </c>
      <c r="M19" s="3" t="s">
        <v>2092</v>
      </c>
      <c r="N19" s="3">
        <v>1251</v>
      </c>
      <c r="O19" s="3">
        <v>20.399999999999999</v>
      </c>
      <c r="P19" s="3" t="s">
        <v>763</v>
      </c>
      <c r="Q19" s="3" t="s">
        <v>850</v>
      </c>
      <c r="R19" s="3" t="s">
        <v>2167</v>
      </c>
      <c r="S19" s="3" t="s">
        <v>787</v>
      </c>
      <c r="T19" s="3" t="s">
        <v>865</v>
      </c>
      <c r="U19" s="3" t="s">
        <v>1052</v>
      </c>
      <c r="V19" s="3" t="s">
        <v>1032</v>
      </c>
      <c r="W19" s="3" t="s">
        <v>766</v>
      </c>
      <c r="X19" s="3" t="s">
        <v>787</v>
      </c>
      <c r="Y19" s="3" t="s">
        <v>1053</v>
      </c>
      <c r="Z19" s="3">
        <f t="shared" ref="Z19:AA21" si="1">AB19/3.65</f>
        <v>2341.8520547945209</v>
      </c>
      <c r="AA19" s="3">
        <f t="shared" si="1"/>
        <v>1.4276103723448674</v>
      </c>
      <c r="AB19" s="3">
        <v>8547.76</v>
      </c>
      <c r="AC19" s="3">
        <f>AB19/AP19</f>
        <v>5.2107778590587657</v>
      </c>
      <c r="AD19" s="3" t="s">
        <v>789</v>
      </c>
      <c r="AE19" s="3" t="s">
        <v>763</v>
      </c>
      <c r="AF19" s="3" t="s">
        <v>763</v>
      </c>
      <c r="AG19" s="3" t="s">
        <v>763</v>
      </c>
      <c r="AH19" s="3" t="s">
        <v>763</v>
      </c>
      <c r="AI19" s="3" t="s">
        <v>763</v>
      </c>
      <c r="AJ19" s="3" t="s">
        <v>763</v>
      </c>
      <c r="AK19" s="3" t="s">
        <v>763</v>
      </c>
      <c r="AL19" s="3" t="s">
        <v>763</v>
      </c>
      <c r="AM19" s="3" t="s">
        <v>763</v>
      </c>
      <c r="AN19" s="3" t="s">
        <v>763</v>
      </c>
      <c r="AO19" s="3" t="s">
        <v>1048</v>
      </c>
      <c r="AP19" s="3">
        <v>1640.4</v>
      </c>
      <c r="AQ19" s="3" t="s">
        <v>763</v>
      </c>
      <c r="AR19" s="3" t="s">
        <v>763</v>
      </c>
      <c r="AS19" s="3" t="s">
        <v>1051</v>
      </c>
    </row>
    <row r="20" spans="1:45" x14ac:dyDescent="0.35">
      <c r="A20" s="3">
        <v>18</v>
      </c>
      <c r="B20" t="s">
        <v>131</v>
      </c>
      <c r="C20" t="s">
        <v>133</v>
      </c>
      <c r="D20" s="3" t="s">
        <v>751</v>
      </c>
      <c r="E20" s="3">
        <v>2021</v>
      </c>
      <c r="F20" s="3">
        <v>2019</v>
      </c>
      <c r="G20" s="3" t="s">
        <v>753</v>
      </c>
      <c r="H20" s="3" t="s">
        <v>754</v>
      </c>
      <c r="I20" s="3">
        <v>3.103361</v>
      </c>
      <c r="J20" s="3">
        <v>101.625111</v>
      </c>
      <c r="K20" s="3" t="s">
        <v>2086</v>
      </c>
      <c r="L20" s="3" t="s">
        <v>799</v>
      </c>
      <c r="M20" s="3" t="s">
        <v>2077</v>
      </c>
      <c r="N20" s="3">
        <v>2960</v>
      </c>
      <c r="O20" s="3">
        <v>27.75</v>
      </c>
      <c r="P20" s="3" t="s">
        <v>763</v>
      </c>
      <c r="Q20" s="3" t="s">
        <v>763</v>
      </c>
      <c r="R20" s="3" t="s">
        <v>2130</v>
      </c>
      <c r="S20" s="3" t="s">
        <v>787</v>
      </c>
      <c r="T20" s="3" t="s">
        <v>1031</v>
      </c>
      <c r="U20" s="3" t="s">
        <v>1059</v>
      </c>
      <c r="V20" s="3" t="s">
        <v>2026</v>
      </c>
      <c r="W20" s="4" t="s">
        <v>766</v>
      </c>
      <c r="X20" s="3" t="s">
        <v>787</v>
      </c>
      <c r="Y20" s="3" t="s">
        <v>2264</v>
      </c>
      <c r="Z20" s="3">
        <f t="shared" si="1"/>
        <v>41.976328116302767</v>
      </c>
      <c r="AA20" s="3">
        <f t="shared" si="1"/>
        <v>0.95074898113517226</v>
      </c>
      <c r="AB20" s="3">
        <f>((136.36*36.1169)+(228.98*8.0339))/(36.1169+8.0339)</f>
        <v>153.2135976245051</v>
      </c>
      <c r="AC20" s="3">
        <f>AB20/AP20</f>
        <v>3.4702337811433788</v>
      </c>
      <c r="AD20" s="3" t="s">
        <v>789</v>
      </c>
      <c r="AE20" s="3" t="s">
        <v>763</v>
      </c>
      <c r="AF20" s="3" t="s">
        <v>763</v>
      </c>
      <c r="AG20" s="3" t="s">
        <v>763</v>
      </c>
      <c r="AH20" s="3" t="s">
        <v>763</v>
      </c>
      <c r="AI20" s="3" t="s">
        <v>763</v>
      </c>
      <c r="AJ20" s="3" t="s">
        <v>763</v>
      </c>
      <c r="AK20" s="3" t="s">
        <v>763</v>
      </c>
      <c r="AL20" s="3" t="s">
        <v>763</v>
      </c>
      <c r="AM20" s="3" t="s">
        <v>763</v>
      </c>
      <c r="AN20" s="3" t="s">
        <v>763</v>
      </c>
      <c r="AO20" s="3" t="s">
        <v>2195</v>
      </c>
      <c r="AP20" s="3">
        <f>36.1169+8.0339</f>
        <v>44.150800000000004</v>
      </c>
      <c r="AQ20" s="3">
        <v>21</v>
      </c>
      <c r="AR20" s="3" t="s">
        <v>2270</v>
      </c>
      <c r="AS20" s="3" t="s">
        <v>2163</v>
      </c>
    </row>
    <row r="21" spans="1:45" x14ac:dyDescent="0.35">
      <c r="A21" s="3">
        <v>18</v>
      </c>
      <c r="B21" t="s">
        <v>131</v>
      </c>
      <c r="C21" t="s">
        <v>133</v>
      </c>
      <c r="D21" s="3" t="s">
        <v>751</v>
      </c>
      <c r="E21" s="3">
        <v>2021</v>
      </c>
      <c r="F21" s="3">
        <v>2019</v>
      </c>
      <c r="G21" s="3" t="s">
        <v>753</v>
      </c>
      <c r="H21" s="3" t="s">
        <v>754</v>
      </c>
      <c r="I21" s="3">
        <v>3.103361</v>
      </c>
      <c r="J21" s="3">
        <v>101.625111</v>
      </c>
      <c r="K21" s="3" t="s">
        <v>2086</v>
      </c>
      <c r="L21" s="3" t="s">
        <v>799</v>
      </c>
      <c r="M21" s="3" t="s">
        <v>2077</v>
      </c>
      <c r="N21" s="3">
        <v>2960</v>
      </c>
      <c r="O21" s="3">
        <v>27.75</v>
      </c>
      <c r="P21" s="3" t="s">
        <v>763</v>
      </c>
      <c r="Q21" s="3" t="s">
        <v>763</v>
      </c>
      <c r="R21" s="3" t="s">
        <v>2130</v>
      </c>
      <c r="S21" s="3" t="s">
        <v>787</v>
      </c>
      <c r="T21" s="3" t="s">
        <v>1031</v>
      </c>
      <c r="U21" s="3" t="s">
        <v>1059</v>
      </c>
      <c r="V21" s="3" t="s">
        <v>2026</v>
      </c>
      <c r="W21" s="4" t="s">
        <v>2161</v>
      </c>
      <c r="X21" s="3" t="s">
        <v>787</v>
      </c>
      <c r="Y21" s="3" t="s">
        <v>2162</v>
      </c>
      <c r="Z21" s="3">
        <f t="shared" si="1"/>
        <v>49.816213409186268</v>
      </c>
      <c r="AA21" s="3">
        <f t="shared" si="1"/>
        <v>1.1283196093657708</v>
      </c>
      <c r="AB21" s="3">
        <f>((212.481*36.1169)+(44.032*8.0339))/(36.1169+8.0339)</f>
        <v>181.82917894352988</v>
      </c>
      <c r="AC21" s="3">
        <f>AB21/AP21</f>
        <v>4.118366574185063</v>
      </c>
      <c r="AD21" s="3" t="s">
        <v>789</v>
      </c>
      <c r="AE21" s="3" t="s">
        <v>763</v>
      </c>
      <c r="AF21" s="3" t="s">
        <v>763</v>
      </c>
      <c r="AG21" s="3" t="s">
        <v>763</v>
      </c>
      <c r="AH21" s="3" t="s">
        <v>763</v>
      </c>
      <c r="AI21" s="3" t="s">
        <v>763</v>
      </c>
      <c r="AJ21" s="3" t="s">
        <v>763</v>
      </c>
      <c r="AK21" s="3" t="s">
        <v>763</v>
      </c>
      <c r="AL21" s="3" t="s">
        <v>763</v>
      </c>
      <c r="AM21" s="3" t="s">
        <v>763</v>
      </c>
      <c r="AN21" s="3" t="s">
        <v>763</v>
      </c>
      <c r="AO21" s="3" t="s">
        <v>2195</v>
      </c>
      <c r="AP21" s="3">
        <f>36.1169+8.0339</f>
        <v>44.150800000000004</v>
      </c>
      <c r="AQ21" s="3">
        <v>21</v>
      </c>
      <c r="AR21" s="3" t="s">
        <v>2270</v>
      </c>
      <c r="AS21" s="3" t="s">
        <v>2164</v>
      </c>
    </row>
    <row r="22" spans="1:45" x14ac:dyDescent="0.35">
      <c r="A22" s="12">
        <v>18</v>
      </c>
      <c r="B22" s="37" t="s">
        <v>131</v>
      </c>
      <c r="C22" s="37" t="s">
        <v>133</v>
      </c>
      <c r="D22" s="12" t="s">
        <v>751</v>
      </c>
      <c r="E22" s="12">
        <v>2021</v>
      </c>
      <c r="F22" s="12">
        <v>2019</v>
      </c>
      <c r="G22" s="12" t="s">
        <v>753</v>
      </c>
      <c r="H22" s="12" t="s">
        <v>754</v>
      </c>
      <c r="I22" s="12">
        <v>3.103361</v>
      </c>
      <c r="J22" s="12">
        <v>101.625111</v>
      </c>
      <c r="K22" s="12" t="s">
        <v>2086</v>
      </c>
      <c r="L22" s="12" t="s">
        <v>799</v>
      </c>
      <c r="M22" s="12" t="s">
        <v>2077</v>
      </c>
      <c r="N22" s="12">
        <v>2960</v>
      </c>
      <c r="O22" s="12">
        <v>27.75</v>
      </c>
      <c r="P22" s="12" t="s">
        <v>763</v>
      </c>
      <c r="Q22" s="12" t="s">
        <v>763</v>
      </c>
      <c r="R22" s="12" t="s">
        <v>2130</v>
      </c>
      <c r="S22" s="12" t="s">
        <v>787</v>
      </c>
      <c r="T22" s="12" t="s">
        <v>1031</v>
      </c>
      <c r="U22" s="12" t="s">
        <v>1059</v>
      </c>
      <c r="V22" s="12" t="s">
        <v>2026</v>
      </c>
      <c r="W22" s="12" t="s">
        <v>1058</v>
      </c>
      <c r="X22" s="12" t="s">
        <v>787</v>
      </c>
      <c r="Y22" s="12" t="s">
        <v>1066</v>
      </c>
      <c r="Z22" s="12" t="s">
        <v>763</v>
      </c>
      <c r="AA22" s="12" t="s">
        <v>763</v>
      </c>
      <c r="AB22" s="12" t="s">
        <v>1066</v>
      </c>
      <c r="AC22" s="12" t="s">
        <v>1066</v>
      </c>
      <c r="AD22" s="12" t="s">
        <v>789</v>
      </c>
      <c r="AE22" s="12" t="s">
        <v>763</v>
      </c>
      <c r="AF22" s="12" t="s">
        <v>763</v>
      </c>
      <c r="AG22" s="12" t="s">
        <v>763</v>
      </c>
      <c r="AH22" s="12" t="s">
        <v>763</v>
      </c>
      <c r="AI22" s="12" t="s">
        <v>763</v>
      </c>
      <c r="AJ22" s="12" t="s">
        <v>763</v>
      </c>
      <c r="AK22" s="12" t="s">
        <v>763</v>
      </c>
      <c r="AL22" s="12" t="s">
        <v>763</v>
      </c>
      <c r="AM22" s="12" t="s">
        <v>763</v>
      </c>
      <c r="AN22" s="12" t="s">
        <v>763</v>
      </c>
      <c r="AO22" s="12" t="s">
        <v>2195</v>
      </c>
      <c r="AP22" s="12" t="s">
        <v>2195</v>
      </c>
      <c r="AQ22" s="3">
        <v>21</v>
      </c>
      <c r="AR22" s="12" t="s">
        <v>2270</v>
      </c>
      <c r="AS22" s="12" t="s">
        <v>1064</v>
      </c>
    </row>
    <row r="23" spans="1:45" x14ac:dyDescent="0.35">
      <c r="A23" s="3">
        <v>19</v>
      </c>
      <c r="B23" t="s">
        <v>136</v>
      </c>
      <c r="C23" t="s">
        <v>138</v>
      </c>
      <c r="D23" s="3" t="s">
        <v>751</v>
      </c>
      <c r="E23" s="3">
        <v>2024</v>
      </c>
      <c r="F23" s="3" t="s">
        <v>1079</v>
      </c>
      <c r="G23" s="3" t="s">
        <v>753</v>
      </c>
      <c r="H23" s="3" t="s">
        <v>754</v>
      </c>
      <c r="I23" s="3">
        <v>14.292999999999999</v>
      </c>
      <c r="J23" s="3">
        <v>99.825999999999993</v>
      </c>
      <c r="K23" s="4" t="s">
        <v>1793</v>
      </c>
      <c r="L23" s="3" t="s">
        <v>1068</v>
      </c>
      <c r="M23" s="3" t="s">
        <v>2095</v>
      </c>
      <c r="N23" s="3">
        <v>1207</v>
      </c>
      <c r="O23" s="3">
        <v>27.7</v>
      </c>
      <c r="P23" s="3" t="s">
        <v>763</v>
      </c>
      <c r="Q23" s="3" t="s">
        <v>763</v>
      </c>
      <c r="R23" s="3" t="s">
        <v>2167</v>
      </c>
      <c r="S23" s="3" t="s">
        <v>787</v>
      </c>
      <c r="T23" s="3" t="s">
        <v>1031</v>
      </c>
      <c r="U23" s="3" t="s">
        <v>1992</v>
      </c>
      <c r="V23" s="3" t="s">
        <v>2026</v>
      </c>
      <c r="W23" s="3" t="s">
        <v>766</v>
      </c>
      <c r="X23" s="3" t="s">
        <v>787</v>
      </c>
      <c r="Y23" s="3" t="s">
        <v>1072</v>
      </c>
      <c r="Z23" s="3">
        <v>1402.78</v>
      </c>
      <c r="AA23" s="3">
        <v>2.52</v>
      </c>
      <c r="AB23">
        <v>5120.1400000000003</v>
      </c>
      <c r="AC23" s="3">
        <v>9.2200000000000006</v>
      </c>
      <c r="AD23" s="3" t="s">
        <v>768</v>
      </c>
      <c r="AE23" s="3" t="s">
        <v>1071</v>
      </c>
      <c r="AF23" s="3">
        <v>46.77</v>
      </c>
      <c r="AG23" s="3">
        <f>AF23*AP23</f>
        <v>22544.543099999999</v>
      </c>
      <c r="AH23" s="3">
        <f>AG23*3.65</f>
        <v>82287.582314999992</v>
      </c>
      <c r="AI23" s="3">
        <f>AH23/AP23</f>
        <v>170.7105</v>
      </c>
      <c r="AJ23" s="3" t="s">
        <v>1073</v>
      </c>
      <c r="AK23" s="3">
        <v>84.7</v>
      </c>
      <c r="AL23" s="3">
        <f>AK23*AP23</f>
        <v>40827.940999999999</v>
      </c>
      <c r="AM23" s="3">
        <v>67.22</v>
      </c>
      <c r="AN23" s="3">
        <v>17.48</v>
      </c>
      <c r="AO23" s="3">
        <v>482.03</v>
      </c>
      <c r="AP23" s="3">
        <v>482.03</v>
      </c>
      <c r="AQ23" s="3" t="s">
        <v>763</v>
      </c>
      <c r="AR23" s="3" t="s">
        <v>763</v>
      </c>
      <c r="AS23" s="3" t="s">
        <v>2047</v>
      </c>
    </row>
    <row r="24" spans="1:45" x14ac:dyDescent="0.35">
      <c r="A24" s="3">
        <v>20</v>
      </c>
      <c r="B24" t="s">
        <v>148</v>
      </c>
      <c r="C24" t="s">
        <v>150</v>
      </c>
      <c r="D24" s="3" t="s">
        <v>751</v>
      </c>
      <c r="E24" s="3">
        <v>2022</v>
      </c>
      <c r="F24" s="3">
        <v>2021</v>
      </c>
      <c r="G24" s="3" t="s">
        <v>753</v>
      </c>
      <c r="H24" s="3" t="s">
        <v>754</v>
      </c>
      <c r="I24" s="3">
        <v>23.181944000000001</v>
      </c>
      <c r="J24" s="3">
        <v>77.421943999999996</v>
      </c>
      <c r="K24" s="3" t="s">
        <v>1012</v>
      </c>
      <c r="L24" s="3" t="s">
        <v>756</v>
      </c>
      <c r="M24" s="3" t="s">
        <v>2092</v>
      </c>
      <c r="N24" s="3">
        <v>1200</v>
      </c>
      <c r="O24" s="3">
        <v>30</v>
      </c>
      <c r="P24" s="3" t="s">
        <v>763</v>
      </c>
      <c r="Q24" s="3" t="s">
        <v>763</v>
      </c>
      <c r="R24" s="3" t="s">
        <v>2166</v>
      </c>
      <c r="S24" s="3" t="s">
        <v>762</v>
      </c>
      <c r="T24" s="3" t="s">
        <v>1031</v>
      </c>
      <c r="U24" s="3" t="s">
        <v>1993</v>
      </c>
      <c r="V24" s="3" t="s">
        <v>2027</v>
      </c>
      <c r="W24" s="3" t="s">
        <v>766</v>
      </c>
      <c r="X24" s="3" t="s">
        <v>787</v>
      </c>
      <c r="Y24" s="3" t="s">
        <v>763</v>
      </c>
      <c r="Z24" s="3" t="s">
        <v>763</v>
      </c>
      <c r="AA24" s="3" t="s">
        <v>763</v>
      </c>
      <c r="AB24" s="3" t="s">
        <v>763</v>
      </c>
      <c r="AC24" s="3" t="s">
        <v>763</v>
      </c>
      <c r="AD24" s="3" t="s">
        <v>768</v>
      </c>
      <c r="AE24" s="3" t="s">
        <v>1089</v>
      </c>
      <c r="AF24" s="3">
        <v>1.5</v>
      </c>
      <c r="AG24" s="3">
        <v>36.299999999999997</v>
      </c>
      <c r="AH24" s="3">
        <f>AG24*3.65</f>
        <v>132.49499999999998</v>
      </c>
      <c r="AI24" s="3">
        <v>5.3</v>
      </c>
      <c r="AJ24" s="3" t="s">
        <v>1088</v>
      </c>
      <c r="AK24" s="3">
        <f>AL24/AP24</f>
        <v>3.0911200000000001</v>
      </c>
      <c r="AL24" s="3">
        <v>77.278000000000006</v>
      </c>
      <c r="AM24" s="3">
        <f>AK24/1.24</f>
        <v>2.4928387096774194</v>
      </c>
      <c r="AN24" s="3">
        <f>AM24*0.24</f>
        <v>0.59828129032258059</v>
      </c>
      <c r="AO24" s="3">
        <v>25</v>
      </c>
      <c r="AP24" s="3">
        <v>25</v>
      </c>
      <c r="AQ24" s="3" t="s">
        <v>763</v>
      </c>
      <c r="AR24" s="3" t="s">
        <v>1090</v>
      </c>
      <c r="AS24" s="3" t="s">
        <v>1087</v>
      </c>
    </row>
    <row r="25" spans="1:45" s="37" customFormat="1" x14ac:dyDescent="0.35">
      <c r="A25" s="4">
        <v>21</v>
      </c>
      <c r="B25" s="19" t="s">
        <v>153</v>
      </c>
      <c r="C25" s="19" t="s">
        <v>155</v>
      </c>
      <c r="D25" s="4" t="s">
        <v>751</v>
      </c>
      <c r="E25" s="4">
        <v>2015</v>
      </c>
      <c r="F25" s="4">
        <v>2015</v>
      </c>
      <c r="G25" s="4" t="s">
        <v>753</v>
      </c>
      <c r="H25" s="4" t="s">
        <v>754</v>
      </c>
      <c r="I25" s="4">
        <v>1.5027779999999999</v>
      </c>
      <c r="J25" s="4">
        <v>103.93555600000001</v>
      </c>
      <c r="K25" s="19" t="s">
        <v>1095</v>
      </c>
      <c r="L25" s="4" t="s">
        <v>799</v>
      </c>
      <c r="M25" s="4" t="s">
        <v>2077</v>
      </c>
      <c r="N25" s="4">
        <v>2689</v>
      </c>
      <c r="O25" s="4">
        <v>26.4</v>
      </c>
      <c r="P25" s="4" t="s">
        <v>763</v>
      </c>
      <c r="Q25" s="4" t="s">
        <v>763</v>
      </c>
      <c r="R25" s="4" t="s">
        <v>1560</v>
      </c>
      <c r="S25" s="4" t="s">
        <v>787</v>
      </c>
      <c r="T25" s="4" t="s">
        <v>1031</v>
      </c>
      <c r="U25" s="4" t="s">
        <v>764</v>
      </c>
      <c r="V25" s="4" t="s">
        <v>2026</v>
      </c>
      <c r="W25" s="4" t="s">
        <v>766</v>
      </c>
      <c r="X25" s="4" t="s">
        <v>787</v>
      </c>
      <c r="Y25" s="19" t="s">
        <v>2115</v>
      </c>
      <c r="Z25" s="19">
        <v>2238.183</v>
      </c>
      <c r="AA25" s="19">
        <f>Z25/AP25</f>
        <v>13.963335204941044</v>
      </c>
      <c r="AB25" s="19">
        <f>Z25*3.65</f>
        <v>8169.3679499999998</v>
      </c>
      <c r="AC25" s="19">
        <f>AB25/AP25</f>
        <v>50.966173498034813</v>
      </c>
      <c r="AD25" s="4" t="s">
        <v>789</v>
      </c>
      <c r="AE25" s="4" t="s">
        <v>763</v>
      </c>
      <c r="AF25" s="4" t="s">
        <v>763</v>
      </c>
      <c r="AG25" s="4" t="s">
        <v>763</v>
      </c>
      <c r="AH25" s="4" t="s">
        <v>763</v>
      </c>
      <c r="AI25" s="4" t="s">
        <v>763</v>
      </c>
      <c r="AJ25" s="4" t="s">
        <v>763</v>
      </c>
      <c r="AK25" s="4" t="s">
        <v>763</v>
      </c>
      <c r="AL25" s="4" t="s">
        <v>763</v>
      </c>
      <c r="AM25" s="4" t="s">
        <v>763</v>
      </c>
      <c r="AN25" s="4" t="s">
        <v>763</v>
      </c>
      <c r="AO25" s="4" t="s">
        <v>2116</v>
      </c>
      <c r="AP25" s="4">
        <v>160.29</v>
      </c>
      <c r="AQ25" s="50">
        <v>15</v>
      </c>
      <c r="AR25" s="4" t="s">
        <v>1100</v>
      </c>
      <c r="AS25" s="4" t="s">
        <v>1092</v>
      </c>
    </row>
    <row r="26" spans="1:45" x14ac:dyDescent="0.35">
      <c r="A26" s="3">
        <v>22</v>
      </c>
      <c r="B26" t="s">
        <v>158</v>
      </c>
      <c r="C26" t="s">
        <v>160</v>
      </c>
      <c r="D26" s="3" t="s">
        <v>751</v>
      </c>
      <c r="E26" s="3">
        <v>2020</v>
      </c>
      <c r="F26" s="3" t="s">
        <v>763</v>
      </c>
      <c r="G26" s="3" t="s">
        <v>753</v>
      </c>
      <c r="H26" s="3" t="s">
        <v>754</v>
      </c>
      <c r="I26" s="3">
        <v>8.1652780000000007</v>
      </c>
      <c r="J26" s="3">
        <v>38.054443999999997</v>
      </c>
      <c r="K26" t="s">
        <v>1104</v>
      </c>
      <c r="L26" s="3" t="s">
        <v>1102</v>
      </c>
      <c r="M26" s="3" t="s">
        <v>2093</v>
      </c>
      <c r="N26" s="3">
        <v>1874</v>
      </c>
      <c r="O26" s="3">
        <v>15.6</v>
      </c>
      <c r="P26" s="3" t="s">
        <v>763</v>
      </c>
      <c r="Q26" s="3" t="s">
        <v>763</v>
      </c>
      <c r="R26" s="3" t="s">
        <v>2167</v>
      </c>
      <c r="S26" s="3" t="s">
        <v>787</v>
      </c>
      <c r="T26" s="3" t="s">
        <v>865</v>
      </c>
      <c r="U26" s="3" t="s">
        <v>764</v>
      </c>
      <c r="V26" s="3" t="s">
        <v>2026</v>
      </c>
      <c r="W26" s="3" t="s">
        <v>766</v>
      </c>
      <c r="X26" s="3" t="s">
        <v>787</v>
      </c>
      <c r="Y26" s="3" t="s">
        <v>763</v>
      </c>
      <c r="Z26" s="3" t="s">
        <v>763</v>
      </c>
      <c r="AA26" s="3" t="s">
        <v>763</v>
      </c>
      <c r="AB26" s="3" t="s">
        <v>763</v>
      </c>
      <c r="AC26" s="3" t="s">
        <v>763</v>
      </c>
      <c r="AD26" s="3" t="s">
        <v>768</v>
      </c>
      <c r="AE26" s="3" t="s">
        <v>2176</v>
      </c>
      <c r="AF26" s="3">
        <v>156</v>
      </c>
      <c r="AG26" s="3">
        <f>AF26*AP26</f>
        <v>93.6</v>
      </c>
      <c r="AH26" s="3">
        <f>AG26*3.65</f>
        <v>341.64</v>
      </c>
      <c r="AI26" s="3">
        <f>AH26/AP26</f>
        <v>569.4</v>
      </c>
      <c r="AJ26" s="3" t="s">
        <v>1108</v>
      </c>
      <c r="AK26" s="3">
        <v>332.3</v>
      </c>
      <c r="AL26" s="3">
        <f>AK26*AP26</f>
        <v>199.38</v>
      </c>
      <c r="AM26" s="3">
        <v>276.89999999999998</v>
      </c>
      <c r="AN26" s="3">
        <v>55.4</v>
      </c>
      <c r="AO26" s="3">
        <v>0.6</v>
      </c>
      <c r="AP26" s="3">
        <v>0.6</v>
      </c>
      <c r="AQ26">
        <v>67</v>
      </c>
      <c r="AR26" s="3" t="s">
        <v>2012</v>
      </c>
      <c r="AS26" s="3" t="s">
        <v>1109</v>
      </c>
    </row>
    <row r="27" spans="1:45" x14ac:dyDescent="0.35">
      <c r="A27" s="39">
        <v>70</v>
      </c>
      <c r="B27" s="40" t="s">
        <v>163</v>
      </c>
      <c r="C27" s="40" t="s">
        <v>165</v>
      </c>
      <c r="D27" s="40" t="s">
        <v>751</v>
      </c>
      <c r="E27" s="40">
        <v>2023</v>
      </c>
      <c r="F27" s="40"/>
      <c r="G27" s="40" t="s">
        <v>753</v>
      </c>
      <c r="H27" s="40" t="s">
        <v>754</v>
      </c>
      <c r="I27" s="39">
        <v>8.5902999999999992</v>
      </c>
      <c r="J27" s="40">
        <v>124.6536</v>
      </c>
      <c r="K27" s="42" t="s">
        <v>1114</v>
      </c>
      <c r="L27" s="40" t="s">
        <v>1112</v>
      </c>
      <c r="M27" s="39" t="s">
        <v>2077</v>
      </c>
      <c r="N27" s="40" t="s">
        <v>763</v>
      </c>
      <c r="O27" s="40" t="s">
        <v>763</v>
      </c>
      <c r="P27" s="40" t="s">
        <v>763</v>
      </c>
      <c r="Q27" s="40" t="s">
        <v>1113</v>
      </c>
      <c r="R27" s="39" t="s">
        <v>2074</v>
      </c>
      <c r="S27" s="40" t="s">
        <v>914</v>
      </c>
      <c r="T27" s="40" t="s">
        <v>1235</v>
      </c>
      <c r="U27" s="40" t="s">
        <v>764</v>
      </c>
      <c r="V27" s="40" t="s">
        <v>1117</v>
      </c>
      <c r="W27" s="40" t="s">
        <v>766</v>
      </c>
      <c r="X27" s="40" t="s">
        <v>787</v>
      </c>
      <c r="Y27" s="40" t="s">
        <v>763</v>
      </c>
      <c r="Z27" s="40" t="s">
        <v>763</v>
      </c>
      <c r="AA27" s="40" t="s">
        <v>763</v>
      </c>
      <c r="AB27" s="40" t="s">
        <v>763</v>
      </c>
      <c r="AC27" s="40" t="s">
        <v>763</v>
      </c>
      <c r="AD27" s="40" t="s">
        <v>789</v>
      </c>
      <c r="AE27" s="40" t="s">
        <v>1787</v>
      </c>
      <c r="AF27" s="40" t="s">
        <v>1787</v>
      </c>
      <c r="AG27" s="40" t="s">
        <v>1787</v>
      </c>
      <c r="AH27" s="40" t="s">
        <v>1787</v>
      </c>
      <c r="AI27" s="40"/>
      <c r="AJ27" s="40" t="s">
        <v>1786</v>
      </c>
      <c r="AK27" s="40" t="s">
        <v>1786</v>
      </c>
      <c r="AL27" s="40" t="s">
        <v>1786</v>
      </c>
      <c r="AM27" s="40" t="s">
        <v>1786</v>
      </c>
      <c r="AN27" s="40" t="s">
        <v>1786</v>
      </c>
      <c r="AO27" s="40" t="s">
        <v>1784</v>
      </c>
      <c r="AP27" s="40" t="s">
        <v>763</v>
      </c>
      <c r="AQ27" s="40" t="s">
        <v>1785</v>
      </c>
      <c r="AR27" s="40" t="s">
        <v>1118</v>
      </c>
      <c r="AS27" s="40" t="s">
        <v>763</v>
      </c>
    </row>
    <row r="28" spans="1:45" s="19" customFormat="1" x14ac:dyDescent="0.35">
      <c r="A28" s="3">
        <v>23</v>
      </c>
      <c r="B28" t="s">
        <v>173</v>
      </c>
      <c r="C28" t="s">
        <v>175</v>
      </c>
      <c r="D28" s="3" t="s">
        <v>751</v>
      </c>
      <c r="E28" s="3">
        <v>2024</v>
      </c>
      <c r="F28" s="3">
        <v>2020</v>
      </c>
      <c r="G28" s="3" t="s">
        <v>753</v>
      </c>
      <c r="H28" s="3" t="s">
        <v>754</v>
      </c>
      <c r="I28" s="3">
        <v>9.0783889999999996</v>
      </c>
      <c r="J28" s="3">
        <v>38.759208000000001</v>
      </c>
      <c r="K28" t="s">
        <v>1104</v>
      </c>
      <c r="L28" s="3" t="s">
        <v>1102</v>
      </c>
      <c r="M28" s="3" t="s">
        <v>2093</v>
      </c>
      <c r="N28">
        <v>1165</v>
      </c>
      <c r="O28">
        <v>17</v>
      </c>
      <c r="P28" s="3" t="s">
        <v>763</v>
      </c>
      <c r="Q28" s="3" t="s">
        <v>763</v>
      </c>
      <c r="R28" s="3" t="s">
        <v>2167</v>
      </c>
      <c r="S28" s="3" t="s">
        <v>762</v>
      </c>
      <c r="T28" s="3" t="s">
        <v>865</v>
      </c>
      <c r="U28" s="3" t="s">
        <v>764</v>
      </c>
      <c r="V28" t="s">
        <v>2026</v>
      </c>
      <c r="W28" s="3" t="s">
        <v>766</v>
      </c>
      <c r="X28" s="3" t="s">
        <v>762</v>
      </c>
      <c r="Y28" s="3" t="s">
        <v>763</v>
      </c>
      <c r="Z28" s="3" t="s">
        <v>763</v>
      </c>
      <c r="AA28" s="3" t="s">
        <v>763</v>
      </c>
      <c r="AB28" s="3" t="s">
        <v>763</v>
      </c>
      <c r="AC28" s="3" t="s">
        <v>763</v>
      </c>
      <c r="AD28" s="3" t="s">
        <v>768</v>
      </c>
      <c r="AE28" s="3" t="s">
        <v>1121</v>
      </c>
      <c r="AF28" s="3">
        <v>64.540000000000006</v>
      </c>
      <c r="AG28" s="3">
        <f>AF28*AP28</f>
        <v>25834.006660000003</v>
      </c>
      <c r="AH28" s="3">
        <f>AG28*3.65</f>
        <v>94294.124309000006</v>
      </c>
      <c r="AI28" s="3">
        <f>AH28/AP28</f>
        <v>235.57100000000003</v>
      </c>
      <c r="AJ28" s="3" t="s">
        <v>1120</v>
      </c>
      <c r="AK28" s="3">
        <v>136.56</v>
      </c>
      <c r="AL28" s="3">
        <f>AK28*AP28</f>
        <v>54662.10024</v>
      </c>
      <c r="AM28" s="3">
        <v>114.28</v>
      </c>
      <c r="AN28" s="3">
        <v>22.28</v>
      </c>
      <c r="AO28" s="3">
        <v>400.279</v>
      </c>
      <c r="AP28" s="3">
        <v>400.279</v>
      </c>
      <c r="AQ28" s="3" t="s">
        <v>763</v>
      </c>
      <c r="AR28" s="3" t="s">
        <v>1125</v>
      </c>
      <c r="AS28" t="s">
        <v>1119</v>
      </c>
    </row>
    <row r="29" spans="1:45" x14ac:dyDescent="0.35">
      <c r="A29" s="3">
        <v>24</v>
      </c>
      <c r="B29" t="s">
        <v>1144</v>
      </c>
      <c r="C29" t="s">
        <v>1145</v>
      </c>
      <c r="D29" s="3" t="s">
        <v>751</v>
      </c>
      <c r="E29" s="3">
        <v>2019</v>
      </c>
      <c r="F29" s="3">
        <v>2018</v>
      </c>
      <c r="G29" s="3" t="s">
        <v>753</v>
      </c>
      <c r="H29" s="3" t="s">
        <v>754</v>
      </c>
      <c r="I29" s="3">
        <v>10.296523000000001</v>
      </c>
      <c r="J29" s="3">
        <v>123.8986</v>
      </c>
      <c r="K29" t="s">
        <v>1143</v>
      </c>
      <c r="L29" s="3" t="s">
        <v>1112</v>
      </c>
      <c r="M29" s="3" t="s">
        <v>2095</v>
      </c>
      <c r="N29">
        <v>1607</v>
      </c>
      <c r="O29">
        <v>27.5</v>
      </c>
      <c r="P29" s="3" t="s">
        <v>763</v>
      </c>
      <c r="Q29" s="3" t="s">
        <v>763</v>
      </c>
      <c r="R29" s="3" t="s">
        <v>2166</v>
      </c>
      <c r="S29" s="3" t="s">
        <v>787</v>
      </c>
      <c r="T29" s="3" t="s">
        <v>1031</v>
      </c>
      <c r="U29" s="3" t="s">
        <v>1148</v>
      </c>
      <c r="V29" t="s">
        <v>2027</v>
      </c>
      <c r="W29" s="3" t="s">
        <v>766</v>
      </c>
      <c r="X29" s="3" t="s">
        <v>787</v>
      </c>
      <c r="Y29" s="3" t="s">
        <v>1142</v>
      </c>
      <c r="Z29" s="3">
        <f>AA29*AP29</f>
        <v>15.592499999999998</v>
      </c>
      <c r="AA29" s="3">
        <v>9.4499999999999993</v>
      </c>
      <c r="AB29" s="3">
        <f>Z29*3.65</f>
        <v>56.912624999999991</v>
      </c>
      <c r="AC29" s="3">
        <f>AA29*3.65</f>
        <v>34.4925</v>
      </c>
      <c r="AD29" s="3" t="s">
        <v>789</v>
      </c>
      <c r="AE29" s="3" t="s">
        <v>1146</v>
      </c>
      <c r="AF29" s="3">
        <v>87.81</v>
      </c>
      <c r="AG29" s="3">
        <f>AF29*AP29</f>
        <v>144.88649999999998</v>
      </c>
      <c r="AH29" s="3">
        <f>AG29*3.65</f>
        <v>528.83572499999991</v>
      </c>
      <c r="AI29" s="3">
        <f>AH29/AP29</f>
        <v>320.50649999999996</v>
      </c>
      <c r="AJ29" s="7" t="s">
        <v>1147</v>
      </c>
      <c r="AK29" s="4">
        <f>AM29+AN29</f>
        <v>241.96119999999999</v>
      </c>
      <c r="AL29" s="4">
        <f>AK29*AP29</f>
        <v>399.23597999999998</v>
      </c>
      <c r="AM29" s="7">
        <v>195.13</v>
      </c>
      <c r="AN29" s="4">
        <f>AM29*0.24</f>
        <v>46.831199999999995</v>
      </c>
      <c r="AO29">
        <v>1.65</v>
      </c>
      <c r="AP29">
        <v>1.65</v>
      </c>
      <c r="AQ29" s="3" t="s">
        <v>763</v>
      </c>
      <c r="AR29" s="7" t="s">
        <v>1157</v>
      </c>
      <c r="AS29" t="s">
        <v>1150</v>
      </c>
    </row>
    <row r="30" spans="1:45" x14ac:dyDescent="0.35">
      <c r="A30" s="3">
        <v>25</v>
      </c>
      <c r="B30" t="s">
        <v>183</v>
      </c>
      <c r="C30" t="s">
        <v>1158</v>
      </c>
      <c r="D30" s="3" t="s">
        <v>751</v>
      </c>
      <c r="E30" s="3">
        <v>2019</v>
      </c>
      <c r="F30" s="3" t="s">
        <v>1898</v>
      </c>
      <c r="G30" s="3" t="s">
        <v>753</v>
      </c>
      <c r="H30" s="3" t="s">
        <v>754</v>
      </c>
      <c r="I30" s="3">
        <v>1.3122499999999999</v>
      </c>
      <c r="J30" s="3">
        <v>103.910861</v>
      </c>
      <c r="K30" t="s">
        <v>1159</v>
      </c>
      <c r="L30" t="s">
        <v>1159</v>
      </c>
      <c r="M30" t="s">
        <v>2077</v>
      </c>
      <c r="N30">
        <v>2166</v>
      </c>
      <c r="O30">
        <v>28</v>
      </c>
      <c r="P30" s="3" t="s">
        <v>948</v>
      </c>
      <c r="Q30" s="3" t="s">
        <v>763</v>
      </c>
      <c r="R30" s="3" t="s">
        <v>2166</v>
      </c>
      <c r="S30" s="3" t="s">
        <v>762</v>
      </c>
      <c r="T30" s="3" t="s">
        <v>1031</v>
      </c>
      <c r="U30" s="3" t="s">
        <v>1994</v>
      </c>
      <c r="V30" t="s">
        <v>2026</v>
      </c>
      <c r="W30" s="3" t="s">
        <v>766</v>
      </c>
      <c r="X30" s="3" t="s">
        <v>826</v>
      </c>
      <c r="Y30" s="3" t="s">
        <v>2067</v>
      </c>
      <c r="Z30" s="3">
        <v>3700</v>
      </c>
      <c r="AA30" s="3" t="s">
        <v>763</v>
      </c>
      <c r="AB30" s="3">
        <f>Z30*3.65</f>
        <v>13505</v>
      </c>
      <c r="AC30" s="3" t="s">
        <v>763</v>
      </c>
      <c r="AD30" s="3" t="s">
        <v>789</v>
      </c>
      <c r="AE30" s="3" t="s">
        <v>763</v>
      </c>
      <c r="AF30" s="3" t="s">
        <v>763</v>
      </c>
      <c r="AG30" s="3" t="s">
        <v>763</v>
      </c>
      <c r="AH30" s="3" t="s">
        <v>763</v>
      </c>
      <c r="AI30" s="3" t="s">
        <v>763</v>
      </c>
      <c r="AJ30" s="7" t="s">
        <v>1169</v>
      </c>
      <c r="AK30" s="4" t="s">
        <v>763</v>
      </c>
      <c r="AL30" s="4" t="s">
        <v>763</v>
      </c>
      <c r="AM30" s="31" t="s">
        <v>2233</v>
      </c>
      <c r="AN30" s="4" t="s">
        <v>763</v>
      </c>
      <c r="AO30" s="31" t="s">
        <v>763</v>
      </c>
      <c r="AP30" s="31" t="s">
        <v>763</v>
      </c>
      <c r="AQ30" s="3" t="s">
        <v>763</v>
      </c>
      <c r="AR30" s="7" t="s">
        <v>1168</v>
      </c>
      <c r="AS30" t="s">
        <v>1136</v>
      </c>
    </row>
    <row r="31" spans="1:45" x14ac:dyDescent="0.35">
      <c r="A31" s="3">
        <v>26</v>
      </c>
      <c r="B31" t="s">
        <v>185</v>
      </c>
      <c r="C31" t="s">
        <v>187</v>
      </c>
      <c r="D31" s="3" t="s">
        <v>751</v>
      </c>
      <c r="E31" s="3">
        <v>2023</v>
      </c>
      <c r="F31" s="3">
        <v>2013</v>
      </c>
      <c r="G31" s="3" t="s">
        <v>753</v>
      </c>
      <c r="H31" s="3" t="s">
        <v>754</v>
      </c>
      <c r="I31" s="3">
        <v>19.546806</v>
      </c>
      <c r="J31" s="3">
        <v>-96.950417000000002</v>
      </c>
      <c r="K31" t="s">
        <v>1171</v>
      </c>
      <c r="L31" t="s">
        <v>894</v>
      </c>
      <c r="M31" s="3" t="s">
        <v>2094</v>
      </c>
      <c r="N31" s="3">
        <v>1591</v>
      </c>
      <c r="O31" s="3">
        <v>19</v>
      </c>
      <c r="P31" s="3" t="s">
        <v>763</v>
      </c>
      <c r="Q31" s="3" t="s">
        <v>763</v>
      </c>
      <c r="R31" s="3" t="s">
        <v>2167</v>
      </c>
      <c r="S31" s="3" t="s">
        <v>787</v>
      </c>
      <c r="T31" s="3" t="s">
        <v>865</v>
      </c>
      <c r="U31" s="3" t="s">
        <v>764</v>
      </c>
      <c r="V31" t="s">
        <v>2027</v>
      </c>
      <c r="W31" t="s">
        <v>766</v>
      </c>
      <c r="X31" s="3" t="s">
        <v>787</v>
      </c>
      <c r="Y31" s="3" t="s">
        <v>763</v>
      </c>
      <c r="Z31" s="3" t="s">
        <v>763</v>
      </c>
      <c r="AA31" s="3" t="s">
        <v>763</v>
      </c>
      <c r="AB31" s="3" t="s">
        <v>763</v>
      </c>
      <c r="AC31" s="3" t="s">
        <v>763</v>
      </c>
      <c r="AD31" s="3" t="s">
        <v>789</v>
      </c>
      <c r="AE31" s="3" t="s">
        <v>1175</v>
      </c>
      <c r="AF31" s="3">
        <v>263.99</v>
      </c>
      <c r="AG31" s="3">
        <f>AF31*AP31</f>
        <v>3959.8500000000004</v>
      </c>
      <c r="AH31" s="3">
        <f>AG31*3.65</f>
        <v>14453.452500000001</v>
      </c>
      <c r="AI31" s="3">
        <v>967.37</v>
      </c>
      <c r="AJ31" s="7" t="s">
        <v>1174</v>
      </c>
      <c r="AK31" s="4">
        <f>AM31+AN31</f>
        <v>654.6952</v>
      </c>
      <c r="AL31" s="4">
        <f>AK31*AP31</f>
        <v>9820.4279999999999</v>
      </c>
      <c r="AM31" s="7">
        <v>527.98</v>
      </c>
      <c r="AN31" s="4">
        <f>AM31*0.24</f>
        <v>126.7152</v>
      </c>
      <c r="AO31" t="s">
        <v>2196</v>
      </c>
      <c r="AP31">
        <v>15</v>
      </c>
      <c r="AQ31" s="3" t="s">
        <v>763</v>
      </c>
      <c r="AR31" t="s">
        <v>1176</v>
      </c>
      <c r="AS31" t="s">
        <v>1160</v>
      </c>
    </row>
    <row r="32" spans="1:45" x14ac:dyDescent="0.35">
      <c r="A32" s="3">
        <v>27</v>
      </c>
      <c r="B32" t="s">
        <v>200</v>
      </c>
      <c r="C32" t="s">
        <v>202</v>
      </c>
      <c r="D32" s="3" t="s">
        <v>751</v>
      </c>
      <c r="E32" s="3">
        <v>2015</v>
      </c>
      <c r="F32" s="4" t="s">
        <v>1899</v>
      </c>
      <c r="G32" s="3" t="s">
        <v>795</v>
      </c>
      <c r="H32" s="3" t="s">
        <v>776</v>
      </c>
      <c r="I32" s="3">
        <v>-8.6636769999999999</v>
      </c>
      <c r="J32" s="3">
        <v>115.22344699999999</v>
      </c>
      <c r="K32" t="s">
        <v>1754</v>
      </c>
      <c r="L32" t="s">
        <v>832</v>
      </c>
      <c r="M32" s="8" t="s">
        <v>2082</v>
      </c>
      <c r="N32" s="3">
        <v>1642</v>
      </c>
      <c r="O32">
        <v>26</v>
      </c>
      <c r="P32" s="3" t="s">
        <v>763</v>
      </c>
      <c r="Q32" s="3" t="s">
        <v>763</v>
      </c>
      <c r="R32" s="3" t="s">
        <v>2166</v>
      </c>
      <c r="S32" s="3" t="s">
        <v>787</v>
      </c>
      <c r="T32" s="3" t="s">
        <v>1235</v>
      </c>
      <c r="U32" s="3" t="s">
        <v>1182</v>
      </c>
      <c r="V32" t="s">
        <v>1744</v>
      </c>
      <c r="W32" s="3" t="s">
        <v>2165</v>
      </c>
      <c r="X32" s="3" t="s">
        <v>787</v>
      </c>
      <c r="Y32" t="s">
        <v>2258</v>
      </c>
      <c r="Z32">
        <f>((1995*7102.04)+(2003*15607.49)+(2014*22274.93))/(1995+2003+2014)</f>
        <v>15018.642929141715</v>
      </c>
      <c r="AA32" s="3">
        <f>Z32/AP32</f>
        <v>2.9751741558975615</v>
      </c>
      <c r="AB32" s="3">
        <f>Z32*3.65</f>
        <v>54818.046691367257</v>
      </c>
      <c r="AC32" s="3">
        <f>AB32/AP32</f>
        <v>10.859385669026098</v>
      </c>
      <c r="AD32" s="3" t="s">
        <v>789</v>
      </c>
      <c r="AE32" s="3" t="s">
        <v>763</v>
      </c>
      <c r="AF32" s="3" t="s">
        <v>763</v>
      </c>
      <c r="AG32" s="3" t="s">
        <v>763</v>
      </c>
      <c r="AH32" s="3" t="s">
        <v>763</v>
      </c>
      <c r="AI32" s="3" t="s">
        <v>763</v>
      </c>
      <c r="AJ32" s="7" t="s">
        <v>763</v>
      </c>
      <c r="AK32" s="7" t="s">
        <v>763</v>
      </c>
      <c r="AL32" s="7" t="s">
        <v>763</v>
      </c>
      <c r="AM32" s="7" t="s">
        <v>763</v>
      </c>
      <c r="AN32" s="7" t="s">
        <v>763</v>
      </c>
      <c r="AO32" t="s">
        <v>2248</v>
      </c>
      <c r="AP32">
        <f>((1995*2396.34)+(2003*5421.87)+(2014*7302.78))/(1995+2003+2014)</f>
        <v>5047.9878293413167</v>
      </c>
      <c r="AQ32" s="7" t="s">
        <v>763</v>
      </c>
      <c r="AR32" t="s">
        <v>763</v>
      </c>
      <c r="AS32" t="s">
        <v>763</v>
      </c>
    </row>
    <row r="33" spans="1:45" x14ac:dyDescent="0.35">
      <c r="A33" s="3">
        <v>27</v>
      </c>
      <c r="B33" t="s">
        <v>200</v>
      </c>
      <c r="C33" t="s">
        <v>202</v>
      </c>
      <c r="D33" s="3" t="s">
        <v>751</v>
      </c>
      <c r="E33" s="3">
        <v>2016</v>
      </c>
      <c r="F33" s="4" t="s">
        <v>1899</v>
      </c>
      <c r="G33" s="3" t="s">
        <v>795</v>
      </c>
      <c r="H33" s="3" t="s">
        <v>776</v>
      </c>
      <c r="I33" s="3">
        <v>-8.6636769999999999</v>
      </c>
      <c r="J33" s="3">
        <v>115.22344699999999</v>
      </c>
      <c r="K33" t="s">
        <v>1754</v>
      </c>
      <c r="L33" t="s">
        <v>832</v>
      </c>
      <c r="M33" s="8" t="s">
        <v>2082</v>
      </c>
      <c r="N33" s="3">
        <v>1642</v>
      </c>
      <c r="O33">
        <v>26</v>
      </c>
      <c r="P33" s="3" t="s">
        <v>763</v>
      </c>
      <c r="Q33" s="3" t="s">
        <v>763</v>
      </c>
      <c r="R33" s="3" t="s">
        <v>2167</v>
      </c>
      <c r="S33" s="3" t="s">
        <v>787</v>
      </c>
      <c r="T33" s="3" t="s">
        <v>1235</v>
      </c>
      <c r="U33" s="3" t="s">
        <v>1182</v>
      </c>
      <c r="V33" t="s">
        <v>1744</v>
      </c>
      <c r="W33" s="3" t="s">
        <v>2165</v>
      </c>
      <c r="X33" s="3" t="s">
        <v>787</v>
      </c>
      <c r="Y33" t="s">
        <v>2259</v>
      </c>
      <c r="Z33">
        <f>((1995*8071.18)+(2003*9238.85)+(2014*10268.58))/(1995+2003+2014)</f>
        <v>9196.3308000665347</v>
      </c>
      <c r="AA33" s="3">
        <f>Z33/AP33</f>
        <v>7.2296250521680703</v>
      </c>
      <c r="AB33" s="3">
        <f>Z33*3.65</f>
        <v>33566.60742024285</v>
      </c>
      <c r="AC33" s="3">
        <f>AB33/AP33</f>
        <v>26.388131440413456</v>
      </c>
      <c r="AD33" s="3" t="s">
        <v>789</v>
      </c>
      <c r="AE33" s="3" t="s">
        <v>763</v>
      </c>
      <c r="AF33" s="3" t="s">
        <v>763</v>
      </c>
      <c r="AG33" s="3" t="s">
        <v>763</v>
      </c>
      <c r="AH33" s="3" t="s">
        <v>763</v>
      </c>
      <c r="AI33" s="3" t="s">
        <v>763</v>
      </c>
      <c r="AJ33" s="7" t="s">
        <v>763</v>
      </c>
      <c r="AK33" s="7" t="s">
        <v>763</v>
      </c>
      <c r="AL33" s="7" t="s">
        <v>763</v>
      </c>
      <c r="AM33" s="7" t="s">
        <v>763</v>
      </c>
      <c r="AN33" s="7" t="s">
        <v>763</v>
      </c>
      <c r="AO33" t="s">
        <v>2249</v>
      </c>
      <c r="AP33">
        <f>((1995*1382.94)+(2003*1226.43)+(2014*1207.53))/(1995+2003+2014)</f>
        <v>1272.0342664670659</v>
      </c>
      <c r="AQ33" s="7" t="s">
        <v>763</v>
      </c>
      <c r="AR33" t="s">
        <v>763</v>
      </c>
      <c r="AS33" t="s">
        <v>763</v>
      </c>
    </row>
    <row r="34" spans="1:45" x14ac:dyDescent="0.35">
      <c r="A34" s="3">
        <v>27</v>
      </c>
      <c r="B34" t="s">
        <v>200</v>
      </c>
      <c r="C34" t="s">
        <v>202</v>
      </c>
      <c r="D34" s="3" t="s">
        <v>751</v>
      </c>
      <c r="E34" s="3">
        <v>2017</v>
      </c>
      <c r="F34" s="4" t="s">
        <v>1899</v>
      </c>
      <c r="G34" s="3" t="s">
        <v>795</v>
      </c>
      <c r="H34" s="3" t="s">
        <v>776</v>
      </c>
      <c r="I34" s="3">
        <v>-8.6636769999999999</v>
      </c>
      <c r="J34" s="3">
        <v>115.22344699999999</v>
      </c>
      <c r="K34" t="s">
        <v>1754</v>
      </c>
      <c r="L34" t="s">
        <v>832</v>
      </c>
      <c r="M34" s="8" t="s">
        <v>2082</v>
      </c>
      <c r="N34" s="3">
        <v>1642</v>
      </c>
      <c r="O34">
        <v>26</v>
      </c>
      <c r="P34" s="3" t="s">
        <v>763</v>
      </c>
      <c r="Q34" s="3" t="s">
        <v>763</v>
      </c>
      <c r="R34" s="19" t="s">
        <v>2118</v>
      </c>
      <c r="S34" s="3" t="s">
        <v>787</v>
      </c>
      <c r="T34" s="3" t="s">
        <v>1235</v>
      </c>
      <c r="U34" s="3" t="s">
        <v>1182</v>
      </c>
      <c r="V34" t="s">
        <v>1744</v>
      </c>
      <c r="W34" s="3" t="s">
        <v>2165</v>
      </c>
      <c r="X34" s="3" t="s">
        <v>787</v>
      </c>
      <c r="Y34" t="s">
        <v>2260</v>
      </c>
      <c r="Z34">
        <f>((1995*46435.93)+(2003*30775.48)+(2014*21271.68))/(1995+2003+2014)</f>
        <v>32788.44482867598</v>
      </c>
      <c r="AA34" s="3">
        <f>Z34/AP34</f>
        <v>5.9237946475047991</v>
      </c>
      <c r="AB34" s="3">
        <f>Z34*3.65</f>
        <v>119677.82362466732</v>
      </c>
      <c r="AC34" s="3">
        <f>AB34/AP34</f>
        <v>21.621850463392516</v>
      </c>
      <c r="AD34" s="3" t="s">
        <v>789</v>
      </c>
      <c r="AE34" s="3" t="s">
        <v>763</v>
      </c>
      <c r="AF34" s="3" t="s">
        <v>763</v>
      </c>
      <c r="AG34" s="3" t="s">
        <v>763</v>
      </c>
      <c r="AH34" s="3" t="s">
        <v>763</v>
      </c>
      <c r="AI34" s="3" t="s">
        <v>763</v>
      </c>
      <c r="AJ34" s="7" t="s">
        <v>763</v>
      </c>
      <c r="AK34" s="7" t="s">
        <v>763</v>
      </c>
      <c r="AL34" s="7" t="s">
        <v>763</v>
      </c>
      <c r="AM34" s="7" t="s">
        <v>763</v>
      </c>
      <c r="AN34" s="7" t="s">
        <v>763</v>
      </c>
      <c r="AO34" t="s">
        <v>2250</v>
      </c>
      <c r="AP34">
        <f>((1995*7868.07)+(2003*5239.9)+(2014*3517.55))/(1995+2003+2014)</f>
        <v>5535.040760146373</v>
      </c>
      <c r="AQ34" s="7" t="s">
        <v>763</v>
      </c>
      <c r="AR34" t="s">
        <v>763</v>
      </c>
      <c r="AS34" t="s">
        <v>763</v>
      </c>
    </row>
    <row r="35" spans="1:45" x14ac:dyDescent="0.35">
      <c r="A35" s="12">
        <v>27</v>
      </c>
      <c r="B35" s="37" t="s">
        <v>200</v>
      </c>
      <c r="C35" s="37" t="s">
        <v>202</v>
      </c>
      <c r="D35" s="12" t="s">
        <v>751</v>
      </c>
      <c r="E35" s="12">
        <v>2018</v>
      </c>
      <c r="F35" s="12" t="s">
        <v>1899</v>
      </c>
      <c r="G35" s="12" t="s">
        <v>795</v>
      </c>
      <c r="H35" s="12" t="s">
        <v>776</v>
      </c>
      <c r="I35" s="12">
        <v>-8.6636769999999999</v>
      </c>
      <c r="J35" s="12">
        <v>115.22344699999999</v>
      </c>
      <c r="K35" s="37" t="s">
        <v>1754</v>
      </c>
      <c r="L35" s="37" t="s">
        <v>832</v>
      </c>
      <c r="M35" s="14" t="s">
        <v>2082</v>
      </c>
      <c r="N35" s="12">
        <v>1642</v>
      </c>
      <c r="O35" s="37">
        <v>26</v>
      </c>
      <c r="P35" s="12" t="s">
        <v>763</v>
      </c>
      <c r="Q35" s="12" t="s">
        <v>763</v>
      </c>
      <c r="R35" s="37" t="s">
        <v>1187</v>
      </c>
      <c r="S35" s="12" t="s">
        <v>787</v>
      </c>
      <c r="T35" s="12" t="s">
        <v>1235</v>
      </c>
      <c r="U35" s="12" t="s">
        <v>1182</v>
      </c>
      <c r="V35" s="37" t="s">
        <v>1744</v>
      </c>
      <c r="W35" s="12" t="s">
        <v>2165</v>
      </c>
      <c r="X35" s="12" t="s">
        <v>787</v>
      </c>
      <c r="Y35" s="12" t="s">
        <v>1189</v>
      </c>
      <c r="Z35" s="12" t="s">
        <v>2168</v>
      </c>
      <c r="AA35" s="12" t="s">
        <v>2266</v>
      </c>
      <c r="AB35" s="12" t="s">
        <v>2267</v>
      </c>
      <c r="AC35" s="12" t="s">
        <v>2268</v>
      </c>
      <c r="AD35" s="12" t="s">
        <v>789</v>
      </c>
      <c r="AE35" s="12" t="s">
        <v>763</v>
      </c>
      <c r="AF35" s="12" t="s">
        <v>763</v>
      </c>
      <c r="AG35" s="12" t="s">
        <v>763</v>
      </c>
      <c r="AH35" s="12" t="s">
        <v>763</v>
      </c>
      <c r="AI35" s="12" t="s">
        <v>763</v>
      </c>
      <c r="AJ35" s="13" t="s">
        <v>763</v>
      </c>
      <c r="AK35" s="13" t="s">
        <v>763</v>
      </c>
      <c r="AL35" s="13" t="s">
        <v>763</v>
      </c>
      <c r="AM35" s="13" t="s">
        <v>763</v>
      </c>
      <c r="AN35" s="13" t="s">
        <v>763</v>
      </c>
      <c r="AO35" s="14" t="s">
        <v>2117</v>
      </c>
      <c r="AP35" s="14" t="s">
        <v>2261</v>
      </c>
      <c r="AQ35" s="13" t="s">
        <v>763</v>
      </c>
      <c r="AR35" s="37" t="s">
        <v>763</v>
      </c>
      <c r="AS35" s="37" t="s">
        <v>763</v>
      </c>
    </row>
    <row r="36" spans="1:45" x14ac:dyDescent="0.35">
      <c r="A36" s="4">
        <v>28</v>
      </c>
      <c r="B36" t="s">
        <v>210</v>
      </c>
      <c r="C36" t="s">
        <v>212</v>
      </c>
      <c r="D36" s="3" t="s">
        <v>751</v>
      </c>
      <c r="E36" s="4">
        <v>2024</v>
      </c>
      <c r="F36" s="3" t="s">
        <v>2149</v>
      </c>
      <c r="G36" s="3" t="s">
        <v>753</v>
      </c>
      <c r="H36" s="3" t="s">
        <v>754</v>
      </c>
      <c r="I36" s="3">
        <v>11.266667</v>
      </c>
      <c r="J36" s="3">
        <v>36.833333000000003</v>
      </c>
      <c r="K36" t="s">
        <v>1193</v>
      </c>
      <c r="L36" s="3" t="s">
        <v>1102</v>
      </c>
      <c r="M36" s="3" t="s">
        <v>2077</v>
      </c>
      <c r="N36" s="3">
        <v>1578</v>
      </c>
      <c r="O36" s="3">
        <v>17</v>
      </c>
      <c r="P36" s="3" t="s">
        <v>1016</v>
      </c>
      <c r="Q36" s="3" t="s">
        <v>763</v>
      </c>
      <c r="R36" s="3" t="s">
        <v>2167</v>
      </c>
      <c r="S36" s="3" t="s">
        <v>787</v>
      </c>
      <c r="T36" s="19" t="s">
        <v>1031</v>
      </c>
      <c r="U36" s="3" t="s">
        <v>764</v>
      </c>
      <c r="V36" s="3" t="s">
        <v>2026</v>
      </c>
      <c r="W36" s="3" t="s">
        <v>766</v>
      </c>
      <c r="X36" s="3" t="s">
        <v>787</v>
      </c>
      <c r="Y36" s="3" t="s">
        <v>763</v>
      </c>
      <c r="Z36" s="3" t="s">
        <v>763</v>
      </c>
      <c r="AA36" s="3" t="s">
        <v>763</v>
      </c>
      <c r="AB36" s="3" t="s">
        <v>763</v>
      </c>
      <c r="AC36" s="3" t="s">
        <v>763</v>
      </c>
      <c r="AD36" s="3" t="s">
        <v>768</v>
      </c>
      <c r="AE36" s="7" t="s">
        <v>2146</v>
      </c>
      <c r="AF36" s="7">
        <v>24.96</v>
      </c>
      <c r="AG36" s="3">
        <f>AF36*AP36</f>
        <v>77.625600000000006</v>
      </c>
      <c r="AH36" s="3">
        <f>AG36*3.65</f>
        <v>283.33344</v>
      </c>
      <c r="AI36" s="7">
        <f>AH36/AP36</f>
        <v>91.103999999999999</v>
      </c>
      <c r="AJ36" s="7" t="s">
        <v>763</v>
      </c>
      <c r="AK36" s="7" t="s">
        <v>763</v>
      </c>
      <c r="AL36" s="7" t="s">
        <v>763</v>
      </c>
      <c r="AM36" s="7" t="s">
        <v>763</v>
      </c>
      <c r="AN36" s="7" t="s">
        <v>763</v>
      </c>
      <c r="AO36" s="8">
        <v>3.11</v>
      </c>
      <c r="AP36" s="8">
        <v>3.11</v>
      </c>
      <c r="AQ36" s="7" t="s">
        <v>763</v>
      </c>
      <c r="AR36" s="7" t="s">
        <v>2013</v>
      </c>
      <c r="AS36" s="7" t="s">
        <v>763</v>
      </c>
    </row>
    <row r="37" spans="1:45" s="37" customFormat="1" x14ac:dyDescent="0.35">
      <c r="A37" s="4">
        <v>28</v>
      </c>
      <c r="B37" t="s">
        <v>210</v>
      </c>
      <c r="C37" t="s">
        <v>212</v>
      </c>
      <c r="D37" s="3" t="s">
        <v>751</v>
      </c>
      <c r="E37" s="4">
        <v>2024</v>
      </c>
      <c r="F37" s="3" t="s">
        <v>2150</v>
      </c>
      <c r="G37" s="3" t="s">
        <v>753</v>
      </c>
      <c r="H37" s="3" t="s">
        <v>754</v>
      </c>
      <c r="I37" s="3">
        <v>11.266667</v>
      </c>
      <c r="J37" s="3">
        <v>36.833333000000003</v>
      </c>
      <c r="K37" t="s">
        <v>1193</v>
      </c>
      <c r="L37" s="3" t="s">
        <v>1102</v>
      </c>
      <c r="M37" s="3" t="s">
        <v>2077</v>
      </c>
      <c r="N37" s="3">
        <v>1578</v>
      </c>
      <c r="O37" s="3">
        <v>17</v>
      </c>
      <c r="P37" s="3" t="s">
        <v>1016</v>
      </c>
      <c r="Q37" s="3" t="s">
        <v>763</v>
      </c>
      <c r="R37" s="3" t="s">
        <v>2167</v>
      </c>
      <c r="S37" s="3" t="s">
        <v>787</v>
      </c>
      <c r="T37" s="19" t="s">
        <v>865</v>
      </c>
      <c r="U37" s="3" t="s">
        <v>764</v>
      </c>
      <c r="V37" s="3" t="s">
        <v>2026</v>
      </c>
      <c r="W37" s="3" t="s">
        <v>766</v>
      </c>
      <c r="X37" s="3" t="s">
        <v>787</v>
      </c>
      <c r="Y37" s="3" t="s">
        <v>763</v>
      </c>
      <c r="Z37" s="3" t="s">
        <v>763</v>
      </c>
      <c r="AA37" s="3" t="s">
        <v>763</v>
      </c>
      <c r="AB37" s="3" t="s">
        <v>763</v>
      </c>
      <c r="AC37" s="3" t="s">
        <v>763</v>
      </c>
      <c r="AD37" s="3" t="s">
        <v>768</v>
      </c>
      <c r="AE37" s="7" t="s">
        <v>2148</v>
      </c>
      <c r="AF37" s="7">
        <v>77.38</v>
      </c>
      <c r="AG37" s="3">
        <f>AF37*AP37</f>
        <v>223.62819999999999</v>
      </c>
      <c r="AH37" s="3">
        <f>AG37*3.65</f>
        <v>816.24293</v>
      </c>
      <c r="AI37" s="7">
        <f>AH37/AP37</f>
        <v>282.43700000000001</v>
      </c>
      <c r="AJ37" s="7" t="s">
        <v>763</v>
      </c>
      <c r="AK37" s="7" t="s">
        <v>763</v>
      </c>
      <c r="AL37" s="7" t="s">
        <v>763</v>
      </c>
      <c r="AM37" s="7" t="s">
        <v>763</v>
      </c>
      <c r="AN37" s="7" t="s">
        <v>763</v>
      </c>
      <c r="AO37" s="8">
        <v>2.89</v>
      </c>
      <c r="AP37" s="8">
        <v>2.89</v>
      </c>
      <c r="AQ37" s="7" t="s">
        <v>763</v>
      </c>
      <c r="AR37" s="7" t="s">
        <v>2013</v>
      </c>
      <c r="AS37" s="7" t="s">
        <v>763</v>
      </c>
    </row>
    <row r="38" spans="1:45" x14ac:dyDescent="0.35">
      <c r="A38" s="4">
        <v>28</v>
      </c>
      <c r="B38" t="s">
        <v>210</v>
      </c>
      <c r="C38" t="s">
        <v>212</v>
      </c>
      <c r="D38" s="3" t="s">
        <v>751</v>
      </c>
      <c r="E38" s="4">
        <v>2024</v>
      </c>
      <c r="F38" s="3" t="s">
        <v>2151</v>
      </c>
      <c r="G38" s="3" t="s">
        <v>753</v>
      </c>
      <c r="H38" s="3" t="s">
        <v>754</v>
      </c>
      <c r="I38" s="3">
        <v>11.266667</v>
      </c>
      <c r="J38" s="3">
        <v>36.833333000000003</v>
      </c>
      <c r="K38" t="s">
        <v>1193</v>
      </c>
      <c r="L38" s="3" t="s">
        <v>1102</v>
      </c>
      <c r="M38" s="3" t="s">
        <v>2077</v>
      </c>
      <c r="N38" s="3">
        <v>1578</v>
      </c>
      <c r="O38" s="3">
        <v>17</v>
      </c>
      <c r="P38" s="3" t="s">
        <v>1016</v>
      </c>
      <c r="Q38" s="3" t="s">
        <v>763</v>
      </c>
      <c r="R38" s="3" t="s">
        <v>2167</v>
      </c>
      <c r="S38" s="3" t="s">
        <v>787</v>
      </c>
      <c r="T38" s="19" t="s">
        <v>1238</v>
      </c>
      <c r="U38" s="3" t="s">
        <v>764</v>
      </c>
      <c r="V38" s="3" t="s">
        <v>2026</v>
      </c>
      <c r="W38" s="3" t="s">
        <v>766</v>
      </c>
      <c r="X38" s="3" t="s">
        <v>787</v>
      </c>
      <c r="Y38" s="3" t="s">
        <v>763</v>
      </c>
      <c r="Z38" s="3" t="s">
        <v>763</v>
      </c>
      <c r="AA38" s="3" t="s">
        <v>763</v>
      </c>
      <c r="AB38" s="3" t="s">
        <v>763</v>
      </c>
      <c r="AC38" s="3" t="s">
        <v>763</v>
      </c>
      <c r="AD38" s="3" t="s">
        <v>768</v>
      </c>
      <c r="AE38" s="7" t="s">
        <v>2147</v>
      </c>
      <c r="AF38" s="7">
        <v>46.13</v>
      </c>
      <c r="AG38" s="3">
        <f>AF38*AP38</f>
        <v>178.06180000000001</v>
      </c>
      <c r="AH38" s="3">
        <f>AG38*3.65</f>
        <v>649.92556999999999</v>
      </c>
      <c r="AI38" s="7">
        <f>AH38/AP38</f>
        <v>168.37450000000001</v>
      </c>
      <c r="AJ38" s="7" t="s">
        <v>763</v>
      </c>
      <c r="AK38" s="7" t="s">
        <v>763</v>
      </c>
      <c r="AL38" s="7" t="s">
        <v>763</v>
      </c>
      <c r="AM38" s="7" t="s">
        <v>763</v>
      </c>
      <c r="AN38" s="7" t="s">
        <v>763</v>
      </c>
      <c r="AO38" s="8">
        <v>3.86</v>
      </c>
      <c r="AP38" s="8">
        <v>3.86</v>
      </c>
      <c r="AQ38" s="7" t="s">
        <v>763</v>
      </c>
      <c r="AR38" s="7" t="s">
        <v>2013</v>
      </c>
      <c r="AS38" s="7" t="s">
        <v>763</v>
      </c>
    </row>
    <row r="39" spans="1:45" x14ac:dyDescent="0.35">
      <c r="A39" s="12">
        <v>28</v>
      </c>
      <c r="B39" s="37" t="s">
        <v>210</v>
      </c>
      <c r="C39" s="37" t="s">
        <v>212</v>
      </c>
      <c r="D39" s="12" t="s">
        <v>751</v>
      </c>
      <c r="E39" s="12">
        <v>2024</v>
      </c>
      <c r="F39" s="12" t="s">
        <v>1900</v>
      </c>
      <c r="G39" s="12" t="s">
        <v>753</v>
      </c>
      <c r="H39" s="12" t="s">
        <v>754</v>
      </c>
      <c r="I39" s="12">
        <v>11.266667</v>
      </c>
      <c r="J39" s="12">
        <v>36.833333000000003</v>
      </c>
      <c r="K39" s="37" t="s">
        <v>1193</v>
      </c>
      <c r="L39" s="12" t="s">
        <v>1102</v>
      </c>
      <c r="M39" s="12" t="s">
        <v>2077</v>
      </c>
      <c r="N39" s="12">
        <v>1578</v>
      </c>
      <c r="O39" s="12">
        <v>17</v>
      </c>
      <c r="P39" s="12" t="s">
        <v>1016</v>
      </c>
      <c r="Q39" s="12" t="s">
        <v>763</v>
      </c>
      <c r="R39" s="12" t="s">
        <v>2167</v>
      </c>
      <c r="S39" s="12" t="s">
        <v>787</v>
      </c>
      <c r="T39" s="37" t="s">
        <v>1986</v>
      </c>
      <c r="U39" s="12" t="s">
        <v>764</v>
      </c>
      <c r="V39" s="12" t="s">
        <v>2026</v>
      </c>
      <c r="W39" s="12" t="s">
        <v>766</v>
      </c>
      <c r="X39" s="12" t="s">
        <v>787</v>
      </c>
      <c r="Y39" s="12" t="s">
        <v>763</v>
      </c>
      <c r="Z39" s="12" t="s">
        <v>763</v>
      </c>
      <c r="AA39" s="12" t="s">
        <v>763</v>
      </c>
      <c r="AB39" s="12" t="s">
        <v>763</v>
      </c>
      <c r="AC39" s="12" t="s">
        <v>763</v>
      </c>
      <c r="AD39" s="12" t="s">
        <v>768</v>
      </c>
      <c r="AE39" s="13" t="s">
        <v>1196</v>
      </c>
      <c r="AF39" s="13" t="s">
        <v>1196</v>
      </c>
      <c r="AG39" s="13" t="s">
        <v>763</v>
      </c>
      <c r="AH39" s="13" t="s">
        <v>763</v>
      </c>
      <c r="AI39" s="13" t="s">
        <v>763</v>
      </c>
      <c r="AJ39" s="13" t="s">
        <v>763</v>
      </c>
      <c r="AK39" s="13" t="s">
        <v>763</v>
      </c>
      <c r="AL39" s="13" t="s">
        <v>763</v>
      </c>
      <c r="AM39" s="13" t="s">
        <v>763</v>
      </c>
      <c r="AN39" s="13" t="s">
        <v>763</v>
      </c>
      <c r="AO39" s="14" t="s">
        <v>1194</v>
      </c>
      <c r="AP39" s="14" t="s">
        <v>1194</v>
      </c>
      <c r="AQ39" s="13" t="s">
        <v>763</v>
      </c>
      <c r="AR39" s="13" t="s">
        <v>2013</v>
      </c>
      <c r="AS39" s="13" t="s">
        <v>763</v>
      </c>
    </row>
    <row r="40" spans="1:45" x14ac:dyDescent="0.35">
      <c r="A40" s="3">
        <v>8</v>
      </c>
      <c r="B40" s="3" t="s">
        <v>871</v>
      </c>
      <c r="C40" s="3" t="s">
        <v>872</v>
      </c>
      <c r="D40" s="3" t="s">
        <v>873</v>
      </c>
      <c r="E40" s="3">
        <v>2018</v>
      </c>
      <c r="F40" s="3" t="s">
        <v>1894</v>
      </c>
      <c r="G40" s="3" t="s">
        <v>753</v>
      </c>
      <c r="H40" s="3" t="s">
        <v>754</v>
      </c>
      <c r="I40" s="3">
        <v>20.143651999999999</v>
      </c>
      <c r="J40" s="3">
        <v>-75.202138000000005</v>
      </c>
      <c r="K40" s="3" t="s">
        <v>877</v>
      </c>
      <c r="L40" s="3" t="s">
        <v>878</v>
      </c>
      <c r="M40" s="3" t="s">
        <v>2095</v>
      </c>
      <c r="N40" s="3">
        <v>851.1</v>
      </c>
      <c r="O40" s="3">
        <v>26.5</v>
      </c>
      <c r="P40" s="3" t="s">
        <v>881</v>
      </c>
      <c r="Q40" s="3" t="s">
        <v>763</v>
      </c>
      <c r="R40" s="3" t="s">
        <v>2166</v>
      </c>
      <c r="S40" s="3" t="s">
        <v>787</v>
      </c>
      <c r="T40" s="3" t="s">
        <v>1031</v>
      </c>
      <c r="U40" s="3" t="s">
        <v>764</v>
      </c>
      <c r="V40" s="3" t="s">
        <v>2025</v>
      </c>
      <c r="W40" s="3" t="s">
        <v>766</v>
      </c>
      <c r="X40" s="3" t="s">
        <v>826</v>
      </c>
      <c r="Y40" s="3" t="s">
        <v>763</v>
      </c>
      <c r="Z40" s="3" t="s">
        <v>763</v>
      </c>
      <c r="AA40" s="3" t="s">
        <v>763</v>
      </c>
      <c r="AB40" s="3" t="s">
        <v>763</v>
      </c>
      <c r="AC40" s="3" t="s">
        <v>763</v>
      </c>
      <c r="AD40" s="3" t="s">
        <v>768</v>
      </c>
      <c r="AE40" s="3" t="s">
        <v>883</v>
      </c>
      <c r="AF40" s="3">
        <f>AG40/AO40</f>
        <v>394.47546856501481</v>
      </c>
      <c r="AG40" s="3">
        <v>76968.87</v>
      </c>
      <c r="AH40" s="3">
        <f>AG40*3.65</f>
        <v>280936.37549999997</v>
      </c>
      <c r="AI40" s="3">
        <f>AH40/AP40</f>
        <v>1439.835460262304</v>
      </c>
      <c r="AJ40" s="4" t="s">
        <v>884</v>
      </c>
      <c r="AK40" s="4">
        <f>AL40/AP40</f>
        <v>717.51820702450323</v>
      </c>
      <c r="AL40" s="4">
        <v>140000</v>
      </c>
      <c r="AM40" s="4">
        <f>107650/AP40</f>
        <v>551.72024990134128</v>
      </c>
      <c r="AN40" s="4">
        <f>32320/AP40</f>
        <v>165.64420322165677</v>
      </c>
      <c r="AO40" s="3">
        <v>195.11699999999999</v>
      </c>
      <c r="AP40" s="3">
        <v>195.11699999999999</v>
      </c>
      <c r="AQ40" s="3" t="s">
        <v>763</v>
      </c>
      <c r="AR40" s="3" t="s">
        <v>886</v>
      </c>
      <c r="AS40" s="3" t="s">
        <v>2043</v>
      </c>
    </row>
    <row r="41" spans="1:45" s="37" customFormat="1" x14ac:dyDescent="0.35">
      <c r="A41" s="3">
        <v>29</v>
      </c>
      <c r="B41" t="s">
        <v>235</v>
      </c>
      <c r="C41" t="s">
        <v>237</v>
      </c>
      <c r="D41" s="3" t="s">
        <v>751</v>
      </c>
      <c r="E41" s="3">
        <v>2021</v>
      </c>
      <c r="F41" s="27">
        <v>42401</v>
      </c>
      <c r="G41" s="3" t="s">
        <v>753</v>
      </c>
      <c r="H41" s="3" t="s">
        <v>754</v>
      </c>
      <c r="I41" s="3">
        <v>10.775556</v>
      </c>
      <c r="J41" s="3">
        <v>106.701944</v>
      </c>
      <c r="K41" t="s">
        <v>1204</v>
      </c>
      <c r="L41" s="3" t="s">
        <v>1202</v>
      </c>
      <c r="M41" s="3" t="s">
        <v>2095</v>
      </c>
      <c r="N41" s="3">
        <v>1909</v>
      </c>
      <c r="O41" s="3">
        <v>27</v>
      </c>
      <c r="P41" s="3" t="s">
        <v>1016</v>
      </c>
      <c r="Q41" t="s">
        <v>1113</v>
      </c>
      <c r="R41" s="3" t="s">
        <v>1560</v>
      </c>
      <c r="S41" s="3" t="s">
        <v>787</v>
      </c>
      <c r="T41" s="29" t="s">
        <v>1235</v>
      </c>
      <c r="U41" s="3" t="s">
        <v>1205</v>
      </c>
      <c r="V41" t="s">
        <v>1744</v>
      </c>
      <c r="W41" s="3" t="s">
        <v>2165</v>
      </c>
      <c r="X41" s="3" t="s">
        <v>787</v>
      </c>
      <c r="Y41" s="3" t="s">
        <v>2170</v>
      </c>
      <c r="Z41" s="3">
        <f>AB41/3.65</f>
        <v>8473277</v>
      </c>
      <c r="AA41" s="3">
        <f>AC41/3.65</f>
        <v>40.445043221750737</v>
      </c>
      <c r="AB41" s="3">
        <v>30927461.050000001</v>
      </c>
      <c r="AC41" s="3">
        <f>AB41/AP41</f>
        <v>147.62440775939018</v>
      </c>
      <c r="AD41" s="3" t="s">
        <v>789</v>
      </c>
      <c r="AE41" s="7" t="s">
        <v>763</v>
      </c>
      <c r="AF41" s="7" t="s">
        <v>763</v>
      </c>
      <c r="AG41" s="7" t="s">
        <v>763</v>
      </c>
      <c r="AH41" s="7" t="s">
        <v>763</v>
      </c>
      <c r="AI41" s="7" t="s">
        <v>763</v>
      </c>
      <c r="AJ41" s="7" t="s">
        <v>763</v>
      </c>
      <c r="AK41" s="7" t="s">
        <v>763</v>
      </c>
      <c r="AL41" s="7" t="s">
        <v>763</v>
      </c>
      <c r="AM41" s="7" t="s">
        <v>763</v>
      </c>
      <c r="AN41" s="7" t="s">
        <v>763</v>
      </c>
      <c r="AO41" s="30" t="s">
        <v>2197</v>
      </c>
      <c r="AP41" s="30">
        <v>209501</v>
      </c>
      <c r="AQ41" s="7" t="s">
        <v>763</v>
      </c>
      <c r="AR41" s="7" t="s">
        <v>763</v>
      </c>
      <c r="AS41" s="7" t="s">
        <v>763</v>
      </c>
    </row>
    <row r="42" spans="1:45" x14ac:dyDescent="0.35">
      <c r="A42" s="3">
        <v>30</v>
      </c>
      <c r="B42" t="s">
        <v>254</v>
      </c>
      <c r="C42" t="s">
        <v>256</v>
      </c>
      <c r="D42" s="3" t="s">
        <v>751</v>
      </c>
      <c r="E42" s="3">
        <v>2017</v>
      </c>
      <c r="F42" s="3">
        <v>2007</v>
      </c>
      <c r="G42" s="3" t="s">
        <v>753</v>
      </c>
      <c r="H42" s="3" t="s">
        <v>754</v>
      </c>
      <c r="I42" s="3">
        <v>6.2319440000000004</v>
      </c>
      <c r="J42" s="3">
        <v>-75.568055999999999</v>
      </c>
      <c r="K42" t="s">
        <v>1214</v>
      </c>
      <c r="L42" s="3" t="s">
        <v>1213</v>
      </c>
      <c r="M42" s="3" t="s">
        <v>2094</v>
      </c>
      <c r="N42">
        <v>1687</v>
      </c>
      <c r="O42">
        <v>22.5</v>
      </c>
      <c r="P42" s="3" t="s">
        <v>763</v>
      </c>
      <c r="Q42" s="3" t="s">
        <v>763</v>
      </c>
      <c r="R42" s="3" t="s">
        <v>2166</v>
      </c>
      <c r="S42" s="3" t="s">
        <v>787</v>
      </c>
      <c r="T42" s="3" t="s">
        <v>1031</v>
      </c>
      <c r="U42" s="8" t="s">
        <v>1222</v>
      </c>
      <c r="V42" s="29" t="s">
        <v>2032</v>
      </c>
      <c r="W42" s="3" t="s">
        <v>766</v>
      </c>
      <c r="X42" s="3" t="s">
        <v>787</v>
      </c>
      <c r="Y42" t="s">
        <v>1221</v>
      </c>
      <c r="Z42" s="3">
        <f>AB42/3.65</f>
        <v>569.04109589041093</v>
      </c>
      <c r="AA42" s="3">
        <f>AC42/3.65</f>
        <v>0.2643014843894152</v>
      </c>
      <c r="AB42">
        <v>2077</v>
      </c>
      <c r="AC42" s="3">
        <f>AB42/AP42</f>
        <v>0.96470041802136552</v>
      </c>
      <c r="AD42" s="3" t="s">
        <v>768</v>
      </c>
      <c r="AE42" s="7" t="s">
        <v>1220</v>
      </c>
      <c r="AF42" s="7">
        <f>AG42/AP42</f>
        <v>13.211256672753533</v>
      </c>
      <c r="AG42" s="7">
        <f>AH42/3.65</f>
        <v>28443.835616438359</v>
      </c>
      <c r="AH42" s="7">
        <v>103820</v>
      </c>
      <c r="AI42" s="7">
        <f>AH42/AP42</f>
        <v>48.221086855550396</v>
      </c>
      <c r="AJ42" s="7" t="s">
        <v>763</v>
      </c>
      <c r="AK42" s="7" t="s">
        <v>763</v>
      </c>
      <c r="AL42" s="7" t="s">
        <v>763</v>
      </c>
      <c r="AM42" s="7" t="s">
        <v>763</v>
      </c>
      <c r="AN42" s="7" t="s">
        <v>763</v>
      </c>
      <c r="AO42">
        <v>2153</v>
      </c>
      <c r="AP42">
        <v>2153</v>
      </c>
      <c r="AQ42" s="7" t="s">
        <v>763</v>
      </c>
      <c r="AR42" s="7" t="s">
        <v>2014</v>
      </c>
      <c r="AS42" t="s">
        <v>2048</v>
      </c>
    </row>
    <row r="43" spans="1:45" x14ac:dyDescent="0.35">
      <c r="A43" s="3">
        <v>68</v>
      </c>
      <c r="B43" s="8" t="s">
        <v>1759</v>
      </c>
      <c r="C43" s="8" t="s">
        <v>1760</v>
      </c>
      <c r="D43" s="7" t="s">
        <v>751</v>
      </c>
      <c r="E43" s="7">
        <v>2016</v>
      </c>
      <c r="F43" s="33" t="s">
        <v>1767</v>
      </c>
      <c r="G43" s="7" t="s">
        <v>795</v>
      </c>
      <c r="H43" s="7" t="s">
        <v>776</v>
      </c>
      <c r="I43" s="3">
        <v>-6.5590339999999996</v>
      </c>
      <c r="J43" s="3">
        <v>106.725227</v>
      </c>
      <c r="K43" s="30" t="s">
        <v>1757</v>
      </c>
      <c r="L43" s="8" t="s">
        <v>832</v>
      </c>
      <c r="M43" s="7" t="s">
        <v>2082</v>
      </c>
      <c r="N43" s="8">
        <v>374.3</v>
      </c>
      <c r="O43" s="8">
        <v>25</v>
      </c>
      <c r="P43" s="7" t="s">
        <v>2080</v>
      </c>
      <c r="Q43" s="8" t="s">
        <v>1768</v>
      </c>
      <c r="R43" t="s">
        <v>1560</v>
      </c>
      <c r="S43" s="7" t="s">
        <v>762</v>
      </c>
      <c r="T43" s="7" t="s">
        <v>865</v>
      </c>
      <c r="U43" s="7" t="s">
        <v>1987</v>
      </c>
      <c r="V43" s="8" t="s">
        <v>2037</v>
      </c>
      <c r="W43" s="7" t="s">
        <v>766</v>
      </c>
      <c r="X43" s="7" t="s">
        <v>787</v>
      </c>
      <c r="Y43" s="7" t="s">
        <v>763</v>
      </c>
      <c r="Z43" s="7" t="s">
        <v>763</v>
      </c>
      <c r="AA43" s="7" t="s">
        <v>763</v>
      </c>
      <c r="AB43" s="7" t="s">
        <v>763</v>
      </c>
      <c r="AC43" s="7" t="s">
        <v>763</v>
      </c>
      <c r="AD43" s="7" t="s">
        <v>789</v>
      </c>
      <c r="AE43" s="8" t="s">
        <v>1761</v>
      </c>
      <c r="AF43" s="8">
        <v>27.36</v>
      </c>
      <c r="AG43" s="8">
        <f>((1989*21096.98)+(1999*15653.6)+(2009*16771.36)+(2014*7031.57))/(1989+1999+2009+2014)</f>
        <v>15117.798507052805</v>
      </c>
      <c r="AH43" s="8">
        <f t="shared" ref="AH43:AH50" si="2">AG43*3.65</f>
        <v>55179.964550742734</v>
      </c>
      <c r="AI43" s="8">
        <f>AF43*3.65</f>
        <v>99.86399999999999</v>
      </c>
      <c r="AJ43" s="7" t="s">
        <v>1762</v>
      </c>
      <c r="AK43" s="33">
        <f>AM43+AN43</f>
        <v>72.192800000000005</v>
      </c>
      <c r="AL43" s="8">
        <f>((1989*44887.19)+(1999* 33305.53)+(2009*35683.74)+(2014*14960.79))/(1989+1999+2009+2014)</f>
        <v>32165.527412308074</v>
      </c>
      <c r="AM43" s="7">
        <v>58.22</v>
      </c>
      <c r="AN43" s="33">
        <f>AM43*0.24</f>
        <v>13.972799999999999</v>
      </c>
      <c r="AO43" s="8" t="s">
        <v>1763</v>
      </c>
      <c r="AP43" s="8">
        <v>256.97000000000003</v>
      </c>
      <c r="AQ43" s="8" t="s">
        <v>763</v>
      </c>
      <c r="AR43" s="8" t="s">
        <v>763</v>
      </c>
      <c r="AS43" s="8" t="s">
        <v>763</v>
      </c>
    </row>
    <row r="44" spans="1:45" s="8" customFormat="1" x14ac:dyDescent="0.35">
      <c r="A44" s="7">
        <v>31</v>
      </c>
      <c r="B44" s="8" t="s">
        <v>259</v>
      </c>
      <c r="C44" s="8" t="s">
        <v>261</v>
      </c>
      <c r="D44" s="7" t="s">
        <v>751</v>
      </c>
      <c r="E44" s="7">
        <v>2021</v>
      </c>
      <c r="F44" s="33" t="s">
        <v>1264</v>
      </c>
      <c r="G44" s="7" t="s">
        <v>795</v>
      </c>
      <c r="H44" s="7" t="s">
        <v>754</v>
      </c>
      <c r="I44" s="7">
        <v>22.574999999999999</v>
      </c>
      <c r="J44" s="7">
        <v>90.775000000000006</v>
      </c>
      <c r="K44" s="30" t="s">
        <v>1770</v>
      </c>
      <c r="L44" s="7" t="s">
        <v>985</v>
      </c>
      <c r="M44" s="8" t="s">
        <v>2082</v>
      </c>
      <c r="N44" s="8">
        <v>3207</v>
      </c>
      <c r="O44" s="8">
        <v>26.2</v>
      </c>
      <c r="P44" s="7" t="s">
        <v>763</v>
      </c>
      <c r="Q44" s="8" t="s">
        <v>1113</v>
      </c>
      <c r="R44" s="3" t="s">
        <v>2167</v>
      </c>
      <c r="S44" s="7" t="s">
        <v>787</v>
      </c>
      <c r="T44" s="36" t="s">
        <v>1238</v>
      </c>
      <c r="U44" s="8" t="s">
        <v>1995</v>
      </c>
      <c r="V44" s="8" t="s">
        <v>1744</v>
      </c>
      <c r="W44" s="3" t="s">
        <v>2165</v>
      </c>
      <c r="X44" s="7" t="s">
        <v>787</v>
      </c>
      <c r="Y44" s="7" t="s">
        <v>763</v>
      </c>
      <c r="Z44" s="7" t="s">
        <v>763</v>
      </c>
      <c r="AA44" s="7" t="s">
        <v>763</v>
      </c>
      <c r="AB44" s="7" t="s">
        <v>763</v>
      </c>
      <c r="AC44" s="7" t="s">
        <v>763</v>
      </c>
      <c r="AD44" s="7" t="s">
        <v>768</v>
      </c>
      <c r="AE44" s="8" t="s">
        <v>2072</v>
      </c>
      <c r="AF44" s="7">
        <f>AG44/AP44</f>
        <v>135.75913172250333</v>
      </c>
      <c r="AG44" s="8">
        <f>(((1988*23.85)+(1998*25.23)+(2008*25.01)+(2018*27.15))/(1988+1998+2008+2018))*1000000</f>
        <v>25316040.93859211</v>
      </c>
      <c r="AH44" s="7">
        <f t="shared" si="2"/>
        <v>92403549.425861195</v>
      </c>
      <c r="AI44" s="7">
        <f>AH44/AP44</f>
        <v>495.52083078713713</v>
      </c>
      <c r="AJ44" s="7" t="s">
        <v>763</v>
      </c>
      <c r="AK44" s="7" t="s">
        <v>763</v>
      </c>
      <c r="AL44" s="7" t="s">
        <v>763</v>
      </c>
      <c r="AM44" s="7" t="s">
        <v>763</v>
      </c>
      <c r="AN44" s="7" t="s">
        <v>763</v>
      </c>
      <c r="AO44" s="48" t="s">
        <v>2251</v>
      </c>
      <c r="AP44" s="48">
        <f>((1988*144110)+(1998*178640)+(2008*179820)+(2018*242600))/(1988+1998+2008+2018)</f>
        <v>186477.62855716425</v>
      </c>
      <c r="AQ44" s="7" t="s">
        <v>763</v>
      </c>
      <c r="AR44" s="7" t="s">
        <v>763</v>
      </c>
      <c r="AS44" s="8" t="s">
        <v>763</v>
      </c>
    </row>
    <row r="45" spans="1:45" x14ac:dyDescent="0.35">
      <c r="A45" s="3">
        <v>32</v>
      </c>
      <c r="B45" t="s">
        <v>263</v>
      </c>
      <c r="C45" t="s">
        <v>265</v>
      </c>
      <c r="D45" s="3" t="s">
        <v>751</v>
      </c>
      <c r="E45" s="3">
        <v>2009</v>
      </c>
      <c r="F45" s="3" t="s">
        <v>1901</v>
      </c>
      <c r="G45" s="3" t="s">
        <v>753</v>
      </c>
      <c r="H45" s="3" t="s">
        <v>754</v>
      </c>
      <c r="I45" s="3">
        <v>23.155556000000001</v>
      </c>
      <c r="J45" s="3">
        <v>77.366944000000004</v>
      </c>
      <c r="K45" t="s">
        <v>1012</v>
      </c>
      <c r="L45" s="3" t="s">
        <v>756</v>
      </c>
      <c r="M45" s="3" t="s">
        <v>2092</v>
      </c>
      <c r="N45" s="3">
        <v>1074</v>
      </c>
      <c r="O45" s="3">
        <v>25.3</v>
      </c>
      <c r="P45" s="3" t="s">
        <v>948</v>
      </c>
      <c r="Q45" s="3" t="s">
        <v>763</v>
      </c>
      <c r="R45" s="3" t="s">
        <v>2167</v>
      </c>
      <c r="S45" s="3" t="s">
        <v>787</v>
      </c>
      <c r="T45" s="3" t="s">
        <v>1238</v>
      </c>
      <c r="U45" s="7" t="s">
        <v>764</v>
      </c>
      <c r="V45" s="8" t="s">
        <v>2026</v>
      </c>
      <c r="W45" s="3" t="s">
        <v>766</v>
      </c>
      <c r="X45" s="3" t="s">
        <v>787</v>
      </c>
      <c r="Y45" s="3" t="s">
        <v>763</v>
      </c>
      <c r="Z45" s="3" t="s">
        <v>763</v>
      </c>
      <c r="AA45" s="3" t="s">
        <v>763</v>
      </c>
      <c r="AB45" s="3" t="s">
        <v>763</v>
      </c>
      <c r="AC45" s="3" t="s">
        <v>763</v>
      </c>
      <c r="AD45" s="3" t="s">
        <v>789</v>
      </c>
      <c r="AE45" t="s">
        <v>1244</v>
      </c>
      <c r="AF45">
        <v>12.544</v>
      </c>
      <c r="AG45">
        <v>6.6020000000000003</v>
      </c>
      <c r="AH45" s="7">
        <f t="shared" si="2"/>
        <v>24.097300000000001</v>
      </c>
      <c r="AI45" s="7">
        <f>AH45/AP45</f>
        <v>1.5456895445798589E-2</v>
      </c>
      <c r="AJ45" s="7" t="s">
        <v>763</v>
      </c>
      <c r="AK45" s="7" t="s">
        <v>763</v>
      </c>
      <c r="AL45" s="7" t="s">
        <v>763</v>
      </c>
      <c r="AM45" s="7" t="s">
        <v>763</v>
      </c>
      <c r="AN45" s="7" t="s">
        <v>763</v>
      </c>
      <c r="AO45">
        <v>1559</v>
      </c>
      <c r="AP45">
        <v>1559</v>
      </c>
      <c r="AQ45" s="7" t="s">
        <v>763</v>
      </c>
      <c r="AR45" s="8" t="s">
        <v>2271</v>
      </c>
      <c r="AS45" t="s">
        <v>2049</v>
      </c>
    </row>
    <row r="46" spans="1:45" x14ac:dyDescent="0.35">
      <c r="A46" s="3">
        <v>33</v>
      </c>
      <c r="B46" t="s">
        <v>268</v>
      </c>
      <c r="C46" t="s">
        <v>270</v>
      </c>
      <c r="D46" s="3" t="s">
        <v>751</v>
      </c>
      <c r="E46" s="3">
        <v>2024</v>
      </c>
      <c r="F46" s="3" t="s">
        <v>763</v>
      </c>
      <c r="G46" s="3" t="s">
        <v>753</v>
      </c>
      <c r="H46" s="3" t="s">
        <v>754</v>
      </c>
      <c r="I46" s="3">
        <v>16.478860999999998</v>
      </c>
      <c r="J46" s="3">
        <v>120.586167</v>
      </c>
      <c r="K46" t="s">
        <v>1250</v>
      </c>
      <c r="L46" s="3" t="s">
        <v>1112</v>
      </c>
      <c r="M46" s="8" t="s">
        <v>2082</v>
      </c>
      <c r="N46" s="3">
        <v>3463</v>
      </c>
      <c r="O46" s="3">
        <v>21.1</v>
      </c>
      <c r="P46" s="3" t="s">
        <v>763</v>
      </c>
      <c r="Q46" s="3" t="s">
        <v>763</v>
      </c>
      <c r="R46" s="3" t="s">
        <v>2167</v>
      </c>
      <c r="S46" s="3" t="s">
        <v>787</v>
      </c>
      <c r="T46" s="3" t="s">
        <v>1238</v>
      </c>
      <c r="U46" s="7" t="s">
        <v>1996</v>
      </c>
      <c r="V46" t="s">
        <v>2031</v>
      </c>
      <c r="W46" s="3" t="s">
        <v>766</v>
      </c>
      <c r="X46" s="3" t="s">
        <v>787</v>
      </c>
      <c r="Y46" s="3" t="s">
        <v>763</v>
      </c>
      <c r="Z46" s="3" t="s">
        <v>763</v>
      </c>
      <c r="AA46" s="3" t="s">
        <v>763</v>
      </c>
      <c r="AB46" s="3" t="s">
        <v>763</v>
      </c>
      <c r="AC46" s="3" t="s">
        <v>763</v>
      </c>
      <c r="AD46" s="3" t="s">
        <v>768</v>
      </c>
      <c r="AE46" t="s">
        <v>1249</v>
      </c>
      <c r="AF46">
        <v>192.54</v>
      </c>
      <c r="AG46">
        <v>6931.44</v>
      </c>
      <c r="AH46" s="7">
        <f t="shared" si="2"/>
        <v>25299.755999999998</v>
      </c>
      <c r="AI46" s="7">
        <f>AH46/AP46</f>
        <v>702.77099999999996</v>
      </c>
      <c r="AJ46" s="3" t="s">
        <v>763</v>
      </c>
      <c r="AK46" s="3" t="s">
        <v>763</v>
      </c>
      <c r="AL46" s="3" t="s">
        <v>763</v>
      </c>
      <c r="AM46" s="3" t="s">
        <v>763</v>
      </c>
      <c r="AN46" s="3" t="s">
        <v>763</v>
      </c>
      <c r="AO46">
        <v>36</v>
      </c>
      <c r="AP46">
        <v>36</v>
      </c>
      <c r="AQ46">
        <v>102</v>
      </c>
      <c r="AR46" t="s">
        <v>2015</v>
      </c>
      <c r="AS46" t="s">
        <v>763</v>
      </c>
    </row>
    <row r="47" spans="1:45" x14ac:dyDescent="0.35">
      <c r="A47" s="3">
        <v>34</v>
      </c>
      <c r="B47" t="s">
        <v>273</v>
      </c>
      <c r="C47" t="s">
        <v>275</v>
      </c>
      <c r="D47" s="3" t="s">
        <v>751</v>
      </c>
      <c r="E47" s="3">
        <v>2023</v>
      </c>
      <c r="F47" s="3">
        <v>2017</v>
      </c>
      <c r="G47" s="3" t="s">
        <v>753</v>
      </c>
      <c r="H47" s="3" t="s">
        <v>754</v>
      </c>
      <c r="I47" s="3">
        <v>23.2</v>
      </c>
      <c r="J47" s="3">
        <v>83.033332999999999</v>
      </c>
      <c r="K47" t="s">
        <v>1358</v>
      </c>
      <c r="L47" s="3" t="s">
        <v>756</v>
      </c>
      <c r="M47" s="3" t="s">
        <v>2092</v>
      </c>
      <c r="N47">
        <v>1200</v>
      </c>
      <c r="O47">
        <v>24</v>
      </c>
      <c r="P47" s="3" t="s">
        <v>763</v>
      </c>
      <c r="Q47" s="3" t="s">
        <v>763</v>
      </c>
      <c r="R47" s="3" t="s">
        <v>2166</v>
      </c>
      <c r="S47" s="3" t="s">
        <v>787</v>
      </c>
      <c r="T47" s="3" t="s">
        <v>1031</v>
      </c>
      <c r="U47" s="7" t="s">
        <v>764</v>
      </c>
      <c r="V47" s="7" t="s">
        <v>2031</v>
      </c>
      <c r="W47" s="3" t="s">
        <v>766</v>
      </c>
      <c r="X47" s="3" t="s">
        <v>787</v>
      </c>
      <c r="Y47" s="3" t="s">
        <v>763</v>
      </c>
      <c r="Z47" s="3" t="s">
        <v>763</v>
      </c>
      <c r="AA47" s="3" t="s">
        <v>763</v>
      </c>
      <c r="AB47" s="3" t="s">
        <v>763</v>
      </c>
      <c r="AC47" s="3" t="s">
        <v>763</v>
      </c>
      <c r="AD47" s="3" t="s">
        <v>789</v>
      </c>
      <c r="AE47" t="s">
        <v>2177</v>
      </c>
      <c r="AF47">
        <v>189.85</v>
      </c>
      <c r="AG47">
        <f>AF47*AP47</f>
        <v>422169445</v>
      </c>
      <c r="AH47" s="7">
        <f t="shared" si="2"/>
        <v>1540918474.25</v>
      </c>
      <c r="AI47">
        <v>696.77</v>
      </c>
      <c r="AJ47" s="3" t="s">
        <v>2178</v>
      </c>
      <c r="AK47" s="4">
        <f>AM47+AN47</f>
        <v>390.27760000000001</v>
      </c>
      <c r="AL47" s="4">
        <f>AK47*AP47</f>
        <v>867860299.12</v>
      </c>
      <c r="AM47" s="3">
        <v>314.74</v>
      </c>
      <c r="AN47" s="4">
        <f>AM47*0.24</f>
        <v>75.537599999999998</v>
      </c>
      <c r="AO47">
        <v>2223700</v>
      </c>
      <c r="AP47">
        <v>2223700</v>
      </c>
      <c r="AQ47" t="s">
        <v>763</v>
      </c>
      <c r="AR47" s="8" t="s">
        <v>2272</v>
      </c>
      <c r="AS47" s="8" t="s">
        <v>2273</v>
      </c>
    </row>
    <row r="48" spans="1:45" x14ac:dyDescent="0.35">
      <c r="A48" s="3">
        <v>35</v>
      </c>
      <c r="B48" t="s">
        <v>283</v>
      </c>
      <c r="C48" t="s">
        <v>1158</v>
      </c>
      <c r="D48" s="3" t="s">
        <v>751</v>
      </c>
      <c r="E48" s="3">
        <v>2017</v>
      </c>
      <c r="F48" s="3" t="s">
        <v>763</v>
      </c>
      <c r="G48" s="3" t="s">
        <v>753</v>
      </c>
      <c r="H48" s="3" t="s">
        <v>754</v>
      </c>
      <c r="I48" s="3">
        <v>8.75</v>
      </c>
      <c r="J48" s="3">
        <v>38.65</v>
      </c>
      <c r="K48" t="s">
        <v>1104</v>
      </c>
      <c r="L48" s="3" t="s">
        <v>1102</v>
      </c>
      <c r="M48" s="3" t="s">
        <v>2093</v>
      </c>
      <c r="N48" s="3">
        <v>1874</v>
      </c>
      <c r="O48" s="3">
        <v>15.6</v>
      </c>
      <c r="P48" s="3" t="s">
        <v>763</v>
      </c>
      <c r="Q48" s="3" t="s">
        <v>763</v>
      </c>
      <c r="R48" s="3" t="s">
        <v>2167</v>
      </c>
      <c r="S48" s="3" t="s">
        <v>787</v>
      </c>
      <c r="T48" s="3" t="s">
        <v>1238</v>
      </c>
      <c r="U48" s="7" t="s">
        <v>764</v>
      </c>
      <c r="V48" s="7" t="s">
        <v>2031</v>
      </c>
      <c r="W48" s="3" t="s">
        <v>766</v>
      </c>
      <c r="X48" s="3" t="s">
        <v>787</v>
      </c>
      <c r="Y48" s="3" t="s">
        <v>763</v>
      </c>
      <c r="Z48" s="3" t="s">
        <v>763</v>
      </c>
      <c r="AA48" s="3" t="s">
        <v>763</v>
      </c>
      <c r="AB48" s="3" t="s">
        <v>763</v>
      </c>
      <c r="AC48" s="3" t="s">
        <v>763</v>
      </c>
      <c r="AD48" s="3" t="s">
        <v>768</v>
      </c>
      <c r="AE48" t="s">
        <v>2179</v>
      </c>
      <c r="AF48">
        <v>171</v>
      </c>
      <c r="AG48">
        <v>552415</v>
      </c>
      <c r="AH48" s="7">
        <f t="shared" si="2"/>
        <v>2016314.75</v>
      </c>
      <c r="AI48">
        <f>AH48/AP48</f>
        <v>624.82638673690735</v>
      </c>
      <c r="AJ48" s="3" t="s">
        <v>1271</v>
      </c>
      <c r="AK48" s="3">
        <f>AL48/AO48</f>
        <v>342.37682057638676</v>
      </c>
      <c r="AL48" s="3">
        <v>1104850</v>
      </c>
      <c r="AM48" s="3">
        <f>905615/AO48</f>
        <v>280.6368143786799</v>
      </c>
      <c r="AN48" s="3">
        <f>199235/AO48</f>
        <v>61.740006197706848</v>
      </c>
      <c r="AO48">
        <v>3227</v>
      </c>
      <c r="AP48">
        <v>3227</v>
      </c>
      <c r="AQ48" t="s">
        <v>763</v>
      </c>
      <c r="AR48" s="8" t="s">
        <v>1274</v>
      </c>
      <c r="AS48" t="s">
        <v>2051</v>
      </c>
    </row>
    <row r="49" spans="1:45" x14ac:dyDescent="0.35">
      <c r="A49" s="3">
        <v>36</v>
      </c>
      <c r="B49" t="s">
        <v>292</v>
      </c>
      <c r="C49" t="s">
        <v>294</v>
      </c>
      <c r="D49" s="3" t="s">
        <v>751</v>
      </c>
      <c r="E49" s="3">
        <v>2021</v>
      </c>
      <c r="F49" s="4" t="s">
        <v>1282</v>
      </c>
      <c r="G49" s="3" t="s">
        <v>795</v>
      </c>
      <c r="H49" s="3" t="s">
        <v>754</v>
      </c>
      <c r="I49" s="3">
        <v>6.6678009999999999</v>
      </c>
      <c r="J49" s="3">
        <v>2.1480250000000001</v>
      </c>
      <c r="K49" t="s">
        <v>1788</v>
      </c>
      <c r="L49" s="3" t="s">
        <v>1280</v>
      </c>
      <c r="M49" s="3" t="s">
        <v>2095</v>
      </c>
      <c r="N49" s="3">
        <v>1353</v>
      </c>
      <c r="O49" s="3">
        <v>26.3</v>
      </c>
      <c r="P49" s="3" t="s">
        <v>763</v>
      </c>
      <c r="Q49" s="3" t="s">
        <v>1883</v>
      </c>
      <c r="R49" s="3" t="s">
        <v>2167</v>
      </c>
      <c r="S49" s="3" t="s">
        <v>787</v>
      </c>
      <c r="T49" s="3" t="s">
        <v>1235</v>
      </c>
      <c r="U49" s="7" t="s">
        <v>1281</v>
      </c>
      <c r="V49" t="s">
        <v>1744</v>
      </c>
      <c r="W49" s="3" t="s">
        <v>2165</v>
      </c>
      <c r="X49" s="3" t="s">
        <v>787</v>
      </c>
      <c r="Y49" s="3" t="s">
        <v>763</v>
      </c>
      <c r="Z49" s="3" t="s">
        <v>763</v>
      </c>
      <c r="AA49" s="3" t="s">
        <v>763</v>
      </c>
      <c r="AB49" s="3" t="s">
        <v>763</v>
      </c>
      <c r="AC49" s="3" t="s">
        <v>763</v>
      </c>
      <c r="AD49" s="3" t="s">
        <v>768</v>
      </c>
      <c r="AE49" s="8" t="s">
        <v>2343</v>
      </c>
      <c r="AF49" s="8">
        <f>AG49/AP49</f>
        <v>48.628631487168207</v>
      </c>
      <c r="AG49" s="8">
        <f>(((1752*12511)+(1491*19106)+(171*612))/(12511+19106+612))*1000</f>
        <v>1567252.1641999441</v>
      </c>
      <c r="AH49" s="7">
        <f t="shared" si="2"/>
        <v>5720470.3993297955</v>
      </c>
      <c r="AI49">
        <f>AH49/AP49</f>
        <v>177.49450492816393</v>
      </c>
      <c r="AJ49" s="7" t="s">
        <v>2345</v>
      </c>
      <c r="AK49" s="7">
        <f>AM49+AN49</f>
        <v>105.88463805889106</v>
      </c>
      <c r="AL49" s="7">
        <f>AK49*AP49</f>
        <v>3412556</v>
      </c>
      <c r="AM49" s="7">
        <f>((113*12511)+(63*19106)+(225*612))/(12511+19106+612)</f>
        <v>85.485773682087554</v>
      </c>
      <c r="AN49" s="7">
        <f>((27*12511)+(15*19106)+(54*612))/(12511+19106+612)</f>
        <v>20.398864376803498</v>
      </c>
      <c r="AO49" s="8">
        <v>612</v>
      </c>
      <c r="AP49" s="8">
        <f>12511+19106+612</f>
        <v>32229</v>
      </c>
      <c r="AQ49" t="s">
        <v>763</v>
      </c>
      <c r="AR49" s="8" t="s">
        <v>2016</v>
      </c>
      <c r="AS49" t="s">
        <v>763</v>
      </c>
    </row>
    <row r="50" spans="1:45" x14ac:dyDescent="0.35">
      <c r="A50" s="3">
        <v>36</v>
      </c>
      <c r="B50" t="s">
        <v>292</v>
      </c>
      <c r="C50" t="s">
        <v>294</v>
      </c>
      <c r="D50" s="3" t="s">
        <v>751</v>
      </c>
      <c r="E50" s="3">
        <v>2022</v>
      </c>
      <c r="F50" s="4" t="s">
        <v>1282</v>
      </c>
      <c r="G50" s="3" t="s">
        <v>795</v>
      </c>
      <c r="H50" s="3" t="s">
        <v>754</v>
      </c>
      <c r="I50" s="3">
        <v>6.6678009999999999</v>
      </c>
      <c r="J50" s="3">
        <v>2.1480250000000001</v>
      </c>
      <c r="K50" t="s">
        <v>1788</v>
      </c>
      <c r="L50" s="3" t="s">
        <v>1280</v>
      </c>
      <c r="M50" s="3" t="s">
        <v>2095</v>
      </c>
      <c r="N50" s="3">
        <v>1353</v>
      </c>
      <c r="O50" s="3">
        <v>26.3</v>
      </c>
      <c r="P50" s="3" t="s">
        <v>763</v>
      </c>
      <c r="Q50" s="3" t="s">
        <v>1883</v>
      </c>
      <c r="R50" s="19" t="s">
        <v>2118</v>
      </c>
      <c r="S50" s="3" t="s">
        <v>787</v>
      </c>
      <c r="T50" s="3" t="s">
        <v>1235</v>
      </c>
      <c r="U50" s="7" t="s">
        <v>1281</v>
      </c>
      <c r="V50" t="s">
        <v>1744</v>
      </c>
      <c r="W50" s="3" t="s">
        <v>2165</v>
      </c>
      <c r="X50" s="3" t="s">
        <v>787</v>
      </c>
      <c r="Y50" s="3" t="s">
        <v>763</v>
      </c>
      <c r="Z50" s="3" t="s">
        <v>763</v>
      </c>
      <c r="AA50" s="3" t="s">
        <v>763</v>
      </c>
      <c r="AB50" s="3" t="s">
        <v>763</v>
      </c>
      <c r="AC50" s="3" t="s">
        <v>763</v>
      </c>
      <c r="AD50" s="3" t="s">
        <v>768</v>
      </c>
      <c r="AE50" s="8" t="s">
        <v>2342</v>
      </c>
      <c r="AF50" s="8">
        <f>AG50/AP50</f>
        <v>48.008077841013403</v>
      </c>
      <c r="AG50" s="8">
        <v>523000</v>
      </c>
      <c r="AH50" s="7">
        <f t="shared" si="2"/>
        <v>1908950</v>
      </c>
      <c r="AI50">
        <f>AH50/AP50</f>
        <v>175.22948411969892</v>
      </c>
      <c r="AJ50" s="7" t="s">
        <v>2344</v>
      </c>
      <c r="AK50" s="7">
        <v>48</v>
      </c>
      <c r="AL50" s="7">
        <f>AK50*AP50</f>
        <v>522912</v>
      </c>
      <c r="AM50" s="7">
        <v>39</v>
      </c>
      <c r="AN50" s="7">
        <v>9</v>
      </c>
      <c r="AO50" s="8" t="s">
        <v>2198</v>
      </c>
      <c r="AP50" s="8">
        <v>10894</v>
      </c>
      <c r="AQ50" t="s">
        <v>763</v>
      </c>
      <c r="AR50" s="8" t="s">
        <v>2016</v>
      </c>
      <c r="AS50" t="s">
        <v>763</v>
      </c>
    </row>
    <row r="51" spans="1:45" s="37" customFormat="1" x14ac:dyDescent="0.35">
      <c r="A51" s="12">
        <v>36</v>
      </c>
      <c r="B51" s="37" t="s">
        <v>292</v>
      </c>
      <c r="C51" s="37" t="s">
        <v>294</v>
      </c>
      <c r="D51" s="12" t="s">
        <v>751</v>
      </c>
      <c r="E51" s="12">
        <v>2023</v>
      </c>
      <c r="F51" s="12" t="s">
        <v>1282</v>
      </c>
      <c r="G51" s="12" t="s">
        <v>795</v>
      </c>
      <c r="H51" s="12" t="s">
        <v>754</v>
      </c>
      <c r="I51" s="12">
        <v>6.6678009999999999</v>
      </c>
      <c r="J51" s="12">
        <v>2.1480250000000001</v>
      </c>
      <c r="K51" s="37" t="s">
        <v>1788</v>
      </c>
      <c r="L51" s="12" t="s">
        <v>1280</v>
      </c>
      <c r="M51" s="12" t="s">
        <v>2095</v>
      </c>
      <c r="N51" s="12">
        <v>1353</v>
      </c>
      <c r="O51" s="12">
        <v>26.3</v>
      </c>
      <c r="P51" s="12" t="s">
        <v>763</v>
      </c>
      <c r="Q51" s="12" t="s">
        <v>1883</v>
      </c>
      <c r="R51" s="37" t="s">
        <v>1285</v>
      </c>
      <c r="S51" s="12" t="s">
        <v>787</v>
      </c>
      <c r="T51" s="12" t="s">
        <v>1235</v>
      </c>
      <c r="U51" s="13" t="s">
        <v>1281</v>
      </c>
      <c r="V51" s="37" t="s">
        <v>1744</v>
      </c>
      <c r="W51" s="12" t="s">
        <v>2165</v>
      </c>
      <c r="X51" s="12" t="s">
        <v>787</v>
      </c>
      <c r="Y51" s="12" t="s">
        <v>763</v>
      </c>
      <c r="Z51" s="12" t="s">
        <v>763</v>
      </c>
      <c r="AA51" s="12" t="s">
        <v>763</v>
      </c>
      <c r="AB51" s="12" t="s">
        <v>763</v>
      </c>
      <c r="AC51" s="12" t="s">
        <v>763</v>
      </c>
      <c r="AD51" s="12" t="s">
        <v>768</v>
      </c>
      <c r="AE51" s="14" t="s">
        <v>1283</v>
      </c>
      <c r="AF51" s="14" t="s">
        <v>763</v>
      </c>
      <c r="AG51" s="14" t="s">
        <v>1283</v>
      </c>
      <c r="AH51" s="14" t="s">
        <v>763</v>
      </c>
      <c r="AI51" s="14" t="s">
        <v>763</v>
      </c>
      <c r="AJ51" s="13" t="s">
        <v>1792</v>
      </c>
      <c r="AK51" s="13" t="s">
        <v>1792</v>
      </c>
      <c r="AL51" s="13" t="s">
        <v>763</v>
      </c>
      <c r="AM51" s="13" t="s">
        <v>2193</v>
      </c>
      <c r="AN51" s="13" t="s">
        <v>2194</v>
      </c>
      <c r="AO51" s="14" t="s">
        <v>1286</v>
      </c>
      <c r="AP51" s="14" t="s">
        <v>1286</v>
      </c>
      <c r="AQ51" s="37" t="s">
        <v>763</v>
      </c>
      <c r="AR51" s="14" t="s">
        <v>2016</v>
      </c>
      <c r="AS51" s="37" t="s">
        <v>763</v>
      </c>
    </row>
    <row r="52" spans="1:45" x14ac:dyDescent="0.35">
      <c r="A52" s="3">
        <v>37</v>
      </c>
      <c r="B52" t="s">
        <v>330</v>
      </c>
      <c r="C52" t="s">
        <v>332</v>
      </c>
      <c r="D52" s="3" t="s">
        <v>751</v>
      </c>
      <c r="E52" s="3">
        <v>2016</v>
      </c>
      <c r="F52" s="3">
        <v>2013</v>
      </c>
      <c r="G52" s="3" t="s">
        <v>753</v>
      </c>
      <c r="H52" s="3" t="s">
        <v>754</v>
      </c>
      <c r="I52" s="3">
        <v>19.283332999999999</v>
      </c>
      <c r="J52" s="3">
        <v>-99.183333000000005</v>
      </c>
      <c r="K52" t="s">
        <v>1292</v>
      </c>
      <c r="L52" s="3" t="s">
        <v>1213</v>
      </c>
      <c r="M52" s="3" t="s">
        <v>2088</v>
      </c>
      <c r="N52">
        <v>600</v>
      </c>
      <c r="O52">
        <v>14</v>
      </c>
      <c r="P52" s="3" t="s">
        <v>763</v>
      </c>
      <c r="Q52" s="3" t="s">
        <v>763</v>
      </c>
      <c r="R52" s="3" t="s">
        <v>2167</v>
      </c>
      <c r="S52" s="3" t="s">
        <v>787</v>
      </c>
      <c r="T52" s="3" t="s">
        <v>865</v>
      </c>
      <c r="U52" s="7" t="s">
        <v>764</v>
      </c>
      <c r="V52" s="7" t="s">
        <v>2031</v>
      </c>
      <c r="W52" s="7" t="s">
        <v>766</v>
      </c>
      <c r="X52" s="3" t="s">
        <v>787</v>
      </c>
      <c r="Y52" s="3" t="s">
        <v>763</v>
      </c>
      <c r="Z52" s="3" t="s">
        <v>763</v>
      </c>
      <c r="AA52" s="3" t="s">
        <v>763</v>
      </c>
      <c r="AB52" s="3" t="s">
        <v>763</v>
      </c>
      <c r="AC52" s="3" t="s">
        <v>763</v>
      </c>
      <c r="AD52" s="3" t="s">
        <v>789</v>
      </c>
      <c r="AE52" s="13" t="s">
        <v>1296</v>
      </c>
      <c r="AF52" s="33">
        <f>AM52*0.47</f>
        <v>37.256899999999995</v>
      </c>
      <c r="AG52" s="33">
        <f>AF52*AP52</f>
        <v>11.922207999999998</v>
      </c>
      <c r="AH52" s="33">
        <f>AG52*3.65</f>
        <v>43.516059199999994</v>
      </c>
      <c r="AI52" s="33">
        <f>AF52*3.65</f>
        <v>135.98768499999997</v>
      </c>
      <c r="AJ52" s="7" t="s">
        <v>1289</v>
      </c>
      <c r="AK52" s="4">
        <f>AM52+AN52</f>
        <v>98.294799999999995</v>
      </c>
      <c r="AL52" s="4">
        <f>AK52*AP52</f>
        <v>31.454335999999998</v>
      </c>
      <c r="AM52" s="7">
        <v>79.27</v>
      </c>
      <c r="AN52" s="4">
        <f>AM52*0.24</f>
        <v>19.024799999999999</v>
      </c>
      <c r="AO52" s="8">
        <v>0.32</v>
      </c>
      <c r="AP52" s="8">
        <v>0.32</v>
      </c>
      <c r="AQ52" s="8" t="s">
        <v>763</v>
      </c>
      <c r="AR52" s="8" t="s">
        <v>2017</v>
      </c>
      <c r="AS52" t="s">
        <v>2052</v>
      </c>
    </row>
    <row r="53" spans="1:45" ht="15.5" x14ac:dyDescent="0.35">
      <c r="A53" s="3">
        <v>38</v>
      </c>
      <c r="B53" t="s">
        <v>335</v>
      </c>
      <c r="C53" t="s">
        <v>337</v>
      </c>
      <c r="D53" s="3" t="s">
        <v>751</v>
      </c>
      <c r="E53" s="3">
        <v>2022</v>
      </c>
      <c r="F53" s="4" t="s">
        <v>1304</v>
      </c>
      <c r="G53" s="3" t="s">
        <v>795</v>
      </c>
      <c r="H53" s="3" t="s">
        <v>754</v>
      </c>
      <c r="I53" s="3">
        <v>18.159199999999998</v>
      </c>
      <c r="J53" s="3">
        <v>42.397908000000001</v>
      </c>
      <c r="K53" t="s">
        <v>1301</v>
      </c>
      <c r="L53" s="3" t="s">
        <v>1300</v>
      </c>
      <c r="M53" s="3" t="s">
        <v>2092</v>
      </c>
      <c r="N53">
        <v>245</v>
      </c>
      <c r="O53">
        <v>20.100000000000001</v>
      </c>
      <c r="P53" s="3" t="s">
        <v>763</v>
      </c>
      <c r="Q53" t="s">
        <v>1306</v>
      </c>
      <c r="R53" s="3" t="s">
        <v>2166</v>
      </c>
      <c r="S53" s="4" t="s">
        <v>787</v>
      </c>
      <c r="T53" s="4" t="s">
        <v>1031</v>
      </c>
      <c r="U53" s="8" t="s">
        <v>1997</v>
      </c>
      <c r="V53" t="s">
        <v>1744</v>
      </c>
      <c r="W53" s="3" t="s">
        <v>2165</v>
      </c>
      <c r="X53" s="3" t="s">
        <v>787</v>
      </c>
      <c r="Y53" s="3" t="s">
        <v>763</v>
      </c>
      <c r="Z53" s="3" t="s">
        <v>763</v>
      </c>
      <c r="AA53" s="3" t="s">
        <v>763</v>
      </c>
      <c r="AB53" s="3" t="s">
        <v>763</v>
      </c>
      <c r="AC53" s="3" t="s">
        <v>763</v>
      </c>
      <c r="AD53" s="3" t="s">
        <v>768</v>
      </c>
      <c r="AE53" s="9" t="s">
        <v>2119</v>
      </c>
      <c r="AF53" s="43">
        <f>AG53/AP53</f>
        <v>2.9708386341410913</v>
      </c>
      <c r="AG53" s="9">
        <f>((1990*18524.96)+(2000*31195.78)+(2020*80561.01))/(1990+2000+2020)</f>
        <v>43592.258003327785</v>
      </c>
      <c r="AH53" s="43">
        <f>AG53*3.65</f>
        <v>159111.74171214641</v>
      </c>
      <c r="AI53" s="33">
        <f>AF53*3.65</f>
        <v>10.843561014614982</v>
      </c>
      <c r="AJ53" s="7" t="s">
        <v>763</v>
      </c>
      <c r="AK53" s="7" t="s">
        <v>763</v>
      </c>
      <c r="AL53" s="7" t="s">
        <v>763</v>
      </c>
      <c r="AM53" s="7" t="s">
        <v>763</v>
      </c>
      <c r="AN53" s="7" t="s">
        <v>763</v>
      </c>
      <c r="AO53" t="s">
        <v>2252</v>
      </c>
      <c r="AP53">
        <f>((1990*6237.36)+(2000*10503.63)+(2018*27124.92))/(1990+2000+2018)</f>
        <v>14673.384647137149</v>
      </c>
      <c r="AQ53" s="8" t="s">
        <v>763</v>
      </c>
      <c r="AR53" t="s">
        <v>1307</v>
      </c>
      <c r="AS53" s="8" t="s">
        <v>2209</v>
      </c>
    </row>
    <row r="54" spans="1:45" ht="15.5" x14ac:dyDescent="0.35">
      <c r="A54" s="3">
        <v>38</v>
      </c>
      <c r="B54" t="s">
        <v>335</v>
      </c>
      <c r="C54" t="s">
        <v>337</v>
      </c>
      <c r="D54" s="3" t="s">
        <v>751</v>
      </c>
      <c r="E54" s="3">
        <v>2022</v>
      </c>
      <c r="F54" s="4" t="s">
        <v>1304</v>
      </c>
      <c r="G54" s="3" t="s">
        <v>795</v>
      </c>
      <c r="H54" s="3" t="s">
        <v>754</v>
      </c>
      <c r="I54" s="3">
        <v>18.159199999999998</v>
      </c>
      <c r="J54" s="3">
        <v>42.397908000000001</v>
      </c>
      <c r="K54" t="s">
        <v>1301</v>
      </c>
      <c r="L54" s="3" t="s">
        <v>1300</v>
      </c>
      <c r="M54" s="3" t="s">
        <v>2092</v>
      </c>
      <c r="N54">
        <v>245</v>
      </c>
      <c r="O54">
        <v>20.100000000000001</v>
      </c>
      <c r="P54" s="3" t="s">
        <v>763</v>
      </c>
      <c r="Q54" t="s">
        <v>1306</v>
      </c>
      <c r="R54" s="3" t="s">
        <v>2167</v>
      </c>
      <c r="S54" s="4" t="s">
        <v>787</v>
      </c>
      <c r="T54" s="4" t="s">
        <v>865</v>
      </c>
      <c r="U54" s="8" t="s">
        <v>1997</v>
      </c>
      <c r="V54" t="s">
        <v>1744</v>
      </c>
      <c r="W54" s="3" t="s">
        <v>2165</v>
      </c>
      <c r="X54" s="3" t="s">
        <v>787</v>
      </c>
      <c r="Y54" s="3" t="s">
        <v>763</v>
      </c>
      <c r="Z54" s="3" t="s">
        <v>763</v>
      </c>
      <c r="AA54" s="3" t="s">
        <v>763</v>
      </c>
      <c r="AB54" s="3" t="s">
        <v>763</v>
      </c>
      <c r="AC54" s="3" t="s">
        <v>763</v>
      </c>
      <c r="AD54" s="3" t="s">
        <v>768</v>
      </c>
      <c r="AE54" s="9" t="s">
        <v>2120</v>
      </c>
      <c r="AF54" s="43">
        <f>AG54/AP54</f>
        <v>12.68956725362745</v>
      </c>
      <c r="AG54" s="9">
        <f>((1990*710425)+(2000*525119.3)+(2020*527012.9))/(1990+2000+2020)</f>
        <v>587113.21264559065</v>
      </c>
      <c r="AH54" s="43">
        <f>AG54*3.65</f>
        <v>2142963.2261564056</v>
      </c>
      <c r="AI54" s="33">
        <f>AF54*3.65</f>
        <v>46.31692047574019</v>
      </c>
      <c r="AJ54" s="7" t="s">
        <v>763</v>
      </c>
      <c r="AK54" s="7" t="s">
        <v>763</v>
      </c>
      <c r="AL54" s="7" t="s">
        <v>763</v>
      </c>
      <c r="AM54" s="7" t="s">
        <v>763</v>
      </c>
      <c r="AN54" s="7" t="s">
        <v>763</v>
      </c>
      <c r="AO54" t="s">
        <v>2253</v>
      </c>
      <c r="AP54">
        <f>((1990*55983.06)+(2000*41380.56)+(2018*41529.78))/(1990+2000+2018)</f>
        <v>46267.394380825557</v>
      </c>
      <c r="AQ54" s="8" t="s">
        <v>763</v>
      </c>
      <c r="AR54" t="s">
        <v>1307</v>
      </c>
      <c r="AS54" s="8" t="s">
        <v>2213</v>
      </c>
    </row>
    <row r="55" spans="1:45" s="37" customFormat="1" ht="15.5" x14ac:dyDescent="0.35">
      <c r="A55" s="12">
        <v>38</v>
      </c>
      <c r="B55" s="37" t="s">
        <v>335</v>
      </c>
      <c r="C55" s="37" t="s">
        <v>337</v>
      </c>
      <c r="D55" s="12" t="s">
        <v>751</v>
      </c>
      <c r="E55" s="12">
        <v>2022</v>
      </c>
      <c r="F55" s="12" t="s">
        <v>1304</v>
      </c>
      <c r="G55" s="12" t="s">
        <v>795</v>
      </c>
      <c r="H55" s="12" t="s">
        <v>754</v>
      </c>
      <c r="I55" s="12">
        <v>18.159199999999998</v>
      </c>
      <c r="J55" s="12">
        <v>42.397908000000001</v>
      </c>
      <c r="K55" s="37" t="s">
        <v>1301</v>
      </c>
      <c r="L55" s="12" t="s">
        <v>1300</v>
      </c>
      <c r="M55" s="12" t="s">
        <v>2092</v>
      </c>
      <c r="N55" s="37">
        <v>245</v>
      </c>
      <c r="O55" s="37">
        <v>20.100000000000001</v>
      </c>
      <c r="P55" s="12" t="s">
        <v>763</v>
      </c>
      <c r="Q55" s="37" t="s">
        <v>1306</v>
      </c>
      <c r="R55" s="37" t="s">
        <v>1889</v>
      </c>
      <c r="S55" s="12" t="s">
        <v>787</v>
      </c>
      <c r="T55" s="12" t="s">
        <v>2122</v>
      </c>
      <c r="U55" s="14" t="s">
        <v>1997</v>
      </c>
      <c r="V55" s="37" t="s">
        <v>1744</v>
      </c>
      <c r="W55" s="12" t="s">
        <v>2165</v>
      </c>
      <c r="X55" s="12" t="s">
        <v>787</v>
      </c>
      <c r="Y55" s="12" t="s">
        <v>763</v>
      </c>
      <c r="Z55" s="12" t="s">
        <v>763</v>
      </c>
      <c r="AA55" s="12" t="s">
        <v>763</v>
      </c>
      <c r="AB55" s="12" t="s">
        <v>763</v>
      </c>
      <c r="AC55" s="12" t="s">
        <v>763</v>
      </c>
      <c r="AD55" s="12" t="s">
        <v>768</v>
      </c>
      <c r="AE55" s="44" t="s">
        <v>1311</v>
      </c>
      <c r="AF55" s="45" t="s">
        <v>763</v>
      </c>
      <c r="AG55" s="44" t="s">
        <v>1311</v>
      </c>
      <c r="AH55" s="45" t="s">
        <v>763</v>
      </c>
      <c r="AI55" s="45" t="s">
        <v>763</v>
      </c>
      <c r="AJ55" s="13" t="s">
        <v>763</v>
      </c>
      <c r="AK55" s="13" t="s">
        <v>763</v>
      </c>
      <c r="AL55" s="13" t="s">
        <v>763</v>
      </c>
      <c r="AM55" s="13" t="s">
        <v>763</v>
      </c>
      <c r="AN55" s="13" t="s">
        <v>763</v>
      </c>
      <c r="AO55" s="14" t="s">
        <v>2121</v>
      </c>
      <c r="AP55" s="14" t="s">
        <v>2121</v>
      </c>
      <c r="AQ55" s="14" t="s">
        <v>763</v>
      </c>
      <c r="AR55" s="37" t="s">
        <v>2228</v>
      </c>
      <c r="AS55" s="14" t="s">
        <v>1308</v>
      </c>
    </row>
    <row r="56" spans="1:45" x14ac:dyDescent="0.35">
      <c r="A56" s="3">
        <v>9</v>
      </c>
      <c r="B56" s="3" t="s">
        <v>888</v>
      </c>
      <c r="C56" s="3" t="s">
        <v>889</v>
      </c>
      <c r="D56" s="3" t="s">
        <v>873</v>
      </c>
      <c r="E56" s="3">
        <v>2022</v>
      </c>
      <c r="F56" s="3" t="s">
        <v>1895</v>
      </c>
      <c r="G56" s="3" t="s">
        <v>753</v>
      </c>
      <c r="H56" s="3" t="s">
        <v>754</v>
      </c>
      <c r="I56" s="3">
        <v>18.658055999999998</v>
      </c>
      <c r="J56" s="3">
        <v>-91.827777999999995</v>
      </c>
      <c r="K56" s="3" t="s">
        <v>893</v>
      </c>
      <c r="L56" s="3" t="s">
        <v>894</v>
      </c>
      <c r="M56" s="3" t="s">
        <v>2095</v>
      </c>
      <c r="N56" s="3">
        <v>1550</v>
      </c>
      <c r="O56" s="3">
        <v>26</v>
      </c>
      <c r="P56" s="3" t="s">
        <v>759</v>
      </c>
      <c r="Q56" s="3" t="s">
        <v>763</v>
      </c>
      <c r="R56" s="3" t="s">
        <v>2074</v>
      </c>
      <c r="S56" s="3" t="s">
        <v>762</v>
      </c>
      <c r="T56" s="3" t="s">
        <v>1031</v>
      </c>
      <c r="U56" s="3" t="s">
        <v>764</v>
      </c>
      <c r="V56" s="3" t="s">
        <v>2026</v>
      </c>
      <c r="W56" s="3" t="s">
        <v>766</v>
      </c>
      <c r="X56" s="3" t="s">
        <v>762</v>
      </c>
      <c r="Y56" s="3" t="s">
        <v>763</v>
      </c>
      <c r="Z56" s="3" t="s">
        <v>763</v>
      </c>
      <c r="AA56" s="3" t="s">
        <v>763</v>
      </c>
      <c r="AB56" s="3" t="s">
        <v>763</v>
      </c>
      <c r="AC56" s="3" t="s">
        <v>763</v>
      </c>
      <c r="AD56" s="3" t="s">
        <v>768</v>
      </c>
      <c r="AE56" s="3" t="s">
        <v>900</v>
      </c>
      <c r="AF56" s="3">
        <v>352</v>
      </c>
      <c r="AG56" s="3">
        <f>AF56*AP56</f>
        <v>2358.4</v>
      </c>
      <c r="AH56" s="3">
        <f t="shared" ref="AH56:AH61" si="3">AG56*3.65</f>
        <v>8608.16</v>
      </c>
      <c r="AI56" s="3">
        <f>AH56/AP56</f>
        <v>1284.8</v>
      </c>
      <c r="AJ56" s="4" t="s">
        <v>901</v>
      </c>
      <c r="AK56" s="4">
        <f>AF56/0.47</f>
        <v>748.936170212766</v>
      </c>
      <c r="AL56" s="4">
        <f>AG56/0.47</f>
        <v>5017.8723404255325</v>
      </c>
      <c r="AM56" s="3">
        <f>AK56/1.24</f>
        <v>603.98078242965005</v>
      </c>
      <c r="AN56" s="3">
        <f>AM56*0.24</f>
        <v>144.95538778311601</v>
      </c>
      <c r="AO56" s="3">
        <v>6.7</v>
      </c>
      <c r="AP56" s="3">
        <v>6.7</v>
      </c>
      <c r="AQ56" s="3" t="s">
        <v>763</v>
      </c>
      <c r="AR56" s="3" t="s">
        <v>903</v>
      </c>
      <c r="AS56" s="3" t="s">
        <v>2044</v>
      </c>
    </row>
    <row r="57" spans="1:45" x14ac:dyDescent="0.35">
      <c r="A57" s="3">
        <v>39</v>
      </c>
      <c r="B57" s="8" t="s">
        <v>360</v>
      </c>
      <c r="C57" s="8" t="s">
        <v>362</v>
      </c>
      <c r="D57" s="7" t="s">
        <v>751</v>
      </c>
      <c r="E57" s="7">
        <v>2018</v>
      </c>
      <c r="F57" s="33" t="s">
        <v>1312</v>
      </c>
      <c r="G57" s="7" t="s">
        <v>795</v>
      </c>
      <c r="H57" s="7" t="s">
        <v>776</v>
      </c>
      <c r="I57" s="3">
        <v>4.5980559999999997</v>
      </c>
      <c r="J57" s="3">
        <v>-74.075833000000003</v>
      </c>
      <c r="K57" s="8" t="s">
        <v>1292</v>
      </c>
      <c r="L57" s="7" t="s">
        <v>1213</v>
      </c>
      <c r="M57" s="8" t="s">
        <v>2088</v>
      </c>
      <c r="N57" s="8">
        <v>1400</v>
      </c>
      <c r="O57" s="8">
        <v>12.5</v>
      </c>
      <c r="P57" s="7" t="s">
        <v>763</v>
      </c>
      <c r="Q57" s="8" t="s">
        <v>1884</v>
      </c>
      <c r="R57" s="3" t="s">
        <v>1560</v>
      </c>
      <c r="S57" s="7" t="s">
        <v>787</v>
      </c>
      <c r="T57" s="8" t="s">
        <v>1235</v>
      </c>
      <c r="U57" s="8" t="s">
        <v>1995</v>
      </c>
      <c r="V57" t="s">
        <v>1744</v>
      </c>
      <c r="W57" s="3" t="s">
        <v>2165</v>
      </c>
      <c r="X57" s="7" t="s">
        <v>787</v>
      </c>
      <c r="Y57" s="7" t="s">
        <v>763</v>
      </c>
      <c r="Z57" s="7" t="s">
        <v>763</v>
      </c>
      <c r="AA57" s="7" t="s">
        <v>763</v>
      </c>
      <c r="AB57" s="7" t="s">
        <v>763</v>
      </c>
      <c r="AC57" s="7" t="s">
        <v>763</v>
      </c>
      <c r="AD57" s="3" t="s">
        <v>768</v>
      </c>
      <c r="AE57" s="7" t="s">
        <v>1324</v>
      </c>
      <c r="AF57" s="8">
        <v>22.33</v>
      </c>
      <c r="AG57" s="8">
        <v>23210000</v>
      </c>
      <c r="AH57" s="43">
        <f t="shared" si="3"/>
        <v>84716500</v>
      </c>
      <c r="AI57" s="8">
        <f>AF57*3.65</f>
        <v>81.504499999999993</v>
      </c>
      <c r="AJ57" s="7" t="s">
        <v>763</v>
      </c>
      <c r="AK57" s="7" t="s">
        <v>763</v>
      </c>
      <c r="AL57" s="7" t="s">
        <v>763</v>
      </c>
      <c r="AM57" s="7" t="s">
        <v>763</v>
      </c>
      <c r="AN57" s="7" t="s">
        <v>763</v>
      </c>
      <c r="AO57" s="8">
        <v>38500</v>
      </c>
      <c r="AP57" s="8">
        <v>38500</v>
      </c>
      <c r="AQ57" s="8" t="s">
        <v>763</v>
      </c>
      <c r="AR57" s="8" t="s">
        <v>763</v>
      </c>
      <c r="AS57" s="8" t="s">
        <v>2212</v>
      </c>
    </row>
    <row r="58" spans="1:45" x14ac:dyDescent="0.35">
      <c r="A58" s="3">
        <v>40</v>
      </c>
      <c r="B58" t="s">
        <v>364</v>
      </c>
      <c r="C58" t="s">
        <v>366</v>
      </c>
      <c r="D58" s="7" t="s">
        <v>751</v>
      </c>
      <c r="E58" s="7">
        <v>2021</v>
      </c>
      <c r="F58" s="3">
        <v>2018</v>
      </c>
      <c r="G58" s="7" t="s">
        <v>753</v>
      </c>
      <c r="H58" s="7" t="s">
        <v>754</v>
      </c>
      <c r="I58" s="3">
        <v>5.55</v>
      </c>
      <c r="J58" s="3">
        <v>-0.2</v>
      </c>
      <c r="K58" s="8" t="s">
        <v>1326</v>
      </c>
      <c r="L58" s="7" t="s">
        <v>1325</v>
      </c>
      <c r="M58" s="7" t="s">
        <v>2090</v>
      </c>
      <c r="N58" s="7">
        <v>809</v>
      </c>
      <c r="O58" s="7">
        <v>26.6</v>
      </c>
      <c r="P58" s="7" t="s">
        <v>763</v>
      </c>
      <c r="Q58" s="3" t="s">
        <v>763</v>
      </c>
      <c r="R58" s="3" t="s">
        <v>2166</v>
      </c>
      <c r="S58" s="7" t="s">
        <v>787</v>
      </c>
      <c r="T58" s="3" t="s">
        <v>1031</v>
      </c>
      <c r="U58" s="8" t="s">
        <v>1998</v>
      </c>
      <c r="V58" s="7" t="s">
        <v>1032</v>
      </c>
      <c r="W58" s="7" t="s">
        <v>766</v>
      </c>
      <c r="X58" s="7" t="s">
        <v>787</v>
      </c>
      <c r="Y58" s="7" t="s">
        <v>1334</v>
      </c>
      <c r="Z58" s="7">
        <v>8440</v>
      </c>
      <c r="AA58" s="7">
        <f>Z58/AP58</f>
        <v>0.72006893550946582</v>
      </c>
      <c r="AB58" s="7">
        <f>Z58*3.65</f>
        <v>30806</v>
      </c>
      <c r="AC58" s="7">
        <f>AA58*3.65</f>
        <v>2.62825161460955</v>
      </c>
      <c r="AD58" s="7" t="s">
        <v>789</v>
      </c>
      <c r="AE58" s="7" t="s">
        <v>1335</v>
      </c>
      <c r="AF58" s="7">
        <f>AG58/AP58</f>
        <v>18.093864910289991</v>
      </c>
      <c r="AG58" s="7">
        <v>212080</v>
      </c>
      <c r="AH58" s="43">
        <f t="shared" si="3"/>
        <v>774092</v>
      </c>
      <c r="AI58" s="8">
        <f>AF58*3.65</f>
        <v>66.042606922558463</v>
      </c>
      <c r="AJ58" s="7" t="s">
        <v>763</v>
      </c>
      <c r="AK58" s="7" t="s">
        <v>763</v>
      </c>
      <c r="AL58" s="7" t="s">
        <v>763</v>
      </c>
      <c r="AM58" s="7" t="s">
        <v>763</v>
      </c>
      <c r="AN58" s="7" t="s">
        <v>763</v>
      </c>
      <c r="AO58" s="8">
        <v>11721.1</v>
      </c>
      <c r="AP58" s="8">
        <v>11721.1</v>
      </c>
      <c r="AQ58" s="8" t="s">
        <v>763</v>
      </c>
      <c r="AR58" s="8" t="s">
        <v>763</v>
      </c>
      <c r="AS58" s="8" t="s">
        <v>763</v>
      </c>
    </row>
    <row r="59" spans="1:45" x14ac:dyDescent="0.35">
      <c r="A59" s="3">
        <v>41</v>
      </c>
      <c r="B59" t="s">
        <v>374</v>
      </c>
      <c r="C59" t="s">
        <v>376</v>
      </c>
      <c r="D59" s="7" t="s">
        <v>751</v>
      </c>
      <c r="E59" s="7">
        <v>2010</v>
      </c>
      <c r="F59" s="3">
        <v>2009</v>
      </c>
      <c r="G59" s="7" t="s">
        <v>753</v>
      </c>
      <c r="H59" s="7" t="s">
        <v>776</v>
      </c>
      <c r="I59" s="3">
        <v>-23.15</v>
      </c>
      <c r="J59" s="3">
        <v>-46.333333000000003</v>
      </c>
      <c r="K59" s="8" t="s">
        <v>1349</v>
      </c>
      <c r="L59" s="7" t="s">
        <v>846</v>
      </c>
      <c r="M59" s="3" t="s">
        <v>2094</v>
      </c>
      <c r="N59" s="3">
        <v>1421</v>
      </c>
      <c r="O59" s="3">
        <v>18.899999999999999</v>
      </c>
      <c r="P59" s="3" t="s">
        <v>763</v>
      </c>
      <c r="Q59" t="s">
        <v>850</v>
      </c>
      <c r="R59" s="3" t="s">
        <v>2167</v>
      </c>
      <c r="S59" s="3" t="s">
        <v>787</v>
      </c>
      <c r="T59" s="7" t="s">
        <v>1238</v>
      </c>
      <c r="U59" s="7" t="s">
        <v>764</v>
      </c>
      <c r="V59" t="s">
        <v>2031</v>
      </c>
      <c r="W59" s="7" t="s">
        <v>766</v>
      </c>
      <c r="X59" s="7" t="s">
        <v>787</v>
      </c>
      <c r="Y59" s="7" t="s">
        <v>763</v>
      </c>
      <c r="Z59" s="7" t="s">
        <v>763</v>
      </c>
      <c r="AA59" s="7" t="s">
        <v>763</v>
      </c>
      <c r="AB59" s="7" t="s">
        <v>763</v>
      </c>
      <c r="AC59" s="7" t="s">
        <v>763</v>
      </c>
      <c r="AD59" s="3" t="s">
        <v>768</v>
      </c>
      <c r="AE59" s="7" t="s">
        <v>1355</v>
      </c>
      <c r="AF59" s="8">
        <v>68.27</v>
      </c>
      <c r="AG59" s="8">
        <v>380984</v>
      </c>
      <c r="AH59" s="43">
        <f t="shared" si="3"/>
        <v>1390591.5999999999</v>
      </c>
      <c r="AI59" s="8">
        <f>AF59*3.65</f>
        <v>249.18549999999999</v>
      </c>
      <c r="AJ59" s="7" t="s">
        <v>1350</v>
      </c>
      <c r="AK59" s="46">
        <v>136.55000000000001</v>
      </c>
      <c r="AL59" s="7">
        <f>AK59*AP59</f>
        <v>1041057.2000000001</v>
      </c>
      <c r="AM59" s="46">
        <v>136.55000000000001</v>
      </c>
      <c r="AN59" s="7">
        <f>AM59*0.24</f>
        <v>32.771999999999998</v>
      </c>
      <c r="AO59">
        <v>7624</v>
      </c>
      <c r="AP59">
        <v>7624</v>
      </c>
      <c r="AQ59" s="8">
        <v>10.5</v>
      </c>
      <c r="AR59" s="8" t="s">
        <v>763</v>
      </c>
      <c r="AS59" s="8" t="s">
        <v>1356</v>
      </c>
    </row>
    <row r="60" spans="1:45" x14ac:dyDescent="0.35">
      <c r="A60" s="3">
        <v>42</v>
      </c>
      <c r="B60" s="8" t="s">
        <v>394</v>
      </c>
      <c r="C60" s="8" t="s">
        <v>396</v>
      </c>
      <c r="D60" s="7" t="s">
        <v>751</v>
      </c>
      <c r="E60" s="7">
        <v>2019</v>
      </c>
      <c r="F60" s="7" t="s">
        <v>1357</v>
      </c>
      <c r="G60" s="7" t="s">
        <v>753</v>
      </c>
      <c r="H60" s="7" t="s">
        <v>754</v>
      </c>
      <c r="I60" s="3">
        <v>23.2</v>
      </c>
      <c r="J60" s="3">
        <v>83.033332999999999</v>
      </c>
      <c r="K60" s="8" t="s">
        <v>1358</v>
      </c>
      <c r="L60" s="7" t="s">
        <v>756</v>
      </c>
      <c r="M60" s="3" t="s">
        <v>2092</v>
      </c>
      <c r="N60" s="7">
        <v>1383</v>
      </c>
      <c r="O60" s="7">
        <v>23.9</v>
      </c>
      <c r="P60" s="7" t="s">
        <v>2078</v>
      </c>
      <c r="Q60" s="7" t="s">
        <v>763</v>
      </c>
      <c r="R60" s="3" t="s">
        <v>2166</v>
      </c>
      <c r="S60" s="7" t="s">
        <v>787</v>
      </c>
      <c r="T60" s="3" t="s">
        <v>1031</v>
      </c>
      <c r="U60" s="7" t="s">
        <v>925</v>
      </c>
      <c r="V60" s="8" t="s">
        <v>2033</v>
      </c>
      <c r="W60" s="7" t="s">
        <v>1359</v>
      </c>
      <c r="X60" s="7" t="s">
        <v>787</v>
      </c>
      <c r="Y60" s="7" t="s">
        <v>763</v>
      </c>
      <c r="Z60" s="7" t="s">
        <v>763</v>
      </c>
      <c r="AA60" s="7" t="s">
        <v>763</v>
      </c>
      <c r="AB60" s="7" t="s">
        <v>763</v>
      </c>
      <c r="AC60" s="7" t="s">
        <v>763</v>
      </c>
      <c r="AD60" s="7" t="s">
        <v>768</v>
      </c>
      <c r="AE60" s="7" t="s">
        <v>1367</v>
      </c>
      <c r="AF60" s="8">
        <v>187.08</v>
      </c>
      <c r="AG60" s="8">
        <f>AF60*AP60</f>
        <v>37097964</v>
      </c>
      <c r="AH60" s="43">
        <f t="shared" si="3"/>
        <v>135407568.59999999</v>
      </c>
      <c r="AI60" s="8">
        <v>686.58</v>
      </c>
      <c r="AJ60" s="7" t="s">
        <v>2232</v>
      </c>
      <c r="AK60" s="7">
        <v>0.45662999999999998</v>
      </c>
      <c r="AL60" s="7">
        <f>AK60*AP60</f>
        <v>90549.728999999992</v>
      </c>
      <c r="AM60" s="7">
        <v>0.37075000000000002</v>
      </c>
      <c r="AN60" s="7">
        <v>8.5542999999999994E-2</v>
      </c>
      <c r="AO60" s="8">
        <v>198300</v>
      </c>
      <c r="AP60" s="8">
        <v>198300</v>
      </c>
      <c r="AQ60" s="8" t="s">
        <v>763</v>
      </c>
      <c r="AR60" s="8" t="s">
        <v>1366</v>
      </c>
      <c r="AS60" s="8" t="s">
        <v>1369</v>
      </c>
    </row>
    <row r="61" spans="1:45" x14ac:dyDescent="0.35">
      <c r="A61" s="3">
        <v>43</v>
      </c>
      <c r="B61" s="8" t="s">
        <v>399</v>
      </c>
      <c r="C61" s="8" t="s">
        <v>401</v>
      </c>
      <c r="D61" s="7" t="s">
        <v>751</v>
      </c>
      <c r="E61" s="7">
        <v>2023</v>
      </c>
      <c r="F61" s="7" t="s">
        <v>1902</v>
      </c>
      <c r="G61" s="7" t="s">
        <v>753</v>
      </c>
      <c r="H61" s="7" t="s">
        <v>754</v>
      </c>
      <c r="I61" s="3">
        <v>11.183332999999999</v>
      </c>
      <c r="J61" s="3">
        <v>-4.2833329999999998</v>
      </c>
      <c r="K61" s="30" t="s">
        <v>1374</v>
      </c>
      <c r="L61" s="7" t="s">
        <v>1373</v>
      </c>
      <c r="M61" s="3" t="s">
        <v>2095</v>
      </c>
      <c r="N61" s="7">
        <v>1000</v>
      </c>
      <c r="O61" s="7">
        <v>27.9</v>
      </c>
      <c r="P61" s="7" t="s">
        <v>881</v>
      </c>
      <c r="Q61" s="8" t="s">
        <v>1337</v>
      </c>
      <c r="R61" s="3" t="s">
        <v>2118</v>
      </c>
      <c r="S61" s="7" t="s">
        <v>787</v>
      </c>
      <c r="T61" s="7" t="s">
        <v>865</v>
      </c>
      <c r="U61" s="7" t="s">
        <v>764</v>
      </c>
      <c r="V61" s="8" t="s">
        <v>2026</v>
      </c>
      <c r="W61" s="7" t="s">
        <v>766</v>
      </c>
      <c r="X61" s="7" t="s">
        <v>787</v>
      </c>
      <c r="Y61" s="7" t="s">
        <v>763</v>
      </c>
      <c r="Z61" s="7" t="s">
        <v>763</v>
      </c>
      <c r="AA61" s="7" t="s">
        <v>763</v>
      </c>
      <c r="AB61" s="7" t="s">
        <v>763</v>
      </c>
      <c r="AC61" s="7" t="s">
        <v>763</v>
      </c>
      <c r="AD61" s="7" t="s">
        <v>789</v>
      </c>
      <c r="AE61" s="7" t="s">
        <v>1378</v>
      </c>
      <c r="AF61" s="7">
        <v>3.91</v>
      </c>
      <c r="AG61" s="8">
        <f>AF61*AP61</f>
        <v>0.97750000000000004</v>
      </c>
      <c r="AH61" s="43">
        <f t="shared" si="3"/>
        <v>3.5678749999999999</v>
      </c>
      <c r="AI61" s="7">
        <f>AF61*3.65</f>
        <v>14.2715</v>
      </c>
      <c r="AJ61" s="7" t="s">
        <v>1377</v>
      </c>
      <c r="AK61" s="4">
        <f>AM61+AN61</f>
        <v>9.6980399999999989</v>
      </c>
      <c r="AL61" s="4">
        <f>AK61*AP61</f>
        <v>2.4245099999999997</v>
      </c>
      <c r="AM61" s="7">
        <v>7.8209999999999997</v>
      </c>
      <c r="AN61" s="4">
        <f>AM61*0.24</f>
        <v>1.8770399999999998</v>
      </c>
      <c r="AO61" s="8">
        <v>0.25</v>
      </c>
      <c r="AP61" s="8">
        <v>0.25</v>
      </c>
      <c r="AQ61" s="8" t="s">
        <v>763</v>
      </c>
      <c r="AR61" s="8" t="s">
        <v>1375</v>
      </c>
      <c r="AS61" s="8" t="s">
        <v>2236</v>
      </c>
    </row>
    <row r="62" spans="1:45" s="37" customFormat="1" x14ac:dyDescent="0.35">
      <c r="A62" s="3">
        <v>43</v>
      </c>
      <c r="B62" s="8" t="s">
        <v>399</v>
      </c>
      <c r="C62" s="8" t="s">
        <v>401</v>
      </c>
      <c r="D62" s="7" t="s">
        <v>751</v>
      </c>
      <c r="E62" s="7">
        <v>2023</v>
      </c>
      <c r="F62" s="7" t="s">
        <v>1902</v>
      </c>
      <c r="G62" s="7" t="s">
        <v>753</v>
      </c>
      <c r="H62" s="7" t="s">
        <v>754</v>
      </c>
      <c r="I62" s="3">
        <v>11.183332999999999</v>
      </c>
      <c r="J62" s="3">
        <v>-4.2833329999999998</v>
      </c>
      <c r="K62" s="30" t="s">
        <v>1374</v>
      </c>
      <c r="L62" s="7" t="s">
        <v>1373</v>
      </c>
      <c r="M62" s="3" t="s">
        <v>2095</v>
      </c>
      <c r="N62" s="7">
        <v>1000</v>
      </c>
      <c r="O62" s="7">
        <v>27.9</v>
      </c>
      <c r="P62" s="7" t="s">
        <v>881</v>
      </c>
      <c r="Q62" s="8" t="s">
        <v>1337</v>
      </c>
      <c r="R62" s="3" t="s">
        <v>2167</v>
      </c>
      <c r="S62" s="7" t="s">
        <v>787</v>
      </c>
      <c r="T62" s="7" t="s">
        <v>865</v>
      </c>
      <c r="U62" s="7" t="s">
        <v>764</v>
      </c>
      <c r="V62" s="8" t="s">
        <v>2026</v>
      </c>
      <c r="W62" s="7" t="s">
        <v>766</v>
      </c>
      <c r="X62" s="7" t="s">
        <v>787</v>
      </c>
      <c r="Y62" s="7" t="s">
        <v>763</v>
      </c>
      <c r="Z62" s="7" t="s">
        <v>763</v>
      </c>
      <c r="AA62" s="7" t="s">
        <v>763</v>
      </c>
      <c r="AB62" s="7" t="s">
        <v>763</v>
      </c>
      <c r="AC62" s="7" t="s">
        <v>763</v>
      </c>
      <c r="AD62" s="7" t="s">
        <v>789</v>
      </c>
      <c r="AE62" s="7" t="s">
        <v>1378</v>
      </c>
      <c r="AF62" s="7">
        <v>9.0990000000000002</v>
      </c>
      <c r="AG62" s="8" t="s">
        <v>763</v>
      </c>
      <c r="AH62" s="43" t="s">
        <v>763</v>
      </c>
      <c r="AI62" s="7">
        <f>AF62*3.65</f>
        <v>33.211350000000003</v>
      </c>
      <c r="AJ62" s="7" t="s">
        <v>1377</v>
      </c>
      <c r="AK62" s="4">
        <f>AM62+AN62</f>
        <v>22.565519999999999</v>
      </c>
      <c r="AL62" s="4" t="s">
        <v>763</v>
      </c>
      <c r="AM62" s="7">
        <v>18.198</v>
      </c>
      <c r="AN62" s="4">
        <f>AM62*0.24</f>
        <v>4.3675199999999998</v>
      </c>
      <c r="AO62" s="8" t="s">
        <v>763</v>
      </c>
      <c r="AP62" s="8" t="s">
        <v>763</v>
      </c>
      <c r="AQ62" s="8" t="s">
        <v>763</v>
      </c>
      <c r="AR62" s="8" t="s">
        <v>1375</v>
      </c>
      <c r="AS62" s="8" t="s">
        <v>2237</v>
      </c>
    </row>
    <row r="63" spans="1:45" x14ac:dyDescent="0.35">
      <c r="A63" s="12">
        <v>43</v>
      </c>
      <c r="B63" s="14" t="s">
        <v>399</v>
      </c>
      <c r="C63" s="14" t="s">
        <v>401</v>
      </c>
      <c r="D63" s="13" t="s">
        <v>751</v>
      </c>
      <c r="E63" s="13">
        <v>2023</v>
      </c>
      <c r="F63" s="13" t="s">
        <v>1902</v>
      </c>
      <c r="G63" s="13" t="s">
        <v>753</v>
      </c>
      <c r="H63" s="13" t="s">
        <v>754</v>
      </c>
      <c r="I63" s="12">
        <v>11.183332999999999</v>
      </c>
      <c r="J63" s="12">
        <v>-4.2833329999999998</v>
      </c>
      <c r="K63" s="14" t="s">
        <v>1374</v>
      </c>
      <c r="L63" s="13" t="s">
        <v>1373</v>
      </c>
      <c r="M63" s="12" t="s">
        <v>2095</v>
      </c>
      <c r="N63" s="13">
        <v>1000</v>
      </c>
      <c r="O63" s="13">
        <v>27.9</v>
      </c>
      <c r="P63" s="13" t="s">
        <v>881</v>
      </c>
      <c r="Q63" s="14" t="s">
        <v>1337</v>
      </c>
      <c r="R63" s="12" t="s">
        <v>2238</v>
      </c>
      <c r="S63" s="13" t="s">
        <v>787</v>
      </c>
      <c r="T63" s="13" t="s">
        <v>865</v>
      </c>
      <c r="U63" s="13" t="s">
        <v>764</v>
      </c>
      <c r="V63" s="14" t="s">
        <v>2026</v>
      </c>
      <c r="W63" s="13" t="s">
        <v>766</v>
      </c>
      <c r="X63" s="13" t="s">
        <v>787</v>
      </c>
      <c r="Y63" s="13" t="s">
        <v>763</v>
      </c>
      <c r="Z63" s="13" t="s">
        <v>763</v>
      </c>
      <c r="AA63" s="13" t="s">
        <v>763</v>
      </c>
      <c r="AB63" s="13" t="s">
        <v>763</v>
      </c>
      <c r="AC63" s="13" t="s">
        <v>763</v>
      </c>
      <c r="AD63" s="13" t="s">
        <v>789</v>
      </c>
      <c r="AE63" s="13" t="s">
        <v>1378</v>
      </c>
      <c r="AF63" s="13" t="s">
        <v>1378</v>
      </c>
      <c r="AG63" s="13" t="s">
        <v>763</v>
      </c>
      <c r="AH63" s="13" t="s">
        <v>763</v>
      </c>
      <c r="AI63" s="13" t="s">
        <v>763</v>
      </c>
      <c r="AJ63" s="13" t="s">
        <v>1377</v>
      </c>
      <c r="AK63" s="13" t="s">
        <v>763</v>
      </c>
      <c r="AL63" s="13" t="s">
        <v>763</v>
      </c>
      <c r="AM63" s="13" t="s">
        <v>1377</v>
      </c>
      <c r="AN63" s="13" t="s">
        <v>763</v>
      </c>
      <c r="AO63" s="14">
        <v>0.25</v>
      </c>
      <c r="AP63" s="14">
        <v>0.25</v>
      </c>
      <c r="AQ63" s="14" t="s">
        <v>763</v>
      </c>
      <c r="AR63" s="14" t="s">
        <v>1375</v>
      </c>
      <c r="AS63" s="14" t="s">
        <v>2239</v>
      </c>
    </row>
    <row r="64" spans="1:45" x14ac:dyDescent="0.35">
      <c r="A64" s="3">
        <v>44</v>
      </c>
      <c r="B64" t="s">
        <v>414</v>
      </c>
      <c r="C64" t="s">
        <v>416</v>
      </c>
      <c r="D64" s="7" t="s">
        <v>873</v>
      </c>
      <c r="E64" s="7">
        <v>2018</v>
      </c>
      <c r="F64" s="27">
        <v>41913</v>
      </c>
      <c r="G64" s="7" t="s">
        <v>753</v>
      </c>
      <c r="H64" s="7" t="s">
        <v>754</v>
      </c>
      <c r="I64" s="3">
        <v>7.0998609999999998</v>
      </c>
      <c r="J64" s="3">
        <v>-73.111500000000007</v>
      </c>
      <c r="K64" s="30" t="s">
        <v>1384</v>
      </c>
      <c r="L64" s="7" t="s">
        <v>1213</v>
      </c>
      <c r="M64" s="3" t="s">
        <v>2077</v>
      </c>
      <c r="N64" s="3">
        <v>4426</v>
      </c>
      <c r="O64" s="3">
        <v>19.7</v>
      </c>
      <c r="P64" s="7" t="s">
        <v>881</v>
      </c>
      <c r="Q64" s="3" t="s">
        <v>763</v>
      </c>
      <c r="R64" s="3" t="s">
        <v>2166</v>
      </c>
      <c r="S64" s="7" t="s">
        <v>762</v>
      </c>
      <c r="T64" s="3" t="s">
        <v>1031</v>
      </c>
      <c r="U64" s="7" t="s">
        <v>1386</v>
      </c>
      <c r="V64" s="7" t="s">
        <v>2026</v>
      </c>
      <c r="W64" s="7" t="s">
        <v>766</v>
      </c>
      <c r="X64" s="7" t="s">
        <v>762</v>
      </c>
      <c r="Y64" s="7" t="s">
        <v>763</v>
      </c>
      <c r="Z64" s="7" t="s">
        <v>763</v>
      </c>
      <c r="AA64" s="7" t="s">
        <v>763</v>
      </c>
      <c r="AB64" s="7" t="s">
        <v>763</v>
      </c>
      <c r="AC64" s="7" t="s">
        <v>763</v>
      </c>
      <c r="AD64" s="7" t="s">
        <v>768</v>
      </c>
      <c r="AE64" s="7" t="s">
        <v>1392</v>
      </c>
      <c r="AF64" s="7" t="s">
        <v>763</v>
      </c>
      <c r="AG64" s="7">
        <f>AH64/3.65</f>
        <v>38.484109589041097</v>
      </c>
      <c r="AH64" s="7">
        <v>140.46700000000001</v>
      </c>
      <c r="AI64" s="7" t="s">
        <v>763</v>
      </c>
      <c r="AJ64" s="7" t="s">
        <v>1390</v>
      </c>
      <c r="AK64" s="7" t="s">
        <v>763</v>
      </c>
      <c r="AL64" s="7">
        <v>1139.5419999999999</v>
      </c>
      <c r="AM64" s="7" t="s">
        <v>763</v>
      </c>
      <c r="AN64" s="7" t="s">
        <v>763</v>
      </c>
      <c r="AO64" s="35" t="s">
        <v>1389</v>
      </c>
      <c r="AP64" s="35" t="s">
        <v>1389</v>
      </c>
      <c r="AQ64" s="8" t="s">
        <v>763</v>
      </c>
      <c r="AR64" s="8" t="s">
        <v>1391</v>
      </c>
      <c r="AS64" t="s">
        <v>1388</v>
      </c>
    </row>
    <row r="65" spans="1:45" x14ac:dyDescent="0.35">
      <c r="A65" s="3">
        <v>45</v>
      </c>
      <c r="B65" t="s">
        <v>434</v>
      </c>
      <c r="C65" t="s">
        <v>436</v>
      </c>
      <c r="D65" s="7" t="s">
        <v>751</v>
      </c>
      <c r="E65" s="7">
        <v>2019</v>
      </c>
      <c r="F65" s="3" t="s">
        <v>1903</v>
      </c>
      <c r="G65" s="7" t="s">
        <v>753</v>
      </c>
      <c r="H65" s="7" t="s">
        <v>754</v>
      </c>
      <c r="I65" s="3">
        <v>22.033332999999999</v>
      </c>
      <c r="J65" s="3">
        <v>96.458736000000002</v>
      </c>
      <c r="K65" s="19" t="s">
        <v>1395</v>
      </c>
      <c r="L65" s="7" t="s">
        <v>1396</v>
      </c>
      <c r="M65" s="3" t="s">
        <v>2095</v>
      </c>
      <c r="N65">
        <v>1450</v>
      </c>
      <c r="O65">
        <v>20.5</v>
      </c>
      <c r="P65" s="3" t="s">
        <v>1016</v>
      </c>
      <c r="Q65" t="s">
        <v>1403</v>
      </c>
      <c r="R65" s="3" t="s">
        <v>2167</v>
      </c>
      <c r="S65" s="7" t="s">
        <v>787</v>
      </c>
      <c r="T65" s="7" t="s">
        <v>1235</v>
      </c>
      <c r="U65" s="7" t="s">
        <v>764</v>
      </c>
      <c r="V65" s="7" t="s">
        <v>2026</v>
      </c>
      <c r="W65" s="3" t="s">
        <v>2165</v>
      </c>
      <c r="X65" s="7" t="s">
        <v>787</v>
      </c>
      <c r="Y65" s="7" t="s">
        <v>763</v>
      </c>
      <c r="Z65" s="7" t="s">
        <v>763</v>
      </c>
      <c r="AA65" s="7" t="s">
        <v>763</v>
      </c>
      <c r="AB65" s="7" t="s">
        <v>763</v>
      </c>
      <c r="AC65" s="7" t="s">
        <v>763</v>
      </c>
      <c r="AD65" s="7" t="s">
        <v>768</v>
      </c>
      <c r="AE65" s="7" t="s">
        <v>2230</v>
      </c>
      <c r="AF65" s="8">
        <f>((177.07*177)+(71.94*104.59))/(177+104.59)</f>
        <v>138.02192762527076</v>
      </c>
      <c r="AG65" s="8">
        <f>AF65*AP65</f>
        <v>38865.594599999997</v>
      </c>
      <c r="AH65" s="8">
        <f>AG65*3.65</f>
        <v>141859.42028999998</v>
      </c>
      <c r="AI65" s="8">
        <f>AF65*3.65</f>
        <v>503.7800358322383</v>
      </c>
      <c r="AJ65" s="13" t="s">
        <v>1408</v>
      </c>
      <c r="AK65" s="33">
        <f>AF65/0.47</f>
        <v>293.66367579844842</v>
      </c>
      <c r="AL65" s="7">
        <v>1139.5419999999999</v>
      </c>
      <c r="AM65" s="33">
        <f>(((142.9*177.07)+( 71.94*104.59))/(177+104.59))/0.47</f>
        <v>248.04062946505138</v>
      </c>
      <c r="AN65" s="33">
        <f>(((34.17*177.07)+(13.71*104.59))/(177+104.59))/0.47</f>
        <v>56.551291941732089</v>
      </c>
      <c r="AO65" s="30" t="s">
        <v>2244</v>
      </c>
      <c r="AP65" s="30">
        <f>177+104.59</f>
        <v>281.59000000000003</v>
      </c>
      <c r="AQ65" s="8" t="s">
        <v>763</v>
      </c>
      <c r="AR65" s="8" t="s">
        <v>2018</v>
      </c>
      <c r="AS65" s="8" t="s">
        <v>763</v>
      </c>
    </row>
    <row r="66" spans="1:45" s="37" customFormat="1" x14ac:dyDescent="0.35">
      <c r="A66" s="3">
        <v>45</v>
      </c>
      <c r="B66" t="s">
        <v>434</v>
      </c>
      <c r="C66" t="s">
        <v>436</v>
      </c>
      <c r="D66" s="7" t="s">
        <v>751</v>
      </c>
      <c r="E66" s="7">
        <v>2019</v>
      </c>
      <c r="F66" s="3" t="s">
        <v>1903</v>
      </c>
      <c r="G66" s="7" t="s">
        <v>753</v>
      </c>
      <c r="H66" s="7" t="s">
        <v>754</v>
      </c>
      <c r="I66" s="3">
        <v>22.033332999999999</v>
      </c>
      <c r="J66" s="3">
        <v>96.458736000000002</v>
      </c>
      <c r="K66" s="19" t="s">
        <v>1395</v>
      </c>
      <c r="L66" s="7" t="s">
        <v>1396</v>
      </c>
      <c r="M66" s="3" t="s">
        <v>2095</v>
      </c>
      <c r="N66">
        <v>1450</v>
      </c>
      <c r="O66">
        <v>20.5</v>
      </c>
      <c r="P66" s="3" t="s">
        <v>1016</v>
      </c>
      <c r="Q66" t="s">
        <v>1403</v>
      </c>
      <c r="R66" s="30" t="s">
        <v>2118</v>
      </c>
      <c r="S66" s="7" t="s">
        <v>787</v>
      </c>
      <c r="T66" s="7" t="s">
        <v>1235</v>
      </c>
      <c r="U66" s="7" t="s">
        <v>764</v>
      </c>
      <c r="V66" s="7" t="s">
        <v>2026</v>
      </c>
      <c r="W66" s="3" t="s">
        <v>2165</v>
      </c>
      <c r="X66" s="7" t="s">
        <v>787</v>
      </c>
      <c r="Y66" s="7" t="s">
        <v>763</v>
      </c>
      <c r="Z66" s="7" t="s">
        <v>763</v>
      </c>
      <c r="AA66" s="7" t="s">
        <v>763</v>
      </c>
      <c r="AB66" s="7" t="s">
        <v>763</v>
      </c>
      <c r="AC66" s="7" t="s">
        <v>763</v>
      </c>
      <c r="AD66" s="7" t="s">
        <v>768</v>
      </c>
      <c r="AE66" s="7" t="s">
        <v>2231</v>
      </c>
      <c r="AF66" s="8">
        <f>((225.51*244.72)+(6.2*7.83))/(244.72+7.83)</f>
        <v>218.71056503662641</v>
      </c>
      <c r="AG66" s="8">
        <f>AF66*AP66</f>
        <v>55235.353199999998</v>
      </c>
      <c r="AH66" s="8">
        <f>AG66*3.65</f>
        <v>201609.03917999999</v>
      </c>
      <c r="AI66" s="8">
        <f>AF66*3.65</f>
        <v>798.29356238368632</v>
      </c>
      <c r="AJ66" s="13" t="s">
        <v>1408</v>
      </c>
      <c r="AK66" s="33">
        <f>AF66/0.47</f>
        <v>465.34162773750302</v>
      </c>
      <c r="AL66" s="7">
        <v>1139.5419999999999</v>
      </c>
      <c r="AM66" s="33">
        <f>(((181.98*244.72)+(5*7.83))/(244.72+7.83))/0.47</f>
        <v>375.51692397123804</v>
      </c>
      <c r="AN66" s="33">
        <f>(((43.53*244.72)+(1.2*7.83))/(244.72+7.83))/0.47</f>
        <v>89.824703766264946</v>
      </c>
      <c r="AO66" s="30" t="s">
        <v>2245</v>
      </c>
      <c r="AP66" s="30">
        <f>244.72+7.83</f>
        <v>252.55</v>
      </c>
      <c r="AQ66" s="8" t="s">
        <v>763</v>
      </c>
      <c r="AR66" s="8" t="s">
        <v>2018</v>
      </c>
      <c r="AS66" s="8" t="s">
        <v>763</v>
      </c>
    </row>
    <row r="67" spans="1:45" x14ac:dyDescent="0.35">
      <c r="A67" s="12">
        <v>45</v>
      </c>
      <c r="B67" s="37" t="s">
        <v>434</v>
      </c>
      <c r="C67" s="37" t="s">
        <v>436</v>
      </c>
      <c r="D67" s="13" t="s">
        <v>751</v>
      </c>
      <c r="E67" s="13">
        <v>2019</v>
      </c>
      <c r="F67" s="12" t="s">
        <v>1903</v>
      </c>
      <c r="G67" s="13" t="s">
        <v>753</v>
      </c>
      <c r="H67" s="13" t="s">
        <v>754</v>
      </c>
      <c r="I67" s="12">
        <v>22.033332999999999</v>
      </c>
      <c r="J67" s="12">
        <v>96.458736000000002</v>
      </c>
      <c r="K67" s="37" t="s">
        <v>1395</v>
      </c>
      <c r="L67" s="13" t="s">
        <v>1396</v>
      </c>
      <c r="M67" s="12" t="s">
        <v>2095</v>
      </c>
      <c r="N67" s="37">
        <v>1450</v>
      </c>
      <c r="O67" s="37">
        <v>20.5</v>
      </c>
      <c r="P67" s="12" t="s">
        <v>1016</v>
      </c>
      <c r="Q67" s="37" t="s">
        <v>1403</v>
      </c>
      <c r="R67" s="14" t="s">
        <v>2123</v>
      </c>
      <c r="S67" s="13" t="s">
        <v>787</v>
      </c>
      <c r="T67" s="13" t="s">
        <v>1235</v>
      </c>
      <c r="U67" s="13" t="s">
        <v>764</v>
      </c>
      <c r="V67" s="13" t="s">
        <v>2026</v>
      </c>
      <c r="W67" s="12" t="s">
        <v>2165</v>
      </c>
      <c r="X67" s="13" t="s">
        <v>787</v>
      </c>
      <c r="Y67" s="13" t="s">
        <v>763</v>
      </c>
      <c r="Z67" s="13" t="s">
        <v>763</v>
      </c>
      <c r="AA67" s="13" t="s">
        <v>763</v>
      </c>
      <c r="AB67" s="13" t="s">
        <v>763</v>
      </c>
      <c r="AC67" s="13" t="s">
        <v>763</v>
      </c>
      <c r="AD67" s="13" t="s">
        <v>768</v>
      </c>
      <c r="AE67" s="14" t="s">
        <v>1410</v>
      </c>
      <c r="AF67" s="14" t="s">
        <v>1410</v>
      </c>
      <c r="AG67" s="14" t="s">
        <v>763</v>
      </c>
      <c r="AH67" s="14" t="s">
        <v>763</v>
      </c>
      <c r="AI67" s="14" t="s">
        <v>763</v>
      </c>
      <c r="AJ67" s="13" t="s">
        <v>1408</v>
      </c>
      <c r="AK67" s="13" t="s">
        <v>763</v>
      </c>
      <c r="AL67" s="13" t="s">
        <v>763</v>
      </c>
      <c r="AM67" s="13" t="s">
        <v>763</v>
      </c>
      <c r="AN67" s="13" t="s">
        <v>763</v>
      </c>
      <c r="AO67" s="14" t="s">
        <v>1411</v>
      </c>
      <c r="AP67" s="14" t="s">
        <v>1411</v>
      </c>
      <c r="AQ67" s="14" t="s">
        <v>763</v>
      </c>
      <c r="AR67" s="14" t="s">
        <v>2018</v>
      </c>
      <c r="AS67" s="14" t="s">
        <v>763</v>
      </c>
    </row>
    <row r="68" spans="1:45" x14ac:dyDescent="0.35">
      <c r="A68" s="3">
        <v>46</v>
      </c>
      <c r="B68" t="s">
        <v>457</v>
      </c>
      <c r="C68" t="s">
        <v>459</v>
      </c>
      <c r="D68" s="7" t="s">
        <v>751</v>
      </c>
      <c r="E68" s="7">
        <v>2021</v>
      </c>
      <c r="F68" s="33" t="s">
        <v>1414</v>
      </c>
      <c r="G68" s="7" t="s">
        <v>795</v>
      </c>
      <c r="H68" s="7" t="s">
        <v>754</v>
      </c>
      <c r="I68" s="3">
        <v>9.0875000000000004</v>
      </c>
      <c r="J68" s="3">
        <v>38.905833000000001</v>
      </c>
      <c r="K68" s="19" t="s">
        <v>1104</v>
      </c>
      <c r="L68" s="7" t="s">
        <v>1102</v>
      </c>
      <c r="M68" s="3" t="s">
        <v>2093</v>
      </c>
      <c r="N68">
        <v>1200</v>
      </c>
      <c r="O68">
        <v>16.5</v>
      </c>
      <c r="P68" s="3" t="s">
        <v>763</v>
      </c>
      <c r="Q68" s="3" t="s">
        <v>763</v>
      </c>
      <c r="R68" s="3" t="s">
        <v>2167</v>
      </c>
      <c r="S68" s="7" t="s">
        <v>787</v>
      </c>
      <c r="T68" s="7" t="s">
        <v>1235</v>
      </c>
      <c r="U68" s="7" t="s">
        <v>1999</v>
      </c>
      <c r="V68" t="s">
        <v>1744</v>
      </c>
      <c r="W68" s="3" t="s">
        <v>2165</v>
      </c>
      <c r="X68" s="7" t="s">
        <v>787</v>
      </c>
      <c r="Y68" s="7" t="s">
        <v>763</v>
      </c>
      <c r="Z68" s="7" t="s">
        <v>763</v>
      </c>
      <c r="AA68" s="7" t="s">
        <v>763</v>
      </c>
      <c r="AB68" s="7" t="s">
        <v>763</v>
      </c>
      <c r="AC68" s="7" t="s">
        <v>763</v>
      </c>
      <c r="AD68" s="7" t="s">
        <v>768</v>
      </c>
      <c r="AE68" s="8" t="s">
        <v>2180</v>
      </c>
      <c r="AF68" s="8">
        <f>AG68/AP68</f>
        <v>184.60674368655543</v>
      </c>
      <c r="AG68" s="8">
        <f>((1988*968310.07)+(1998*803563.8)+(2008*1128011.22)+(2018*1104781.17))/(1988+1998+2008+2018)</f>
        <v>1001624.5409860208</v>
      </c>
      <c r="AH68" s="8">
        <f>AG68*3.65</f>
        <v>3655929.5745989759</v>
      </c>
      <c r="AI68" s="8">
        <f>AH68/AP68</f>
        <v>673.81461445592731</v>
      </c>
      <c r="AJ68" s="7" t="s">
        <v>763</v>
      </c>
      <c r="AK68" s="7" t="s">
        <v>763</v>
      </c>
      <c r="AL68" s="7" t="s">
        <v>763</v>
      </c>
      <c r="AM68" s="7" t="s">
        <v>763</v>
      </c>
      <c r="AN68" s="7" t="s">
        <v>763</v>
      </c>
      <c r="AO68" t="s">
        <v>2254</v>
      </c>
      <c r="AP68">
        <f>((1988*5245.47)+(1998*4353)+(2008*6111.9)+(2018*5982.6))/(1988+1998+2008+2018)</f>
        <v>5425.7202146779828</v>
      </c>
      <c r="AQ68" s="8" t="s">
        <v>763</v>
      </c>
      <c r="AR68" s="8" t="s">
        <v>763</v>
      </c>
      <c r="AS68" s="8" t="s">
        <v>763</v>
      </c>
    </row>
    <row r="69" spans="1:45" x14ac:dyDescent="0.35">
      <c r="A69" s="3">
        <v>46</v>
      </c>
      <c r="B69" t="s">
        <v>457</v>
      </c>
      <c r="C69" t="s">
        <v>459</v>
      </c>
      <c r="D69" s="7" t="s">
        <v>751</v>
      </c>
      <c r="E69" s="7">
        <v>2021</v>
      </c>
      <c r="F69" s="33" t="s">
        <v>1414</v>
      </c>
      <c r="G69" s="7" t="s">
        <v>795</v>
      </c>
      <c r="H69" s="7" t="s">
        <v>754</v>
      </c>
      <c r="I69" s="3">
        <v>9.0875000000000004</v>
      </c>
      <c r="J69" s="3">
        <v>38.905833000000001</v>
      </c>
      <c r="K69" s="19" t="s">
        <v>1104</v>
      </c>
      <c r="L69" s="7" t="s">
        <v>1102</v>
      </c>
      <c r="M69" s="3" t="s">
        <v>2093</v>
      </c>
      <c r="N69">
        <v>1200</v>
      </c>
      <c r="O69">
        <v>16.5</v>
      </c>
      <c r="P69" s="3" t="s">
        <v>763</v>
      </c>
      <c r="Q69" s="3" t="s">
        <v>763</v>
      </c>
      <c r="R69" s="30" t="s">
        <v>2118</v>
      </c>
      <c r="S69" s="7" t="s">
        <v>787</v>
      </c>
      <c r="T69" s="7" t="s">
        <v>1235</v>
      </c>
      <c r="U69" s="7" t="s">
        <v>1999</v>
      </c>
      <c r="V69" t="s">
        <v>1744</v>
      </c>
      <c r="W69" s="3" t="s">
        <v>2165</v>
      </c>
      <c r="X69" s="7" t="s">
        <v>787</v>
      </c>
      <c r="Y69" s="7" t="s">
        <v>763</v>
      </c>
      <c r="Z69" s="7" t="s">
        <v>763</v>
      </c>
      <c r="AA69" s="7" t="s">
        <v>763</v>
      </c>
      <c r="AB69" s="7" t="s">
        <v>763</v>
      </c>
      <c r="AC69" s="7" t="s">
        <v>763</v>
      </c>
      <c r="AD69" s="7" t="s">
        <v>768</v>
      </c>
      <c r="AE69" s="8" t="s">
        <v>2181</v>
      </c>
      <c r="AF69" s="8">
        <f>AG69/AP69</f>
        <v>108.75000000050559</v>
      </c>
      <c r="AG69" s="8">
        <f>((1988*3577255.12)+(1998*3060333.75)+(2008*2395742.93)+(2018*1720751.25))/(1988+1998+2008+2018)</f>
        <v>2684630.2841987018</v>
      </c>
      <c r="AH69" s="8">
        <f>AG69*3.65</f>
        <v>9798900.5373252612</v>
      </c>
      <c r="AI69" s="8">
        <f>AH69/AP69</f>
        <v>396.93750000184536</v>
      </c>
      <c r="AJ69" s="7" t="s">
        <v>763</v>
      </c>
      <c r="AK69" s="7" t="s">
        <v>763</v>
      </c>
      <c r="AL69" s="7" t="s">
        <v>763</v>
      </c>
      <c r="AM69" s="7" t="s">
        <v>763</v>
      </c>
      <c r="AN69" s="7" t="s">
        <v>763</v>
      </c>
      <c r="AO69" t="s">
        <v>2255</v>
      </c>
      <c r="AP69">
        <f>((1988*32894.3)+(1998* 28141)+(2008*22029.82)+(2018*15823))/(1988+1998+2008+2018)</f>
        <v>24686.255486769845</v>
      </c>
      <c r="AQ69" s="8" t="s">
        <v>763</v>
      </c>
      <c r="AR69" s="8" t="s">
        <v>763</v>
      </c>
      <c r="AS69" s="8" t="s">
        <v>763</v>
      </c>
    </row>
    <row r="70" spans="1:45" s="37" customFormat="1" x14ac:dyDescent="0.35">
      <c r="A70" s="3">
        <v>46</v>
      </c>
      <c r="B70" t="s">
        <v>457</v>
      </c>
      <c r="C70" t="s">
        <v>459</v>
      </c>
      <c r="D70" s="7" t="s">
        <v>751</v>
      </c>
      <c r="E70" s="7">
        <v>2021</v>
      </c>
      <c r="F70" s="33" t="s">
        <v>1414</v>
      </c>
      <c r="G70" s="7" t="s">
        <v>795</v>
      </c>
      <c r="H70" s="7" t="s">
        <v>754</v>
      </c>
      <c r="I70" s="3">
        <v>9.0875000000000004</v>
      </c>
      <c r="J70" s="3">
        <v>38.905833000000001</v>
      </c>
      <c r="K70" s="19" t="s">
        <v>1104</v>
      </c>
      <c r="L70" s="7" t="s">
        <v>1102</v>
      </c>
      <c r="M70" s="3" t="s">
        <v>2093</v>
      </c>
      <c r="N70">
        <v>1200</v>
      </c>
      <c r="O70">
        <v>16.5</v>
      </c>
      <c r="P70" s="3" t="s">
        <v>763</v>
      </c>
      <c r="Q70" s="3" t="s">
        <v>763</v>
      </c>
      <c r="R70" s="3" t="s">
        <v>2166</v>
      </c>
      <c r="S70" s="7" t="s">
        <v>787</v>
      </c>
      <c r="T70" s="7" t="s">
        <v>1235</v>
      </c>
      <c r="U70" s="7" t="s">
        <v>1999</v>
      </c>
      <c r="V70" t="s">
        <v>1744</v>
      </c>
      <c r="W70" s="3" t="s">
        <v>2165</v>
      </c>
      <c r="X70" s="7" t="s">
        <v>787</v>
      </c>
      <c r="Y70" s="7" t="s">
        <v>763</v>
      </c>
      <c r="Z70" s="7" t="s">
        <v>763</v>
      </c>
      <c r="AA70" s="7" t="s">
        <v>763</v>
      </c>
      <c r="AB70" s="7" t="s">
        <v>763</v>
      </c>
      <c r="AC70" s="7" t="s">
        <v>763</v>
      </c>
      <c r="AD70" s="7" t="s">
        <v>768</v>
      </c>
      <c r="AE70" s="8" t="s">
        <v>2262</v>
      </c>
      <c r="AF70" s="8">
        <f>AG70/AP70</f>
        <v>12.621754435737538</v>
      </c>
      <c r="AG70" s="8">
        <v>226206.69627883099</v>
      </c>
      <c r="AH70" s="8">
        <f>AG70*3.65</f>
        <v>825654.44141773309</v>
      </c>
      <c r="AI70" s="8">
        <f>AH70/AP70</f>
        <v>46.069403690442009</v>
      </c>
      <c r="AJ70" s="7" t="s">
        <v>763</v>
      </c>
      <c r="AK70" s="7" t="s">
        <v>763</v>
      </c>
      <c r="AL70" s="7" t="s">
        <v>763</v>
      </c>
      <c r="AM70" s="7" t="s">
        <v>763</v>
      </c>
      <c r="AN70" s="7" t="s">
        <v>763</v>
      </c>
      <c r="AO70" s="8" t="s">
        <v>2263</v>
      </c>
      <c r="AP70">
        <v>17921.969360958563</v>
      </c>
      <c r="AQ70" s="8" t="s">
        <v>763</v>
      </c>
      <c r="AR70" s="8" t="s">
        <v>763</v>
      </c>
      <c r="AS70" s="8" t="s">
        <v>763</v>
      </c>
    </row>
    <row r="71" spans="1:45" x14ac:dyDescent="0.35">
      <c r="A71" s="12">
        <v>46</v>
      </c>
      <c r="B71" s="37" t="s">
        <v>457</v>
      </c>
      <c r="C71" s="37" t="s">
        <v>459</v>
      </c>
      <c r="D71" s="13" t="s">
        <v>751</v>
      </c>
      <c r="E71" s="13">
        <v>2021</v>
      </c>
      <c r="F71" s="13" t="s">
        <v>1414</v>
      </c>
      <c r="G71" s="13" t="s">
        <v>795</v>
      </c>
      <c r="H71" s="13" t="s">
        <v>754</v>
      </c>
      <c r="I71" s="12">
        <v>9.0875000000000004</v>
      </c>
      <c r="J71" s="12">
        <v>38.905833000000001</v>
      </c>
      <c r="K71" s="37" t="s">
        <v>1104</v>
      </c>
      <c r="L71" s="13" t="s">
        <v>1102</v>
      </c>
      <c r="M71" s="12" t="s">
        <v>2093</v>
      </c>
      <c r="N71" s="37">
        <v>1200</v>
      </c>
      <c r="O71" s="37">
        <v>16.5</v>
      </c>
      <c r="P71" s="12" t="s">
        <v>763</v>
      </c>
      <c r="Q71" s="12" t="s">
        <v>763</v>
      </c>
      <c r="R71" s="14" t="s">
        <v>1418</v>
      </c>
      <c r="S71" s="13" t="s">
        <v>787</v>
      </c>
      <c r="T71" s="13" t="s">
        <v>1235</v>
      </c>
      <c r="U71" s="13" t="s">
        <v>1999</v>
      </c>
      <c r="V71" s="37" t="s">
        <v>1744</v>
      </c>
      <c r="W71" s="12" t="s">
        <v>2165</v>
      </c>
      <c r="X71" s="13" t="s">
        <v>787</v>
      </c>
      <c r="Y71" s="13" t="s">
        <v>763</v>
      </c>
      <c r="Z71" s="13" t="s">
        <v>763</v>
      </c>
      <c r="AA71" s="13" t="s">
        <v>763</v>
      </c>
      <c r="AB71" s="13" t="s">
        <v>763</v>
      </c>
      <c r="AC71" s="13" t="s">
        <v>763</v>
      </c>
      <c r="AD71" s="13" t="s">
        <v>768</v>
      </c>
      <c r="AE71" s="14" t="s">
        <v>2182</v>
      </c>
      <c r="AF71" s="14" t="s">
        <v>763</v>
      </c>
      <c r="AG71" s="14" t="s">
        <v>2183</v>
      </c>
      <c r="AH71" s="13" t="s">
        <v>763</v>
      </c>
      <c r="AI71" s="13" t="s">
        <v>763</v>
      </c>
      <c r="AJ71" s="13" t="s">
        <v>763</v>
      </c>
      <c r="AK71" s="13" t="s">
        <v>763</v>
      </c>
      <c r="AL71" s="13" t="s">
        <v>763</v>
      </c>
      <c r="AM71" s="13" t="s">
        <v>763</v>
      </c>
      <c r="AN71" s="13" t="s">
        <v>763</v>
      </c>
      <c r="AO71" s="14" t="s">
        <v>1420</v>
      </c>
      <c r="AP71" s="14" t="s">
        <v>1420</v>
      </c>
      <c r="AQ71" s="14" t="s">
        <v>763</v>
      </c>
      <c r="AR71" s="14" t="s">
        <v>763</v>
      </c>
      <c r="AS71" s="14" t="s">
        <v>763</v>
      </c>
    </row>
    <row r="72" spans="1:45" x14ac:dyDescent="0.35">
      <c r="A72" s="3">
        <v>47</v>
      </c>
      <c r="B72" t="s">
        <v>466</v>
      </c>
      <c r="C72" t="s">
        <v>468</v>
      </c>
      <c r="D72" s="7" t="s">
        <v>751</v>
      </c>
      <c r="E72" s="7">
        <v>2016</v>
      </c>
      <c r="F72" s="3" t="s">
        <v>1904</v>
      </c>
      <c r="G72" s="7" t="s">
        <v>753</v>
      </c>
      <c r="H72" s="7" t="s">
        <v>776</v>
      </c>
      <c r="I72" s="3">
        <v>1.517139</v>
      </c>
      <c r="J72" s="3">
        <v>103.667556</v>
      </c>
      <c r="K72" s="19" t="s">
        <v>1778</v>
      </c>
      <c r="L72" s="7" t="s">
        <v>799</v>
      </c>
      <c r="M72" s="3" t="s">
        <v>2077</v>
      </c>
      <c r="N72" s="3">
        <v>2662</v>
      </c>
      <c r="O72" s="3">
        <v>26.3</v>
      </c>
      <c r="P72" s="7" t="s">
        <v>2078</v>
      </c>
      <c r="Q72" t="s">
        <v>1885</v>
      </c>
      <c r="R72" s="3" t="s">
        <v>2167</v>
      </c>
      <c r="S72" s="7" t="s">
        <v>787</v>
      </c>
      <c r="T72" s="7" t="s">
        <v>1235</v>
      </c>
      <c r="U72" s="7" t="s">
        <v>2000</v>
      </c>
      <c r="V72" s="8" t="s">
        <v>2027</v>
      </c>
      <c r="W72" s="7" t="s">
        <v>766</v>
      </c>
      <c r="X72" s="7" t="s">
        <v>787</v>
      </c>
      <c r="Y72" s="7" t="s">
        <v>763</v>
      </c>
      <c r="Z72" s="7" t="s">
        <v>763</v>
      </c>
      <c r="AA72" s="7" t="s">
        <v>763</v>
      </c>
      <c r="AB72" s="7" t="s">
        <v>763</v>
      </c>
      <c r="AC72" s="7" t="s">
        <v>763</v>
      </c>
      <c r="AD72" s="7" t="s">
        <v>789</v>
      </c>
      <c r="AE72" s="7" t="s">
        <v>2127</v>
      </c>
      <c r="AF72" s="8">
        <f>((161.7*1114)+(48.81*17.47)+(43.06*15.17)+(34.03*26.16))/(1144+26.16+17.47+15.17)</f>
        <v>151.75420327569003</v>
      </c>
      <c r="AG72" s="7">
        <f>AF72*AP72</f>
        <v>182529.95569999999</v>
      </c>
      <c r="AH72" s="8">
        <f>AG72*3.65</f>
        <v>666234.33830499998</v>
      </c>
      <c r="AI72" s="8">
        <f>AH72/AP72</f>
        <v>553.90284195626862</v>
      </c>
      <c r="AJ72" s="13" t="s">
        <v>1426</v>
      </c>
      <c r="AK72" s="33">
        <f>AM72+AN72</f>
        <v>88.442349669072144</v>
      </c>
      <c r="AL72" s="33">
        <f>AK72*AP72</f>
        <v>106378.45818195998</v>
      </c>
      <c r="AM72" s="33">
        <f>AF72*0.47</f>
        <v>71.324475539574308</v>
      </c>
      <c r="AN72" s="33">
        <f>AM72*0.24</f>
        <v>17.117874129497835</v>
      </c>
      <c r="AO72" s="8" t="s">
        <v>2126</v>
      </c>
      <c r="AP72" s="8">
        <f>1144+ 26.16+17.47+15.17</f>
        <v>1202.8000000000002</v>
      </c>
      <c r="AQ72" s="33" t="s">
        <v>763</v>
      </c>
      <c r="AR72" s="8" t="s">
        <v>763</v>
      </c>
      <c r="AS72" s="8" t="s">
        <v>763</v>
      </c>
    </row>
    <row r="73" spans="1:45" x14ac:dyDescent="0.35">
      <c r="A73" s="3">
        <v>47</v>
      </c>
      <c r="B73" t="s">
        <v>466</v>
      </c>
      <c r="C73" t="s">
        <v>468</v>
      </c>
      <c r="D73" s="7" t="s">
        <v>751</v>
      </c>
      <c r="E73" s="7">
        <v>2016</v>
      </c>
      <c r="F73" s="3" t="s">
        <v>1904</v>
      </c>
      <c r="G73" s="7" t="s">
        <v>753</v>
      </c>
      <c r="H73" s="7" t="s">
        <v>776</v>
      </c>
      <c r="I73" s="3">
        <v>1.517139</v>
      </c>
      <c r="J73" s="3">
        <v>103.667556</v>
      </c>
      <c r="K73" s="19" t="s">
        <v>1778</v>
      </c>
      <c r="L73" s="7" t="s">
        <v>799</v>
      </c>
      <c r="M73" s="3" t="s">
        <v>2077</v>
      </c>
      <c r="N73" s="3">
        <v>2662</v>
      </c>
      <c r="O73" s="3">
        <v>26.3</v>
      </c>
      <c r="P73" s="7" t="s">
        <v>2078</v>
      </c>
      <c r="Q73" t="s">
        <v>1885</v>
      </c>
      <c r="R73" s="30" t="s">
        <v>2074</v>
      </c>
      <c r="S73" s="7" t="s">
        <v>787</v>
      </c>
      <c r="T73" s="7" t="s">
        <v>1235</v>
      </c>
      <c r="U73" s="7" t="s">
        <v>2000</v>
      </c>
      <c r="V73" s="8" t="s">
        <v>2027</v>
      </c>
      <c r="W73" s="7" t="s">
        <v>766</v>
      </c>
      <c r="X73" s="7" t="s">
        <v>787</v>
      </c>
      <c r="Y73" s="7" t="s">
        <v>763</v>
      </c>
      <c r="Z73" s="7" t="s">
        <v>763</v>
      </c>
      <c r="AA73" s="7" t="s">
        <v>763</v>
      </c>
      <c r="AB73" s="7" t="s">
        <v>763</v>
      </c>
      <c r="AC73" s="7" t="s">
        <v>763</v>
      </c>
      <c r="AD73" s="7" t="s">
        <v>789</v>
      </c>
      <c r="AE73" s="8" t="s">
        <v>2128</v>
      </c>
      <c r="AF73" s="8">
        <v>52.1</v>
      </c>
      <c r="AG73" s="7">
        <v>437000</v>
      </c>
      <c r="AH73" s="8">
        <f>AG73*3.65</f>
        <v>1595050</v>
      </c>
      <c r="AI73" s="8">
        <f>AH73/AP73</f>
        <v>190.29467907420664</v>
      </c>
      <c r="AJ73" s="13" t="s">
        <v>1426</v>
      </c>
      <c r="AK73" s="33">
        <f>AM73+AN73</f>
        <v>30.363879999999998</v>
      </c>
      <c r="AL73" s="33">
        <f>AK73*AP73</f>
        <v>254510.04215999998</v>
      </c>
      <c r="AM73" s="33">
        <f>AF73*0.47</f>
        <v>24.486999999999998</v>
      </c>
      <c r="AN73" s="33">
        <f>AM73*0.24</f>
        <v>5.876879999999999</v>
      </c>
      <c r="AO73" s="8" t="s">
        <v>2124</v>
      </c>
      <c r="AP73" s="49">
        <v>8382</v>
      </c>
      <c r="AQ73" s="8" t="s">
        <v>763</v>
      </c>
      <c r="AR73" s="8" t="s">
        <v>763</v>
      </c>
      <c r="AS73" s="8" t="s">
        <v>763</v>
      </c>
    </row>
    <row r="74" spans="1:45" s="37" customFormat="1" x14ac:dyDescent="0.35">
      <c r="A74" s="3">
        <v>47</v>
      </c>
      <c r="B74" t="s">
        <v>466</v>
      </c>
      <c r="C74" t="s">
        <v>468</v>
      </c>
      <c r="D74" s="7" t="s">
        <v>751</v>
      </c>
      <c r="E74" s="7">
        <v>2016</v>
      </c>
      <c r="F74" s="3" t="s">
        <v>1904</v>
      </c>
      <c r="G74" s="7" t="s">
        <v>753</v>
      </c>
      <c r="H74" s="7" t="s">
        <v>776</v>
      </c>
      <c r="I74" s="3">
        <v>1.517139</v>
      </c>
      <c r="J74" s="3">
        <v>103.667556</v>
      </c>
      <c r="K74" s="19" t="s">
        <v>1778</v>
      </c>
      <c r="L74" s="7" t="s">
        <v>799</v>
      </c>
      <c r="M74" s="3" t="s">
        <v>2077</v>
      </c>
      <c r="N74" s="3">
        <v>2662</v>
      </c>
      <c r="O74" s="3">
        <v>26.3</v>
      </c>
      <c r="P74" s="7" t="s">
        <v>2078</v>
      </c>
      <c r="Q74" t="s">
        <v>1885</v>
      </c>
      <c r="R74" s="30" t="s">
        <v>2130</v>
      </c>
      <c r="S74" s="7" t="s">
        <v>787</v>
      </c>
      <c r="T74" s="7" t="s">
        <v>1235</v>
      </c>
      <c r="U74" s="7" t="s">
        <v>2000</v>
      </c>
      <c r="V74" s="8" t="s">
        <v>2027</v>
      </c>
      <c r="W74" s="7" t="s">
        <v>766</v>
      </c>
      <c r="X74" s="7" t="s">
        <v>787</v>
      </c>
      <c r="Y74" s="7" t="s">
        <v>763</v>
      </c>
      <c r="Z74" s="7" t="s">
        <v>763</v>
      </c>
      <c r="AA74" s="7" t="s">
        <v>763</v>
      </c>
      <c r="AB74" s="7" t="s">
        <v>763</v>
      </c>
      <c r="AC74" s="7" t="s">
        <v>763</v>
      </c>
      <c r="AD74" s="7" t="s">
        <v>789</v>
      </c>
      <c r="AE74" s="8" t="s">
        <v>2129</v>
      </c>
      <c r="AF74" s="8">
        <v>32.630000000000003</v>
      </c>
      <c r="AG74" s="8">
        <f>AF74*AP74</f>
        <v>1458.2347</v>
      </c>
      <c r="AH74" s="8">
        <f>AG74*3.65</f>
        <v>5322.5566549999994</v>
      </c>
      <c r="AI74" s="8">
        <f>AH74/AP74</f>
        <v>119.09949999999999</v>
      </c>
      <c r="AJ74" s="13" t="s">
        <v>1426</v>
      </c>
      <c r="AK74" s="33">
        <f>AM74+AN74</f>
        <v>19.016763999999998</v>
      </c>
      <c r="AL74" s="33">
        <f>AK74*AP74</f>
        <v>849.85918315999993</v>
      </c>
      <c r="AM74" s="33">
        <f>AF74*0.47</f>
        <v>15.3361</v>
      </c>
      <c r="AN74" s="33">
        <f>AM74*0.24</f>
        <v>3.6806639999999997</v>
      </c>
      <c r="AO74" s="8" t="s">
        <v>2125</v>
      </c>
      <c r="AP74" s="8">
        <v>44.69</v>
      </c>
      <c r="AQ74" s="8" t="s">
        <v>763</v>
      </c>
      <c r="AR74" s="8" t="s">
        <v>763</v>
      </c>
      <c r="AS74" s="8" t="s">
        <v>763</v>
      </c>
    </row>
    <row r="75" spans="1:45" x14ac:dyDescent="0.35">
      <c r="A75" s="12">
        <v>47</v>
      </c>
      <c r="B75" s="37" t="s">
        <v>466</v>
      </c>
      <c r="C75" s="37" t="s">
        <v>468</v>
      </c>
      <c r="D75" s="13" t="s">
        <v>751</v>
      </c>
      <c r="E75" s="13">
        <v>2016</v>
      </c>
      <c r="F75" s="12" t="s">
        <v>1904</v>
      </c>
      <c r="G75" s="13" t="s">
        <v>753</v>
      </c>
      <c r="H75" s="13" t="s">
        <v>776</v>
      </c>
      <c r="I75" s="12">
        <v>1.517139</v>
      </c>
      <c r="J75" s="12">
        <v>103.667556</v>
      </c>
      <c r="K75" s="37" t="s">
        <v>1778</v>
      </c>
      <c r="L75" s="13" t="s">
        <v>799</v>
      </c>
      <c r="M75" s="12" t="s">
        <v>2077</v>
      </c>
      <c r="N75" s="12">
        <v>2662</v>
      </c>
      <c r="O75" s="12">
        <v>26.3</v>
      </c>
      <c r="P75" s="13" t="s">
        <v>2078</v>
      </c>
      <c r="Q75" s="37" t="s">
        <v>1885</v>
      </c>
      <c r="R75" s="14" t="s">
        <v>1777</v>
      </c>
      <c r="S75" s="13" t="s">
        <v>787</v>
      </c>
      <c r="T75" s="13" t="s">
        <v>1235</v>
      </c>
      <c r="U75" s="13" t="s">
        <v>2000</v>
      </c>
      <c r="V75" s="14" t="s">
        <v>2027</v>
      </c>
      <c r="W75" s="13" t="s">
        <v>766</v>
      </c>
      <c r="X75" s="13" t="s">
        <v>787</v>
      </c>
      <c r="Y75" s="13" t="s">
        <v>763</v>
      </c>
      <c r="Z75" s="13" t="s">
        <v>763</v>
      </c>
      <c r="AA75" s="13" t="s">
        <v>763</v>
      </c>
      <c r="AB75" s="13" t="s">
        <v>763</v>
      </c>
      <c r="AC75" s="13" t="s">
        <v>763</v>
      </c>
      <c r="AD75" s="13" t="s">
        <v>789</v>
      </c>
      <c r="AE75" s="14" t="s">
        <v>1427</v>
      </c>
      <c r="AF75" s="14" t="s">
        <v>2184</v>
      </c>
      <c r="AG75" s="14" t="s">
        <v>2185</v>
      </c>
      <c r="AH75" s="14" t="s">
        <v>763</v>
      </c>
      <c r="AI75" s="14" t="s">
        <v>763</v>
      </c>
      <c r="AJ75" s="13" t="s">
        <v>1426</v>
      </c>
      <c r="AK75" s="13" t="s">
        <v>763</v>
      </c>
      <c r="AL75" s="13" t="s">
        <v>763</v>
      </c>
      <c r="AM75" s="13" t="s">
        <v>763</v>
      </c>
      <c r="AN75" s="13" t="s">
        <v>763</v>
      </c>
      <c r="AO75" s="14" t="s">
        <v>1428</v>
      </c>
      <c r="AP75" s="14" t="s">
        <v>1428</v>
      </c>
      <c r="AQ75" s="14" t="s">
        <v>763</v>
      </c>
      <c r="AR75" s="14" t="s">
        <v>763</v>
      </c>
      <c r="AS75" s="14" t="s">
        <v>763</v>
      </c>
    </row>
    <row r="76" spans="1:45" x14ac:dyDescent="0.35">
      <c r="A76" s="3">
        <v>48</v>
      </c>
      <c r="B76" t="s">
        <v>476</v>
      </c>
      <c r="C76" t="s">
        <v>478</v>
      </c>
      <c r="D76" s="7" t="s">
        <v>751</v>
      </c>
      <c r="E76" s="7">
        <v>2023</v>
      </c>
      <c r="F76" s="3">
        <v>2021</v>
      </c>
      <c r="G76" s="7" t="s">
        <v>753</v>
      </c>
      <c r="H76" s="7" t="s">
        <v>754</v>
      </c>
      <c r="I76" s="3">
        <v>19.997499999999999</v>
      </c>
      <c r="J76" s="3">
        <v>73.789805999999999</v>
      </c>
      <c r="K76" s="33" t="s">
        <v>1431</v>
      </c>
      <c r="L76" s="7" t="s">
        <v>756</v>
      </c>
      <c r="M76" s="3" t="s">
        <v>2095</v>
      </c>
      <c r="N76" s="3">
        <v>1134</v>
      </c>
      <c r="O76" s="3">
        <v>24.1</v>
      </c>
      <c r="P76" s="3" t="s">
        <v>763</v>
      </c>
      <c r="Q76" s="3" t="s">
        <v>763</v>
      </c>
      <c r="R76" s="3" t="s">
        <v>1560</v>
      </c>
      <c r="S76" s="7" t="s">
        <v>787</v>
      </c>
      <c r="T76" s="3" t="s">
        <v>1031</v>
      </c>
      <c r="U76" s="7" t="s">
        <v>764</v>
      </c>
      <c r="V76" s="8" t="s">
        <v>2026</v>
      </c>
      <c r="W76" s="7" t="s">
        <v>766</v>
      </c>
      <c r="X76" s="7" t="s">
        <v>787</v>
      </c>
      <c r="Y76" s="7" t="s">
        <v>1439</v>
      </c>
      <c r="Z76" s="7">
        <v>357.42</v>
      </c>
      <c r="AA76" s="7">
        <f>Z76/AP76</f>
        <v>25.732181425485962</v>
      </c>
      <c r="AB76" s="7">
        <f>Z76*3.65</f>
        <v>1304.5830000000001</v>
      </c>
      <c r="AC76" s="7">
        <f>AA76*3.65</f>
        <v>93.922462203023755</v>
      </c>
      <c r="AD76" s="7" t="s">
        <v>768</v>
      </c>
      <c r="AE76" s="7" t="s">
        <v>1440</v>
      </c>
      <c r="AF76" s="7">
        <f>AG76/AP76</f>
        <v>16.825773938084954</v>
      </c>
      <c r="AG76" s="7">
        <v>233.71</v>
      </c>
      <c r="AH76" s="8">
        <f>AG76*3.65</f>
        <v>853.04150000000004</v>
      </c>
      <c r="AI76" s="7">
        <f>AH76/AP76</f>
        <v>61.414074874010076</v>
      </c>
      <c r="AJ76" s="7" t="s">
        <v>1429</v>
      </c>
      <c r="AK76" s="7">
        <f>AL76/AP76</f>
        <v>33.652267818574515</v>
      </c>
      <c r="AL76" s="7">
        <v>467.43</v>
      </c>
      <c r="AM76" s="7">
        <v>431.47649999999999</v>
      </c>
      <c r="AN76" s="7">
        <v>35.950299999999999</v>
      </c>
      <c r="AO76" t="s">
        <v>1438</v>
      </c>
      <c r="AP76">
        <v>13.89</v>
      </c>
      <c r="AQ76" s="8" t="s">
        <v>763</v>
      </c>
      <c r="AR76" s="8" t="s">
        <v>763</v>
      </c>
      <c r="AS76" t="s">
        <v>1430</v>
      </c>
    </row>
    <row r="77" spans="1:45" x14ac:dyDescent="0.35">
      <c r="A77" s="3">
        <v>49</v>
      </c>
      <c r="B77" t="s">
        <v>481</v>
      </c>
      <c r="C77" t="s">
        <v>483</v>
      </c>
      <c r="D77" s="7" t="s">
        <v>751</v>
      </c>
      <c r="E77" s="7">
        <v>2022</v>
      </c>
      <c r="F77" s="3" t="s">
        <v>763</v>
      </c>
      <c r="G77" s="7" t="s">
        <v>753</v>
      </c>
      <c r="H77" s="7" t="s">
        <v>754</v>
      </c>
      <c r="I77" s="3">
        <v>11.016667</v>
      </c>
      <c r="J77" s="3">
        <v>76.966667000000001</v>
      </c>
      <c r="K77" s="33" t="s">
        <v>1441</v>
      </c>
      <c r="L77" s="7" t="s">
        <v>756</v>
      </c>
      <c r="M77" s="3" t="s">
        <v>2095</v>
      </c>
      <c r="N77">
        <v>618</v>
      </c>
      <c r="O77">
        <v>29.5</v>
      </c>
      <c r="P77" s="3" t="s">
        <v>763</v>
      </c>
      <c r="Q77" s="3" t="s">
        <v>763</v>
      </c>
      <c r="R77" s="30" t="s">
        <v>2130</v>
      </c>
      <c r="S77" s="7" t="s">
        <v>787</v>
      </c>
      <c r="T77" s="3" t="s">
        <v>1031</v>
      </c>
      <c r="U77" s="7" t="s">
        <v>2005</v>
      </c>
      <c r="V77" s="7" t="s">
        <v>2027</v>
      </c>
      <c r="W77" s="7" t="s">
        <v>766</v>
      </c>
      <c r="X77" s="7" t="s">
        <v>787</v>
      </c>
      <c r="Y77" s="7" t="s">
        <v>1450</v>
      </c>
      <c r="Z77" s="7">
        <v>8.0894899999999996</v>
      </c>
      <c r="AA77" s="7" t="s">
        <v>763</v>
      </c>
      <c r="AB77" s="7">
        <f>Z77*3.65</f>
        <v>29.526638499999997</v>
      </c>
      <c r="AC77" s="7" t="s">
        <v>763</v>
      </c>
      <c r="AD77" s="7" t="s">
        <v>768</v>
      </c>
      <c r="AE77" s="7" t="s">
        <v>1449</v>
      </c>
      <c r="AF77" s="7" t="s">
        <v>763</v>
      </c>
      <c r="AG77" s="7">
        <v>81.273880000000005</v>
      </c>
      <c r="AH77" s="7">
        <v>297.89400000000001</v>
      </c>
      <c r="AI77" s="7" t="s">
        <v>763</v>
      </c>
      <c r="AJ77" s="7" t="s">
        <v>1451</v>
      </c>
      <c r="AK77" s="7" t="s">
        <v>763</v>
      </c>
      <c r="AL77" s="7">
        <v>162.54776000000001</v>
      </c>
      <c r="AM77" s="35" t="s">
        <v>2240</v>
      </c>
      <c r="AN77" s="35" t="s">
        <v>2241</v>
      </c>
      <c r="AO77" s="32" t="s">
        <v>763</v>
      </c>
      <c r="AP77" s="32" t="s">
        <v>763</v>
      </c>
      <c r="AQ77" s="8" t="s">
        <v>763</v>
      </c>
      <c r="AR77" s="8" t="s">
        <v>1448</v>
      </c>
      <c r="AS77" s="32" t="s">
        <v>763</v>
      </c>
    </row>
    <row r="78" spans="1:45" x14ac:dyDescent="0.35">
      <c r="A78" s="3">
        <v>50</v>
      </c>
      <c r="B78" t="s">
        <v>486</v>
      </c>
      <c r="C78" t="s">
        <v>488</v>
      </c>
      <c r="D78" s="7" t="s">
        <v>751</v>
      </c>
      <c r="E78" s="7">
        <v>2018</v>
      </c>
      <c r="F78" s="3" t="s">
        <v>1905</v>
      </c>
      <c r="G78" s="7" t="s">
        <v>753</v>
      </c>
      <c r="H78" s="7" t="s">
        <v>754</v>
      </c>
      <c r="I78" s="3">
        <v>4.6626940000000001</v>
      </c>
      <c r="J78" s="3">
        <v>9.3976749999999996</v>
      </c>
      <c r="K78" s="33" t="s">
        <v>1456</v>
      </c>
      <c r="L78" s="7" t="s">
        <v>1457</v>
      </c>
      <c r="M78" s="7" t="s">
        <v>2082</v>
      </c>
      <c r="N78">
        <v>3500</v>
      </c>
      <c r="O78">
        <v>29.5</v>
      </c>
      <c r="P78" s="7" t="s">
        <v>2078</v>
      </c>
      <c r="Q78" t="s">
        <v>1461</v>
      </c>
      <c r="R78" s="3" t="s">
        <v>2167</v>
      </c>
      <c r="S78" s="7" t="s">
        <v>787</v>
      </c>
      <c r="T78" s="7" t="s">
        <v>865</v>
      </c>
      <c r="U78" s="7" t="s">
        <v>764</v>
      </c>
      <c r="V78" s="7" t="s">
        <v>2031</v>
      </c>
      <c r="W78" s="7" t="s">
        <v>766</v>
      </c>
      <c r="X78" s="7" t="s">
        <v>787</v>
      </c>
      <c r="Y78" s="7" t="s">
        <v>763</v>
      </c>
      <c r="Z78" s="7" t="s">
        <v>763</v>
      </c>
      <c r="AA78" s="7" t="s">
        <v>763</v>
      </c>
      <c r="AB78" s="7" t="s">
        <v>763</v>
      </c>
      <c r="AC78" s="7" t="s">
        <v>763</v>
      </c>
      <c r="AD78" s="7" t="s">
        <v>789</v>
      </c>
      <c r="AE78" s="7" t="s">
        <v>1464</v>
      </c>
      <c r="AF78" s="7">
        <v>79.48</v>
      </c>
      <c r="AG78" s="7">
        <f>AF78*AP78</f>
        <v>253064.32000000001</v>
      </c>
      <c r="AH78" s="7" t="s">
        <v>763</v>
      </c>
      <c r="AI78" s="7">
        <f t="shared" ref="AI78:AI84" si="4">AF78*3.65</f>
        <v>290.10200000000003</v>
      </c>
      <c r="AJ78" s="7" t="s">
        <v>1463</v>
      </c>
      <c r="AK78" s="33">
        <f>AM78+AN78</f>
        <v>197.37079999999997</v>
      </c>
      <c r="AL78" s="33">
        <f>AK78*AP78</f>
        <v>628428.62719999987</v>
      </c>
      <c r="AM78" s="7">
        <v>159.16999999999999</v>
      </c>
      <c r="AN78" s="33">
        <f>AM78*0.24</f>
        <v>38.200799999999994</v>
      </c>
      <c r="AO78">
        <v>3184</v>
      </c>
      <c r="AP78">
        <v>3184</v>
      </c>
      <c r="AQ78" s="8" t="s">
        <v>763</v>
      </c>
      <c r="AR78" s="8" t="s">
        <v>2019</v>
      </c>
      <c r="AS78" t="s">
        <v>1452</v>
      </c>
    </row>
    <row r="79" spans="1:45" x14ac:dyDescent="0.35">
      <c r="A79" s="3">
        <v>51</v>
      </c>
      <c r="B79" t="s">
        <v>516</v>
      </c>
      <c r="C79" t="s">
        <v>518</v>
      </c>
      <c r="D79" s="7" t="s">
        <v>751</v>
      </c>
      <c r="E79" s="7">
        <v>2021</v>
      </c>
      <c r="F79" s="3">
        <v>2017</v>
      </c>
      <c r="G79" s="7" t="s">
        <v>753</v>
      </c>
      <c r="H79" s="7" t="s">
        <v>754</v>
      </c>
      <c r="I79" s="3">
        <v>18.428277999999999</v>
      </c>
      <c r="J79" s="3">
        <v>-66.037861000000007</v>
      </c>
      <c r="K79" s="33" t="s">
        <v>1858</v>
      </c>
      <c r="L79" s="7" t="s">
        <v>1502</v>
      </c>
      <c r="M79" s="8" t="s">
        <v>2082</v>
      </c>
      <c r="N79" s="3">
        <v>1431.3</v>
      </c>
      <c r="O79" s="3">
        <v>27.2</v>
      </c>
      <c r="P79" s="3" t="s">
        <v>763</v>
      </c>
      <c r="Q79" t="s">
        <v>1113</v>
      </c>
      <c r="R79" s="3" t="s">
        <v>2167</v>
      </c>
      <c r="S79" s="7" t="s">
        <v>787</v>
      </c>
      <c r="T79" s="7" t="s">
        <v>865</v>
      </c>
      <c r="U79" s="7" t="s">
        <v>764</v>
      </c>
      <c r="V79" s="7" t="s">
        <v>2031</v>
      </c>
      <c r="W79" s="7" t="s">
        <v>766</v>
      </c>
      <c r="X79" s="7" t="s">
        <v>787</v>
      </c>
      <c r="Y79" s="7" t="s">
        <v>1507</v>
      </c>
      <c r="Z79" s="7">
        <f>AA79*AP79</f>
        <v>7727.2</v>
      </c>
      <c r="AA79" s="7">
        <v>5.2</v>
      </c>
      <c r="AB79" s="7">
        <f>Z79*3.65</f>
        <v>28204.28</v>
      </c>
      <c r="AC79" s="7">
        <f>AA79*3.65</f>
        <v>18.98</v>
      </c>
      <c r="AD79" s="7" t="s">
        <v>789</v>
      </c>
      <c r="AE79" s="7" t="s">
        <v>1508</v>
      </c>
      <c r="AF79" s="7">
        <v>90.1</v>
      </c>
      <c r="AG79" s="7">
        <v>208308</v>
      </c>
      <c r="AH79" s="7" t="s">
        <v>763</v>
      </c>
      <c r="AI79" s="7">
        <f t="shared" si="4"/>
        <v>328.86499999999995</v>
      </c>
      <c r="AJ79" s="33" t="s">
        <v>1509</v>
      </c>
      <c r="AK79" s="33">
        <f>AM79+AN79</f>
        <v>237.71063829787235</v>
      </c>
      <c r="AL79" s="33">
        <f>AK79*AP79</f>
        <v>353238.00851063832</v>
      </c>
      <c r="AM79" s="33">
        <f>AF79/0.47</f>
        <v>191.70212765957447</v>
      </c>
      <c r="AN79" s="33">
        <f>AM79*0.24</f>
        <v>46.008510638297871</v>
      </c>
      <c r="AO79" s="8">
        <v>1486</v>
      </c>
      <c r="AP79" s="8">
        <v>1486</v>
      </c>
      <c r="AQ79" s="8">
        <v>47</v>
      </c>
      <c r="AR79" s="8" t="s">
        <v>1503</v>
      </c>
      <c r="AS79" t="s">
        <v>2053</v>
      </c>
    </row>
    <row r="80" spans="1:45" x14ac:dyDescent="0.35">
      <c r="A80" s="3">
        <v>52</v>
      </c>
      <c r="B80" t="s">
        <v>521</v>
      </c>
      <c r="C80" t="s">
        <v>523</v>
      </c>
      <c r="D80" s="7" t="s">
        <v>751</v>
      </c>
      <c r="E80" s="7">
        <v>2014</v>
      </c>
      <c r="F80" s="3">
        <v>2010</v>
      </c>
      <c r="G80" s="7" t="s">
        <v>753</v>
      </c>
      <c r="H80" s="7" t="s">
        <v>754</v>
      </c>
      <c r="I80" s="3">
        <v>1.5100750000000001</v>
      </c>
      <c r="J80" s="3">
        <v>103.632458</v>
      </c>
      <c r="K80" s="33" t="s">
        <v>1778</v>
      </c>
      <c r="L80" s="8" t="s">
        <v>799</v>
      </c>
      <c r="M80" s="3" t="s">
        <v>2077</v>
      </c>
      <c r="N80" s="3">
        <v>2662</v>
      </c>
      <c r="O80" s="3">
        <v>28</v>
      </c>
      <c r="P80" s="3" t="s">
        <v>763</v>
      </c>
      <c r="Q80" t="s">
        <v>1886</v>
      </c>
      <c r="R80" s="3" t="s">
        <v>2167</v>
      </c>
      <c r="S80" s="7" t="s">
        <v>762</v>
      </c>
      <c r="T80" s="3" t="s">
        <v>1031</v>
      </c>
      <c r="U80" s="7" t="s">
        <v>2002</v>
      </c>
      <c r="V80" t="s">
        <v>2031</v>
      </c>
      <c r="W80" s="7" t="s">
        <v>766</v>
      </c>
      <c r="X80" s="7" t="s">
        <v>787</v>
      </c>
      <c r="Y80" s="7" t="s">
        <v>763</v>
      </c>
      <c r="Z80" s="7" t="s">
        <v>763</v>
      </c>
      <c r="AA80" s="7" t="s">
        <v>763</v>
      </c>
      <c r="AB80" s="7" t="s">
        <v>763</v>
      </c>
      <c r="AC80" s="7" t="s">
        <v>763</v>
      </c>
      <c r="AD80" s="7" t="s">
        <v>789</v>
      </c>
      <c r="AE80" s="7" t="s">
        <v>1520</v>
      </c>
      <c r="AF80" s="7">
        <v>70</v>
      </c>
      <c r="AG80" s="7">
        <f>AF80*AP80</f>
        <v>1750</v>
      </c>
      <c r="AH80" s="7" t="s">
        <v>763</v>
      </c>
      <c r="AI80" s="7">
        <f t="shared" si="4"/>
        <v>255.5</v>
      </c>
      <c r="AJ80" s="7" t="s">
        <v>763</v>
      </c>
      <c r="AK80" s="7" t="s">
        <v>763</v>
      </c>
      <c r="AL80" s="7" t="s">
        <v>763</v>
      </c>
      <c r="AM80" s="7" t="s">
        <v>763</v>
      </c>
      <c r="AN80" s="7" t="s">
        <v>763</v>
      </c>
      <c r="AO80" t="s">
        <v>1518</v>
      </c>
      <c r="AP80">
        <v>25</v>
      </c>
      <c r="AQ80" s="8" t="s">
        <v>763</v>
      </c>
      <c r="AR80" s="8" t="s">
        <v>2021</v>
      </c>
      <c r="AS80" t="s">
        <v>763</v>
      </c>
    </row>
    <row r="81" spans="1:45" x14ac:dyDescent="0.35">
      <c r="A81" s="3">
        <v>53</v>
      </c>
      <c r="B81" t="s">
        <v>535</v>
      </c>
      <c r="C81" t="s">
        <v>537</v>
      </c>
      <c r="D81" s="7" t="s">
        <v>751</v>
      </c>
      <c r="E81" s="7">
        <v>2025</v>
      </c>
      <c r="F81" s="4" t="s">
        <v>1534</v>
      </c>
      <c r="G81" s="7" t="s">
        <v>795</v>
      </c>
      <c r="H81" s="7" t="s">
        <v>754</v>
      </c>
      <c r="I81" s="3">
        <v>22.410833</v>
      </c>
      <c r="J81" s="3">
        <v>88.188610999999995</v>
      </c>
      <c r="K81" s="19" t="s">
        <v>1538</v>
      </c>
      <c r="L81" s="8" t="s">
        <v>756</v>
      </c>
      <c r="M81" s="3" t="s">
        <v>2095</v>
      </c>
      <c r="N81" s="3">
        <v>1656</v>
      </c>
      <c r="O81" s="3">
        <v>26</v>
      </c>
      <c r="P81" s="3" t="s">
        <v>1016</v>
      </c>
      <c r="Q81" s="3" t="s">
        <v>763</v>
      </c>
      <c r="R81" s="3" t="s">
        <v>2167</v>
      </c>
      <c r="S81" s="7" t="s">
        <v>762</v>
      </c>
      <c r="T81" s="7" t="s">
        <v>1235</v>
      </c>
      <c r="U81" s="7" t="s">
        <v>1541</v>
      </c>
      <c r="V81" t="s">
        <v>1744</v>
      </c>
      <c r="W81" s="3" t="s">
        <v>2165</v>
      </c>
      <c r="X81" s="7" t="s">
        <v>762</v>
      </c>
      <c r="Y81" s="7" t="s">
        <v>1545</v>
      </c>
      <c r="Z81" s="7">
        <f>AA81*AP81</f>
        <v>7696.0109589041094</v>
      </c>
      <c r="AA81" s="7">
        <f>AC81/3.65</f>
        <v>6.1273972602739722E-2</v>
      </c>
      <c r="AB81" s="7">
        <f>AC81*AP81</f>
        <v>28090.44</v>
      </c>
      <c r="AC81" s="7">
        <v>0.22364999999999999</v>
      </c>
      <c r="AD81" s="7" t="s">
        <v>768</v>
      </c>
      <c r="AE81" s="7" t="s">
        <v>1535</v>
      </c>
      <c r="AF81" s="7">
        <f>AG81/AP81</f>
        <v>39.933443501090132</v>
      </c>
      <c r="AG81" s="7">
        <f>((1992*6039109)+(2022*4007357))/(1992+2022)</f>
        <v>5015640.5037369207</v>
      </c>
      <c r="AH81" s="7" t="s">
        <v>763</v>
      </c>
      <c r="AI81" s="7">
        <f t="shared" si="4"/>
        <v>145.75706877897898</v>
      </c>
      <c r="AJ81" s="7" t="s">
        <v>763</v>
      </c>
      <c r="AK81" s="7" t="s">
        <v>763</v>
      </c>
      <c r="AL81" s="7" t="s">
        <v>763</v>
      </c>
      <c r="AM81" s="7" t="s">
        <v>763</v>
      </c>
      <c r="AN81" s="7" t="s">
        <v>763</v>
      </c>
      <c r="AO81" t="s">
        <v>2199</v>
      </c>
      <c r="AP81">
        <v>125600</v>
      </c>
      <c r="AQ81" s="8" t="s">
        <v>763</v>
      </c>
      <c r="AR81" s="8" t="s">
        <v>763</v>
      </c>
      <c r="AS81" s="8" t="s">
        <v>2210</v>
      </c>
    </row>
    <row r="82" spans="1:45" x14ac:dyDescent="0.35">
      <c r="A82" s="3">
        <v>54</v>
      </c>
      <c r="B82" t="s">
        <v>544</v>
      </c>
      <c r="C82" t="s">
        <v>546</v>
      </c>
      <c r="D82" s="7" t="s">
        <v>751</v>
      </c>
      <c r="E82" s="7">
        <v>2014</v>
      </c>
      <c r="F82" s="3" t="s">
        <v>763</v>
      </c>
      <c r="G82" s="7" t="s">
        <v>753</v>
      </c>
      <c r="H82" s="7" t="s">
        <v>754</v>
      </c>
      <c r="I82" s="3">
        <v>22.866667</v>
      </c>
      <c r="J82" s="3">
        <v>113.841667</v>
      </c>
      <c r="K82" s="19" t="s">
        <v>1550</v>
      </c>
      <c r="L82" s="8" t="s">
        <v>1546</v>
      </c>
      <c r="M82" s="3" t="s">
        <v>2092</v>
      </c>
      <c r="N82" s="3">
        <v>1956</v>
      </c>
      <c r="O82" s="3">
        <v>20.3</v>
      </c>
      <c r="P82" s="3" t="s">
        <v>763</v>
      </c>
      <c r="Q82" s="3" t="s">
        <v>763</v>
      </c>
      <c r="R82" s="30" t="s">
        <v>2130</v>
      </c>
      <c r="S82" s="7" t="s">
        <v>787</v>
      </c>
      <c r="T82" s="30" t="s">
        <v>1031</v>
      </c>
      <c r="U82" s="7" t="s">
        <v>764</v>
      </c>
      <c r="V82" s="7" t="s">
        <v>2026</v>
      </c>
      <c r="W82" s="7" t="s">
        <v>766</v>
      </c>
      <c r="X82" s="7" t="s">
        <v>787</v>
      </c>
      <c r="Y82" s="7" t="s">
        <v>763</v>
      </c>
      <c r="Z82" s="7" t="s">
        <v>763</v>
      </c>
      <c r="AA82" s="7" t="s">
        <v>763</v>
      </c>
      <c r="AB82" s="7" t="s">
        <v>763</v>
      </c>
      <c r="AC82" s="7" t="s">
        <v>763</v>
      </c>
      <c r="AD82" s="7" t="s">
        <v>789</v>
      </c>
      <c r="AE82" s="7" t="s">
        <v>2152</v>
      </c>
      <c r="AF82" s="7">
        <v>125</v>
      </c>
      <c r="AG82" s="7" t="s">
        <v>763</v>
      </c>
      <c r="AH82" s="7" t="s">
        <v>763</v>
      </c>
      <c r="AI82" s="7">
        <f t="shared" si="4"/>
        <v>456.25</v>
      </c>
      <c r="AJ82" s="7" t="s">
        <v>2157</v>
      </c>
      <c r="AK82" s="33">
        <f>AM82+AN82</f>
        <v>310</v>
      </c>
      <c r="AL82" s="33" t="s">
        <v>763</v>
      </c>
      <c r="AM82" s="7">
        <v>250</v>
      </c>
      <c r="AN82" s="33">
        <f>AM82*0.24</f>
        <v>60</v>
      </c>
      <c r="AO82" t="s">
        <v>763</v>
      </c>
      <c r="AP82" t="s">
        <v>763</v>
      </c>
      <c r="AQ82" s="8" t="s">
        <v>763</v>
      </c>
      <c r="AR82" s="8" t="s">
        <v>1547</v>
      </c>
      <c r="AS82" s="8" t="s">
        <v>2158</v>
      </c>
    </row>
    <row r="83" spans="1:45" x14ac:dyDescent="0.35">
      <c r="A83" s="3">
        <v>54</v>
      </c>
      <c r="B83" t="s">
        <v>544</v>
      </c>
      <c r="C83" t="s">
        <v>546</v>
      </c>
      <c r="D83" s="7" t="s">
        <v>751</v>
      </c>
      <c r="E83" s="7">
        <v>2014</v>
      </c>
      <c r="F83" s="3" t="s">
        <v>763</v>
      </c>
      <c r="G83" s="7" t="s">
        <v>753</v>
      </c>
      <c r="H83" s="7" t="s">
        <v>754</v>
      </c>
      <c r="I83" s="3">
        <v>22.866667</v>
      </c>
      <c r="J83" s="3">
        <v>113.841667</v>
      </c>
      <c r="K83" s="19" t="s">
        <v>1550</v>
      </c>
      <c r="L83" s="8" t="s">
        <v>1546</v>
      </c>
      <c r="M83" s="3" t="s">
        <v>2092</v>
      </c>
      <c r="N83" s="3">
        <v>1956</v>
      </c>
      <c r="O83" s="3">
        <v>20.3</v>
      </c>
      <c r="P83" s="3" t="s">
        <v>763</v>
      </c>
      <c r="Q83" s="3" t="s">
        <v>763</v>
      </c>
      <c r="R83" s="30" t="s">
        <v>2130</v>
      </c>
      <c r="S83" s="7" t="s">
        <v>787</v>
      </c>
      <c r="T83" s="30" t="s">
        <v>865</v>
      </c>
      <c r="U83" s="7" t="s">
        <v>764</v>
      </c>
      <c r="V83" s="7" t="s">
        <v>2026</v>
      </c>
      <c r="W83" s="7" t="s">
        <v>766</v>
      </c>
      <c r="X83" s="7" t="s">
        <v>787</v>
      </c>
      <c r="Y83" s="7" t="s">
        <v>763</v>
      </c>
      <c r="Z83" s="7" t="s">
        <v>763</v>
      </c>
      <c r="AA83" s="7" t="s">
        <v>763</v>
      </c>
      <c r="AB83" s="7" t="s">
        <v>763</v>
      </c>
      <c r="AC83" s="7" t="s">
        <v>763</v>
      </c>
      <c r="AD83" s="7" t="s">
        <v>789</v>
      </c>
      <c r="AE83" s="7" t="s">
        <v>2153</v>
      </c>
      <c r="AF83" s="7">
        <v>174.5</v>
      </c>
      <c r="AG83" s="7" t="s">
        <v>763</v>
      </c>
      <c r="AH83" s="7" t="s">
        <v>763</v>
      </c>
      <c r="AI83" s="7">
        <f t="shared" si="4"/>
        <v>636.92499999999995</v>
      </c>
      <c r="AJ83" s="7" t="s">
        <v>2156</v>
      </c>
      <c r="AK83" s="33">
        <f>AM83+AN83</f>
        <v>446.4</v>
      </c>
      <c r="AL83" s="33" t="s">
        <v>763</v>
      </c>
      <c r="AM83" s="7">
        <v>360</v>
      </c>
      <c r="AN83" s="33">
        <f>AM83*0.24</f>
        <v>86.399999999999991</v>
      </c>
      <c r="AO83" t="s">
        <v>763</v>
      </c>
      <c r="AP83" t="s">
        <v>763</v>
      </c>
      <c r="AQ83" s="8" t="s">
        <v>763</v>
      </c>
      <c r="AR83" s="8" t="s">
        <v>1547</v>
      </c>
      <c r="AS83" s="8" t="s">
        <v>2160</v>
      </c>
    </row>
    <row r="84" spans="1:45" s="37" customFormat="1" x14ac:dyDescent="0.35">
      <c r="A84" s="3">
        <v>54</v>
      </c>
      <c r="B84" t="s">
        <v>544</v>
      </c>
      <c r="C84" t="s">
        <v>546</v>
      </c>
      <c r="D84" s="7" t="s">
        <v>751</v>
      </c>
      <c r="E84" s="7">
        <v>2014</v>
      </c>
      <c r="F84" s="3" t="s">
        <v>763</v>
      </c>
      <c r="G84" s="7" t="s">
        <v>753</v>
      </c>
      <c r="H84" s="7" t="s">
        <v>754</v>
      </c>
      <c r="I84" s="3">
        <v>22.866667</v>
      </c>
      <c r="J84" s="3">
        <v>113.841667</v>
      </c>
      <c r="K84" s="19" t="s">
        <v>1550</v>
      </c>
      <c r="L84" s="8" t="s">
        <v>1546</v>
      </c>
      <c r="M84" s="3" t="s">
        <v>2092</v>
      </c>
      <c r="N84" s="3">
        <v>1956</v>
      </c>
      <c r="O84" s="3">
        <v>20.3</v>
      </c>
      <c r="P84" s="3" t="s">
        <v>763</v>
      </c>
      <c r="Q84" s="3" t="s">
        <v>763</v>
      </c>
      <c r="R84" s="30" t="s">
        <v>2130</v>
      </c>
      <c r="S84" s="7" t="s">
        <v>787</v>
      </c>
      <c r="T84" s="30" t="s">
        <v>1238</v>
      </c>
      <c r="U84" s="7" t="s">
        <v>764</v>
      </c>
      <c r="V84" s="7" t="s">
        <v>2026</v>
      </c>
      <c r="W84" s="7" t="s">
        <v>766</v>
      </c>
      <c r="X84" s="7" t="s">
        <v>787</v>
      </c>
      <c r="Y84" s="7" t="s">
        <v>763</v>
      </c>
      <c r="Z84" s="7" t="s">
        <v>763</v>
      </c>
      <c r="AA84" s="7" t="s">
        <v>763</v>
      </c>
      <c r="AB84" s="7" t="s">
        <v>763</v>
      </c>
      <c r="AC84" s="7" t="s">
        <v>763</v>
      </c>
      <c r="AD84" s="7" t="s">
        <v>789</v>
      </c>
      <c r="AE84" s="7" t="s">
        <v>2154</v>
      </c>
      <c r="AF84" s="7">
        <v>90</v>
      </c>
      <c r="AG84" s="7" t="s">
        <v>763</v>
      </c>
      <c r="AH84" s="7" t="s">
        <v>763</v>
      </c>
      <c r="AI84" s="7">
        <f t="shared" si="4"/>
        <v>328.5</v>
      </c>
      <c r="AJ84" s="7" t="s">
        <v>2155</v>
      </c>
      <c r="AK84" s="33">
        <f>AM84+AN84</f>
        <v>223.2</v>
      </c>
      <c r="AL84" s="33" t="s">
        <v>763</v>
      </c>
      <c r="AM84" s="7">
        <v>180</v>
      </c>
      <c r="AN84" s="33">
        <f>AM84*0.24</f>
        <v>43.199999999999996</v>
      </c>
      <c r="AO84" t="s">
        <v>763</v>
      </c>
      <c r="AP84" t="s">
        <v>763</v>
      </c>
      <c r="AQ84" s="8" t="s">
        <v>763</v>
      </c>
      <c r="AR84" s="8" t="s">
        <v>1547</v>
      </c>
      <c r="AS84" s="8" t="s">
        <v>2159</v>
      </c>
    </row>
    <row r="85" spans="1:45" x14ac:dyDescent="0.35">
      <c r="A85" s="12">
        <v>54</v>
      </c>
      <c r="B85" s="37" t="s">
        <v>544</v>
      </c>
      <c r="C85" s="37" t="s">
        <v>546</v>
      </c>
      <c r="D85" s="13" t="s">
        <v>751</v>
      </c>
      <c r="E85" s="13">
        <v>2014</v>
      </c>
      <c r="F85" s="12" t="s">
        <v>763</v>
      </c>
      <c r="G85" s="13" t="s">
        <v>753</v>
      </c>
      <c r="H85" s="13" t="s">
        <v>754</v>
      </c>
      <c r="I85" s="12">
        <v>22.866667</v>
      </c>
      <c r="J85" s="12">
        <v>113.841667</v>
      </c>
      <c r="K85" s="37" t="s">
        <v>1550</v>
      </c>
      <c r="L85" s="14" t="s">
        <v>1546</v>
      </c>
      <c r="M85" s="12" t="s">
        <v>2092</v>
      </c>
      <c r="N85" s="12">
        <v>1956</v>
      </c>
      <c r="O85" s="12">
        <v>20.3</v>
      </c>
      <c r="P85" s="12" t="s">
        <v>763</v>
      </c>
      <c r="Q85" s="12" t="s">
        <v>763</v>
      </c>
      <c r="R85" s="14" t="s">
        <v>2130</v>
      </c>
      <c r="S85" s="13" t="s">
        <v>787</v>
      </c>
      <c r="T85" s="14" t="s">
        <v>1561</v>
      </c>
      <c r="U85" s="13" t="s">
        <v>764</v>
      </c>
      <c r="V85" s="13" t="s">
        <v>2026</v>
      </c>
      <c r="W85" s="13" t="s">
        <v>766</v>
      </c>
      <c r="X85" s="13" t="s">
        <v>787</v>
      </c>
      <c r="Y85" s="13" t="s">
        <v>763</v>
      </c>
      <c r="Z85" s="13" t="s">
        <v>763</v>
      </c>
      <c r="AA85" s="13" t="s">
        <v>763</v>
      </c>
      <c r="AB85" s="13" t="s">
        <v>763</v>
      </c>
      <c r="AC85" s="13" t="s">
        <v>763</v>
      </c>
      <c r="AD85" s="13" t="s">
        <v>789</v>
      </c>
      <c r="AE85" s="13" t="s">
        <v>1566</v>
      </c>
      <c r="AF85" s="13" t="s">
        <v>1566</v>
      </c>
      <c r="AG85" s="13" t="s">
        <v>763</v>
      </c>
      <c r="AH85" s="13" t="s">
        <v>763</v>
      </c>
      <c r="AI85" s="13" t="s">
        <v>763</v>
      </c>
      <c r="AJ85" s="13" t="s">
        <v>1563</v>
      </c>
      <c r="AK85" s="13" t="s">
        <v>763</v>
      </c>
      <c r="AL85" s="13" t="s">
        <v>763</v>
      </c>
      <c r="AM85" s="13" t="s">
        <v>1563</v>
      </c>
      <c r="AN85" s="37" t="s">
        <v>763</v>
      </c>
      <c r="AO85" s="37" t="s">
        <v>763</v>
      </c>
      <c r="AP85" s="37" t="s">
        <v>763</v>
      </c>
      <c r="AQ85" s="14" t="s">
        <v>763</v>
      </c>
      <c r="AR85" s="14" t="s">
        <v>1547</v>
      </c>
      <c r="AS85" s="14" t="s">
        <v>1553</v>
      </c>
    </row>
    <row r="86" spans="1:45" x14ac:dyDescent="0.35">
      <c r="A86" s="3">
        <v>56</v>
      </c>
      <c r="B86" t="s">
        <v>549</v>
      </c>
      <c r="C86" t="s">
        <v>551</v>
      </c>
      <c r="D86" s="7" t="s">
        <v>751</v>
      </c>
      <c r="E86" s="7">
        <v>2022</v>
      </c>
      <c r="F86" s="3">
        <v>2018</v>
      </c>
      <c r="G86" s="7" t="s">
        <v>753</v>
      </c>
      <c r="H86" s="7" t="s">
        <v>754</v>
      </c>
      <c r="I86" s="3">
        <v>13.7525</v>
      </c>
      <c r="J86" s="3">
        <v>100.494167</v>
      </c>
      <c r="K86" s="19" t="s">
        <v>1572</v>
      </c>
      <c r="L86" s="8" t="s">
        <v>1068</v>
      </c>
      <c r="M86" s="3" t="s">
        <v>2095</v>
      </c>
      <c r="N86" s="3">
        <v>1207</v>
      </c>
      <c r="O86" s="3">
        <v>27.7</v>
      </c>
      <c r="P86" s="3" t="s">
        <v>763</v>
      </c>
      <c r="Q86" t="s">
        <v>1573</v>
      </c>
      <c r="R86" t="s">
        <v>1560</v>
      </c>
      <c r="S86" s="7" t="s">
        <v>787</v>
      </c>
      <c r="T86" s="7" t="s">
        <v>1235</v>
      </c>
      <c r="U86" s="7" t="s">
        <v>764</v>
      </c>
      <c r="V86" s="7" t="s">
        <v>2026</v>
      </c>
      <c r="W86" s="7" t="s">
        <v>766</v>
      </c>
      <c r="X86" s="7" t="s">
        <v>787</v>
      </c>
      <c r="Y86" s="7" t="s">
        <v>763</v>
      </c>
      <c r="Z86" s="7" t="s">
        <v>763</v>
      </c>
      <c r="AA86" s="7" t="s">
        <v>763</v>
      </c>
      <c r="AB86" s="7" t="s">
        <v>763</v>
      </c>
      <c r="AC86" s="7" t="s">
        <v>763</v>
      </c>
      <c r="AD86" s="7" t="s">
        <v>768</v>
      </c>
      <c r="AE86" s="7" t="s">
        <v>1578</v>
      </c>
      <c r="AF86" s="7">
        <v>17.75</v>
      </c>
      <c r="AG86" s="7">
        <f>AF86*AP86</f>
        <v>9940000</v>
      </c>
      <c r="AH86" s="7">
        <f>AG86*3.65</f>
        <v>36281000</v>
      </c>
      <c r="AI86" s="7">
        <f>AF86*3.65</f>
        <v>64.787499999999994</v>
      </c>
      <c r="AJ86" s="7" t="s">
        <v>1577</v>
      </c>
      <c r="AK86" s="7">
        <v>6242.19</v>
      </c>
      <c r="AL86" s="7">
        <f>AK86*AP86</f>
        <v>3495626400</v>
      </c>
      <c r="AM86" s="7">
        <f>AK86/1.24</f>
        <v>5034.0241935483864</v>
      </c>
      <c r="AN86" s="7">
        <f>AM86*0.24</f>
        <v>1208.1658064516128</v>
      </c>
      <c r="AO86" t="s">
        <v>2200</v>
      </c>
      <c r="AP86">
        <v>560000</v>
      </c>
      <c r="AQ86" s="8" t="s">
        <v>763</v>
      </c>
      <c r="AR86" s="8" t="s">
        <v>1570</v>
      </c>
      <c r="AS86" s="11" t="s">
        <v>2055</v>
      </c>
    </row>
    <row r="87" spans="1:45" x14ac:dyDescent="0.35">
      <c r="A87" s="3">
        <v>55</v>
      </c>
      <c r="B87" t="s">
        <v>554</v>
      </c>
      <c r="C87" t="s">
        <v>556</v>
      </c>
      <c r="D87" s="7" t="s">
        <v>751</v>
      </c>
      <c r="E87" s="7">
        <v>2018</v>
      </c>
      <c r="F87" s="3">
        <v>2014</v>
      </c>
      <c r="G87" s="7" t="s">
        <v>753</v>
      </c>
      <c r="H87" s="7" t="s">
        <v>754</v>
      </c>
      <c r="I87" s="3">
        <v>6.6833330000000002</v>
      </c>
      <c r="J87" s="3">
        <v>-1.6166670000000001</v>
      </c>
      <c r="K87" s="19" t="s">
        <v>1554</v>
      </c>
      <c r="L87" s="8" t="s">
        <v>1325</v>
      </c>
      <c r="M87" s="3" t="s">
        <v>2095</v>
      </c>
      <c r="N87" s="8">
        <v>1250</v>
      </c>
      <c r="O87" s="28">
        <v>26.4</v>
      </c>
      <c r="P87" s="3" t="s">
        <v>763</v>
      </c>
      <c r="Q87" t="s">
        <v>1886</v>
      </c>
      <c r="R87" t="s">
        <v>1560</v>
      </c>
      <c r="S87" s="7" t="s">
        <v>787</v>
      </c>
      <c r="T87" s="7" t="s">
        <v>1235</v>
      </c>
      <c r="U87" s="7" t="s">
        <v>764</v>
      </c>
      <c r="V87" s="7" t="s">
        <v>2026</v>
      </c>
      <c r="W87" s="7" t="s">
        <v>766</v>
      </c>
      <c r="X87" s="7" t="s">
        <v>787</v>
      </c>
      <c r="Y87" s="7" t="s">
        <v>763</v>
      </c>
      <c r="Z87" s="7" t="s">
        <v>763</v>
      </c>
      <c r="AA87" s="7" t="s">
        <v>763</v>
      </c>
      <c r="AB87" s="7" t="s">
        <v>763</v>
      </c>
      <c r="AC87" s="7" t="s">
        <v>763</v>
      </c>
      <c r="AD87" s="7" t="s">
        <v>789</v>
      </c>
      <c r="AE87" s="7" t="s">
        <v>1562</v>
      </c>
      <c r="AF87" s="7">
        <v>228</v>
      </c>
      <c r="AG87" s="7">
        <v>1200000</v>
      </c>
      <c r="AH87" s="7">
        <f>AG87*3.65</f>
        <v>4380000</v>
      </c>
      <c r="AI87" s="7">
        <f>AF87*3.65</f>
        <v>832.19999999999993</v>
      </c>
      <c r="AJ87" s="7" t="s">
        <v>1568</v>
      </c>
      <c r="AK87" s="33">
        <f>AM87+AN87</f>
        <v>667489.36170212761</v>
      </c>
      <c r="AL87" s="33">
        <f>AK87*AP87</f>
        <v>3137200</v>
      </c>
      <c r="AM87" s="7">
        <f>2530000/AO87</f>
        <v>538297.8723404255</v>
      </c>
      <c r="AN87" s="33">
        <f>AM87*0.24</f>
        <v>129191.48936170212</v>
      </c>
      <c r="AO87">
        <v>4.7</v>
      </c>
      <c r="AP87">
        <v>4.7</v>
      </c>
      <c r="AQ87" s="8" t="s">
        <v>763</v>
      </c>
      <c r="AR87" s="8" t="s">
        <v>1569</v>
      </c>
      <c r="AS87" t="s">
        <v>2054</v>
      </c>
    </row>
    <row r="88" spans="1:45" x14ac:dyDescent="0.35">
      <c r="A88" s="3">
        <v>57</v>
      </c>
      <c r="B88" t="s">
        <v>564</v>
      </c>
      <c r="C88" t="s">
        <v>566</v>
      </c>
      <c r="D88" s="7" t="s">
        <v>751</v>
      </c>
      <c r="E88" s="7">
        <v>2022</v>
      </c>
      <c r="F88" s="3" t="s">
        <v>1907</v>
      </c>
      <c r="G88" s="7" t="s">
        <v>753</v>
      </c>
      <c r="H88" s="7" t="s">
        <v>776</v>
      </c>
      <c r="I88" s="3">
        <v>-5.1166669999999996</v>
      </c>
      <c r="J88" s="3">
        <v>105.3</v>
      </c>
      <c r="K88" s="19" t="s">
        <v>2087</v>
      </c>
      <c r="L88" s="8" t="s">
        <v>832</v>
      </c>
      <c r="M88" s="3" t="s">
        <v>2077</v>
      </c>
      <c r="N88" s="3">
        <v>2052</v>
      </c>
      <c r="O88" s="3">
        <v>25.9</v>
      </c>
      <c r="P88" s="3" t="s">
        <v>759</v>
      </c>
      <c r="Q88" s="3" t="s">
        <v>763</v>
      </c>
      <c r="R88" s="3" t="s">
        <v>2166</v>
      </c>
      <c r="S88" s="7" t="s">
        <v>762</v>
      </c>
      <c r="T88" s="3" t="s">
        <v>1031</v>
      </c>
      <c r="U88" s="7" t="s">
        <v>764</v>
      </c>
      <c r="V88" s="7" t="s">
        <v>2031</v>
      </c>
      <c r="W88" s="7" t="s">
        <v>766</v>
      </c>
      <c r="X88" s="7" t="s">
        <v>762</v>
      </c>
      <c r="Y88" s="7" t="s">
        <v>1584</v>
      </c>
      <c r="Z88" s="7">
        <f>AB88/3.65</f>
        <v>15.731506849315069</v>
      </c>
      <c r="AA88" s="7" t="s">
        <v>763</v>
      </c>
      <c r="AB88" s="7">
        <v>57.42</v>
      </c>
      <c r="AC88" s="7" t="s">
        <v>763</v>
      </c>
      <c r="AD88" s="7" t="s">
        <v>789</v>
      </c>
      <c r="AE88" s="7" t="s">
        <v>1589</v>
      </c>
      <c r="AF88" s="7" t="s">
        <v>763</v>
      </c>
      <c r="AG88" s="7">
        <v>15.65</v>
      </c>
      <c r="AH88" s="7">
        <v>57.42</v>
      </c>
      <c r="AI88" s="7" t="s">
        <v>763</v>
      </c>
      <c r="AJ88" s="7" t="s">
        <v>1585</v>
      </c>
      <c r="AK88" s="33" t="s">
        <v>763</v>
      </c>
      <c r="AL88" s="33" t="s">
        <v>763</v>
      </c>
      <c r="AM88" s="31" t="s">
        <v>2235</v>
      </c>
      <c r="AN88" s="33" t="s">
        <v>763</v>
      </c>
      <c r="AO88" s="32" t="s">
        <v>763</v>
      </c>
      <c r="AP88" s="32" t="s">
        <v>763</v>
      </c>
      <c r="AQ88" s="8" t="s">
        <v>763</v>
      </c>
      <c r="AR88" t="s">
        <v>1571</v>
      </c>
      <c r="AS88" t="s">
        <v>1581</v>
      </c>
    </row>
    <row r="89" spans="1:45" x14ac:dyDescent="0.35">
      <c r="A89" s="3">
        <v>58</v>
      </c>
      <c r="B89" t="s">
        <v>578</v>
      </c>
      <c r="C89" t="s">
        <v>580</v>
      </c>
      <c r="D89" s="7" t="s">
        <v>751</v>
      </c>
      <c r="E89" s="7">
        <v>2024</v>
      </c>
      <c r="F89" s="3" t="s">
        <v>763</v>
      </c>
      <c r="G89" s="7" t="s">
        <v>753</v>
      </c>
      <c r="H89" s="7" t="s">
        <v>754</v>
      </c>
      <c r="I89" s="3">
        <v>11.183332999999999</v>
      </c>
      <c r="J89" s="3">
        <v>-4.2833329999999998</v>
      </c>
      <c r="K89" s="19" t="s">
        <v>1374</v>
      </c>
      <c r="L89" s="8" t="s">
        <v>1373</v>
      </c>
      <c r="M89" s="3" t="s">
        <v>2095</v>
      </c>
      <c r="N89" s="8">
        <v>1000</v>
      </c>
      <c r="O89" s="8">
        <v>22.5</v>
      </c>
      <c r="P89" s="3" t="s">
        <v>763</v>
      </c>
      <c r="Q89" t="s">
        <v>1887</v>
      </c>
      <c r="R89" s="3" t="s">
        <v>2167</v>
      </c>
      <c r="S89" s="7" t="s">
        <v>787</v>
      </c>
      <c r="T89" s="7" t="s">
        <v>865</v>
      </c>
      <c r="U89" s="7" t="s">
        <v>764</v>
      </c>
      <c r="V89" s="7" t="s">
        <v>2026</v>
      </c>
      <c r="W89" s="7" t="s">
        <v>766</v>
      </c>
      <c r="X89" s="7" t="s">
        <v>787</v>
      </c>
      <c r="Y89" s="7" t="s">
        <v>763</v>
      </c>
      <c r="Z89" s="7" t="s">
        <v>763</v>
      </c>
      <c r="AA89" s="7" t="s">
        <v>763</v>
      </c>
      <c r="AB89" s="7" t="s">
        <v>763</v>
      </c>
      <c r="AC89" s="7" t="s">
        <v>763</v>
      </c>
      <c r="AD89" s="7" t="s">
        <v>789</v>
      </c>
      <c r="AE89" s="7" t="s">
        <v>1597</v>
      </c>
      <c r="AF89" s="7">
        <f>((26.21*350)+(13.39*8500))/(350+8500)</f>
        <v>13.897005649717514</v>
      </c>
      <c r="AG89" s="7">
        <f>AF89*AP89</f>
        <v>122988.5</v>
      </c>
      <c r="AH89" s="7">
        <f>AG89*3.65</f>
        <v>448908.02499999997</v>
      </c>
      <c r="AI89" s="7">
        <f>AF89*3.65</f>
        <v>50.724070621468925</v>
      </c>
      <c r="AJ89" s="7" t="s">
        <v>1598</v>
      </c>
      <c r="AK89" s="33">
        <f>AM89+AN89</f>
        <v>8.6104338983050841</v>
      </c>
      <c r="AL89" s="33">
        <f>AK89*AP89</f>
        <v>76202.34</v>
      </c>
      <c r="AM89" s="7">
        <f>((13.11*350)+(6.69*8500))/(350+8500)</f>
        <v>6.9438983050847458</v>
      </c>
      <c r="AN89" s="33">
        <f>AM89*0.24</f>
        <v>1.666535593220339</v>
      </c>
      <c r="AO89" s="8" t="s">
        <v>1600</v>
      </c>
      <c r="AP89" s="8">
        <f>350+8500</f>
        <v>8850</v>
      </c>
      <c r="AQ89" s="8" t="s">
        <v>763</v>
      </c>
      <c r="AR89" s="8" t="s">
        <v>2022</v>
      </c>
      <c r="AS89" t="s">
        <v>2062</v>
      </c>
    </row>
    <row r="90" spans="1:45" x14ac:dyDescent="0.35">
      <c r="A90" s="3">
        <v>59</v>
      </c>
      <c r="B90" t="s">
        <v>593</v>
      </c>
      <c r="C90" t="s">
        <v>595</v>
      </c>
      <c r="D90" s="7" t="s">
        <v>751</v>
      </c>
      <c r="E90" s="7">
        <v>2025</v>
      </c>
      <c r="F90" s="3" t="s">
        <v>830</v>
      </c>
      <c r="G90" s="7" t="s">
        <v>753</v>
      </c>
      <c r="H90" s="7" t="s">
        <v>776</v>
      </c>
      <c r="I90" s="3">
        <v>-6.8848890000000003</v>
      </c>
      <c r="J90" s="3">
        <v>107.61061100000001</v>
      </c>
      <c r="K90" s="19" t="s">
        <v>831</v>
      </c>
      <c r="L90" s="8" t="s">
        <v>832</v>
      </c>
      <c r="M90" s="3" t="s">
        <v>2077</v>
      </c>
      <c r="N90">
        <v>3710</v>
      </c>
      <c r="O90" s="3">
        <v>22.4</v>
      </c>
      <c r="P90" s="3" t="s">
        <v>759</v>
      </c>
      <c r="Q90" t="s">
        <v>1886</v>
      </c>
      <c r="R90" s="3" t="s">
        <v>2167</v>
      </c>
      <c r="S90" s="7" t="s">
        <v>762</v>
      </c>
      <c r="T90" s="3" t="s">
        <v>1031</v>
      </c>
      <c r="U90" s="7" t="s">
        <v>2003</v>
      </c>
      <c r="V90" s="7" t="s">
        <v>2035</v>
      </c>
      <c r="W90" s="7" t="s">
        <v>766</v>
      </c>
      <c r="X90" s="7" t="s">
        <v>787</v>
      </c>
      <c r="Y90" s="7" t="s">
        <v>1606</v>
      </c>
      <c r="Z90" s="7">
        <v>25.17</v>
      </c>
      <c r="AA90" s="7">
        <f>Z90/AP90</f>
        <v>5.0340000000000007</v>
      </c>
      <c r="AB90" s="7">
        <f>Z90*3.65</f>
        <v>91.870500000000007</v>
      </c>
      <c r="AC90" s="7">
        <f>AB90/AP90</f>
        <v>18.374100000000002</v>
      </c>
      <c r="AD90" s="7" t="s">
        <v>768</v>
      </c>
      <c r="AE90" s="8" t="s">
        <v>1605</v>
      </c>
      <c r="AF90" s="8">
        <f>AG90/AP90</f>
        <v>76.2</v>
      </c>
      <c r="AG90" s="8">
        <v>381</v>
      </c>
      <c r="AH90" s="7">
        <f>AG90*3.65</f>
        <v>1390.6499999999999</v>
      </c>
      <c r="AI90" s="7">
        <f>AF90*3.65</f>
        <v>278.13</v>
      </c>
      <c r="AJ90" s="7" t="s">
        <v>763</v>
      </c>
      <c r="AK90" s="7" t="s">
        <v>763</v>
      </c>
      <c r="AL90" s="7" t="s">
        <v>763</v>
      </c>
      <c r="AM90" s="7" t="s">
        <v>763</v>
      </c>
      <c r="AN90" s="7" t="s">
        <v>763</v>
      </c>
      <c r="AO90" s="8" t="s">
        <v>1604</v>
      </c>
      <c r="AP90" s="8">
        <v>5</v>
      </c>
      <c r="AQ90" s="8" t="s">
        <v>763</v>
      </c>
      <c r="AR90" s="8" t="s">
        <v>2023</v>
      </c>
      <c r="AS90" t="s">
        <v>2056</v>
      </c>
    </row>
    <row r="91" spans="1:45" x14ac:dyDescent="0.35">
      <c r="A91" s="3">
        <v>60</v>
      </c>
      <c r="B91" t="s">
        <v>607</v>
      </c>
      <c r="C91" t="s">
        <v>1611</v>
      </c>
      <c r="D91" s="7" t="s">
        <v>751</v>
      </c>
      <c r="E91" s="7">
        <v>2013</v>
      </c>
      <c r="F91" s="3" t="s">
        <v>1626</v>
      </c>
      <c r="G91" s="7" t="s">
        <v>795</v>
      </c>
      <c r="H91" s="7" t="s">
        <v>754</v>
      </c>
      <c r="I91" s="3">
        <v>1.3142940000000001</v>
      </c>
      <c r="J91" s="3">
        <v>103.911197</v>
      </c>
      <c r="K91" s="19" t="s">
        <v>1159</v>
      </c>
      <c r="L91" s="8" t="s">
        <v>1159</v>
      </c>
      <c r="M91" s="8" t="s">
        <v>2082</v>
      </c>
      <c r="N91" s="8">
        <v>197.5</v>
      </c>
      <c r="O91">
        <v>27.5</v>
      </c>
      <c r="P91" s="7" t="s">
        <v>2078</v>
      </c>
      <c r="Q91" t="s">
        <v>1860</v>
      </c>
      <c r="R91" t="s">
        <v>1560</v>
      </c>
      <c r="S91" s="7" t="s">
        <v>787</v>
      </c>
      <c r="T91" s="3" t="s">
        <v>1031</v>
      </c>
      <c r="U91" s="7" t="s">
        <v>764</v>
      </c>
      <c r="V91" s="7" t="s">
        <v>2027</v>
      </c>
      <c r="W91" s="3" t="s">
        <v>2165</v>
      </c>
      <c r="X91" s="7" t="s">
        <v>787</v>
      </c>
      <c r="Y91" s="8" t="s">
        <v>1621</v>
      </c>
      <c r="Z91" s="8">
        <f>AB91/3.65</f>
        <v>13972.602739726028</v>
      </c>
      <c r="AA91" s="8">
        <f>Z91/AP91</f>
        <v>177.99493935956724</v>
      </c>
      <c r="AB91" s="8">
        <v>51000</v>
      </c>
      <c r="AC91" s="8">
        <f>AB91/AP91</f>
        <v>649.68152866242042</v>
      </c>
      <c r="AD91" s="7" t="s">
        <v>768</v>
      </c>
      <c r="AE91" s="8" t="s">
        <v>1623</v>
      </c>
      <c r="AF91" s="8">
        <f>AI91/3.65</f>
        <v>17.361643835616437</v>
      </c>
      <c r="AG91" s="8">
        <f>AF91*AP91</f>
        <v>1362.8890410958904</v>
      </c>
      <c r="AH91" s="8">
        <f>AI91*AP91</f>
        <v>4974.5450000000001</v>
      </c>
      <c r="AI91" s="8">
        <v>63.37</v>
      </c>
      <c r="AJ91" s="3" t="s">
        <v>1625</v>
      </c>
      <c r="AK91" s="3">
        <v>348.4</v>
      </c>
      <c r="AL91" s="7">
        <f>AK91*AP91</f>
        <v>27349.399999999998</v>
      </c>
      <c r="AM91" s="7">
        <f>AK91/1.24</f>
        <v>280.96774193548384</v>
      </c>
      <c r="AN91" s="7">
        <f>AM91*0.24</f>
        <v>67.43225806451612</v>
      </c>
      <c r="AO91" s="8" t="s">
        <v>1624</v>
      </c>
      <c r="AP91" s="8">
        <v>78.5</v>
      </c>
      <c r="AQ91" s="8" t="s">
        <v>763</v>
      </c>
      <c r="AR91" s="8" t="s">
        <v>1636</v>
      </c>
      <c r="AS91" t="s">
        <v>2057</v>
      </c>
    </row>
    <row r="92" spans="1:45" x14ac:dyDescent="0.35">
      <c r="A92" s="3">
        <v>61</v>
      </c>
      <c r="B92" t="s">
        <v>624</v>
      </c>
      <c r="C92" t="s">
        <v>626</v>
      </c>
      <c r="D92" s="7" t="s">
        <v>751</v>
      </c>
      <c r="E92" s="7">
        <v>2020</v>
      </c>
      <c r="F92" s="3" t="s">
        <v>763</v>
      </c>
      <c r="G92" s="7" t="s">
        <v>753</v>
      </c>
      <c r="H92" s="7" t="s">
        <v>776</v>
      </c>
      <c r="I92" s="3">
        <v>-1.4837</v>
      </c>
      <c r="J92" s="3">
        <v>-78.002600000000001</v>
      </c>
      <c r="K92" s="19" t="s">
        <v>1628</v>
      </c>
      <c r="L92" t="s">
        <v>1627</v>
      </c>
      <c r="M92" s="8" t="s">
        <v>2077</v>
      </c>
      <c r="N92" s="8">
        <v>2500</v>
      </c>
      <c r="O92" s="8">
        <v>21.35</v>
      </c>
      <c r="P92" s="3" t="s">
        <v>763</v>
      </c>
      <c r="Q92" t="s">
        <v>1633</v>
      </c>
      <c r="R92" s="3" t="s">
        <v>2167</v>
      </c>
      <c r="S92" s="7" t="s">
        <v>787</v>
      </c>
      <c r="T92" s="7" t="s">
        <v>865</v>
      </c>
      <c r="U92" s="7" t="s">
        <v>764</v>
      </c>
      <c r="V92" s="7" t="s">
        <v>2036</v>
      </c>
      <c r="W92" s="33" t="s">
        <v>1241</v>
      </c>
      <c r="X92" s="7" t="s">
        <v>787</v>
      </c>
      <c r="Y92" s="7" t="s">
        <v>763</v>
      </c>
      <c r="Z92" s="7" t="s">
        <v>763</v>
      </c>
      <c r="AA92" s="7" t="s">
        <v>763</v>
      </c>
      <c r="AB92" s="7" t="s">
        <v>763</v>
      </c>
      <c r="AC92" s="7" t="s">
        <v>763</v>
      </c>
      <c r="AD92" s="7" t="s">
        <v>789</v>
      </c>
      <c r="AE92" s="8" t="s">
        <v>1637</v>
      </c>
      <c r="AF92" s="8">
        <v>91.46</v>
      </c>
      <c r="AG92" s="8">
        <f>AF92*AP92</f>
        <v>585.34399999999994</v>
      </c>
      <c r="AH92" s="8">
        <v>1664683</v>
      </c>
      <c r="AI92" s="8">
        <f>AF92*3.65</f>
        <v>333.82899999999995</v>
      </c>
      <c r="AJ92" s="7" t="s">
        <v>1638</v>
      </c>
      <c r="AK92" s="33">
        <f>AM92+AN92</f>
        <v>146.5804</v>
      </c>
      <c r="AL92" s="33">
        <f>AK92*AP92</f>
        <v>938.11455999999998</v>
      </c>
      <c r="AM92" s="7">
        <v>118.21</v>
      </c>
      <c r="AN92" s="33">
        <f>AM92*0.24</f>
        <v>28.370399999999997</v>
      </c>
      <c r="AO92" s="8" t="s">
        <v>1639</v>
      </c>
      <c r="AP92" s="8">
        <v>6.4</v>
      </c>
      <c r="AQ92" s="8" t="s">
        <v>763</v>
      </c>
      <c r="AR92" s="8" t="s">
        <v>1640</v>
      </c>
      <c r="AS92" t="s">
        <v>2058</v>
      </c>
    </row>
    <row r="93" spans="1:45" x14ac:dyDescent="0.35">
      <c r="A93" s="39">
        <v>71</v>
      </c>
      <c r="B93" s="39" t="s">
        <v>639</v>
      </c>
      <c r="C93" s="39" t="s">
        <v>1642</v>
      </c>
      <c r="D93" s="40" t="s">
        <v>751</v>
      </c>
      <c r="E93" s="40">
        <v>2020</v>
      </c>
      <c r="F93" s="39" t="s">
        <v>1641</v>
      </c>
      <c r="G93" s="40" t="s">
        <v>753</v>
      </c>
      <c r="H93" s="40" t="s">
        <v>754</v>
      </c>
      <c r="I93" s="40" t="s">
        <v>1644</v>
      </c>
      <c r="J93" s="40" t="s">
        <v>1645</v>
      </c>
      <c r="K93" s="41" t="s">
        <v>1643</v>
      </c>
      <c r="L93" s="39" t="s">
        <v>823</v>
      </c>
      <c r="M93" s="40" t="s">
        <v>763</v>
      </c>
      <c r="N93" s="40" t="s">
        <v>1646</v>
      </c>
      <c r="O93" s="40" t="s">
        <v>1647</v>
      </c>
      <c r="P93" s="39" t="s">
        <v>763</v>
      </c>
      <c r="Q93" s="40" t="s">
        <v>1648</v>
      </c>
      <c r="R93" s="40" t="s">
        <v>1560</v>
      </c>
      <c r="S93" s="39" t="s">
        <v>914</v>
      </c>
      <c r="T93" s="39" t="s">
        <v>1031</v>
      </c>
      <c r="U93" s="40" t="s">
        <v>764</v>
      </c>
      <c r="V93" s="40" t="s">
        <v>1650</v>
      </c>
      <c r="W93" s="40" t="s">
        <v>766</v>
      </c>
      <c r="X93" s="40" t="s">
        <v>787</v>
      </c>
      <c r="Y93" s="40" t="s">
        <v>763</v>
      </c>
      <c r="Z93" s="40" t="s">
        <v>763</v>
      </c>
      <c r="AA93" s="40" t="s">
        <v>763</v>
      </c>
      <c r="AB93" s="40" t="s">
        <v>763</v>
      </c>
      <c r="AC93" s="40" t="s">
        <v>763</v>
      </c>
      <c r="AD93" s="40" t="s">
        <v>768</v>
      </c>
      <c r="AE93" s="40" t="s">
        <v>1651</v>
      </c>
      <c r="AF93" s="40" t="s">
        <v>1651</v>
      </c>
      <c r="AG93" s="40" t="s">
        <v>1651</v>
      </c>
      <c r="AH93" s="40" t="s">
        <v>1651</v>
      </c>
      <c r="AI93" s="40"/>
      <c r="AJ93" s="40" t="s">
        <v>1654</v>
      </c>
      <c r="AK93" s="40" t="s">
        <v>1654</v>
      </c>
      <c r="AL93" s="40" t="s">
        <v>1654</v>
      </c>
      <c r="AM93" s="40" t="s">
        <v>1654</v>
      </c>
      <c r="AN93" s="40" t="s">
        <v>1654</v>
      </c>
      <c r="AO93" s="40" t="s">
        <v>1652</v>
      </c>
      <c r="AP93" s="40" t="s">
        <v>763</v>
      </c>
      <c r="AQ93" s="40" t="s">
        <v>763</v>
      </c>
      <c r="AR93" s="40" t="s">
        <v>1655</v>
      </c>
      <c r="AS93" s="40" t="s">
        <v>1653</v>
      </c>
    </row>
    <row r="94" spans="1:45" x14ac:dyDescent="0.35">
      <c r="A94" s="3">
        <v>62</v>
      </c>
      <c r="B94" t="s">
        <v>640</v>
      </c>
      <c r="C94" t="s">
        <v>1656</v>
      </c>
      <c r="D94" s="7" t="s">
        <v>751</v>
      </c>
      <c r="E94" s="7">
        <v>2020</v>
      </c>
      <c r="F94" s="3" t="s">
        <v>1659</v>
      </c>
      <c r="G94" s="7" t="s">
        <v>753</v>
      </c>
      <c r="H94" s="7" t="s">
        <v>754</v>
      </c>
      <c r="I94" s="3">
        <v>22.09</v>
      </c>
      <c r="J94" s="3">
        <v>82.15</v>
      </c>
      <c r="K94" s="19" t="s">
        <v>1658</v>
      </c>
      <c r="L94" t="s">
        <v>756</v>
      </c>
      <c r="M94" s="3" t="s">
        <v>2095</v>
      </c>
      <c r="N94" s="3">
        <v>1412</v>
      </c>
      <c r="O94" s="8">
        <v>28</v>
      </c>
      <c r="P94" s="3" t="s">
        <v>2080</v>
      </c>
      <c r="Q94" s="3" t="s">
        <v>763</v>
      </c>
      <c r="R94" s="3" t="s">
        <v>2166</v>
      </c>
      <c r="S94" s="7" t="s">
        <v>787</v>
      </c>
      <c r="T94" s="3" t="s">
        <v>1031</v>
      </c>
      <c r="U94" s="7" t="s">
        <v>764</v>
      </c>
      <c r="V94" s="7" t="s">
        <v>2026</v>
      </c>
      <c r="W94" s="7" t="s">
        <v>766</v>
      </c>
      <c r="X94" s="7" t="s">
        <v>787</v>
      </c>
      <c r="Y94" s="7" t="s">
        <v>763</v>
      </c>
      <c r="Z94" s="7" t="s">
        <v>763</v>
      </c>
      <c r="AA94" s="7" t="s">
        <v>763</v>
      </c>
      <c r="AB94" s="7" t="s">
        <v>763</v>
      </c>
      <c r="AC94" s="7" t="s">
        <v>763</v>
      </c>
      <c r="AD94" s="7" t="s">
        <v>768</v>
      </c>
      <c r="AE94" s="8" t="s">
        <v>1664</v>
      </c>
      <c r="AF94" s="8">
        <f>AG94/AP94</f>
        <v>16.059999999999999</v>
      </c>
      <c r="AG94" s="8">
        <v>48.18</v>
      </c>
      <c r="AH94" s="8">
        <v>176.64</v>
      </c>
      <c r="AI94" s="8">
        <f>AF94*3.65</f>
        <v>58.618999999999993</v>
      </c>
      <c r="AJ94" s="7" t="s">
        <v>1667</v>
      </c>
      <c r="AK94" s="7">
        <v>33.81</v>
      </c>
      <c r="AL94" s="7">
        <v>101.44</v>
      </c>
      <c r="AM94" s="33">
        <f>AK94/1.24</f>
        <v>27.266129032258068</v>
      </c>
      <c r="AN94" s="33">
        <f>AM94*0.24</f>
        <v>6.5438709677419356</v>
      </c>
      <c r="AO94" s="8">
        <v>3</v>
      </c>
      <c r="AP94" s="8">
        <v>3</v>
      </c>
      <c r="AQ94" s="8" t="s">
        <v>763</v>
      </c>
      <c r="AR94" s="8" t="s">
        <v>1665</v>
      </c>
      <c r="AS94" t="s">
        <v>1657</v>
      </c>
    </row>
    <row r="95" spans="1:45" x14ac:dyDescent="0.35">
      <c r="A95" s="3">
        <v>63</v>
      </c>
      <c r="B95" t="s">
        <v>646</v>
      </c>
      <c r="C95" t="s">
        <v>648</v>
      </c>
      <c r="D95" s="7" t="s">
        <v>751</v>
      </c>
      <c r="E95" s="7">
        <v>2021</v>
      </c>
      <c r="F95" s="7" t="s">
        <v>1669</v>
      </c>
      <c r="G95" s="7" t="s">
        <v>753</v>
      </c>
      <c r="H95" s="7" t="s">
        <v>754</v>
      </c>
      <c r="I95" s="3">
        <v>9.8333329999999997</v>
      </c>
      <c r="J95" s="3">
        <v>76.94</v>
      </c>
      <c r="K95" s="19" t="s">
        <v>2091</v>
      </c>
      <c r="L95" t="s">
        <v>756</v>
      </c>
      <c r="M95" s="7" t="s">
        <v>2082</v>
      </c>
      <c r="N95">
        <v>3713</v>
      </c>
      <c r="O95" s="8">
        <v>27.6</v>
      </c>
      <c r="P95" s="3" t="s">
        <v>763</v>
      </c>
      <c r="Q95" s="3" t="s">
        <v>763</v>
      </c>
      <c r="R95" s="8" t="s">
        <v>2141</v>
      </c>
      <c r="S95" s="7" t="s">
        <v>787</v>
      </c>
      <c r="T95" s="3" t="s">
        <v>1031</v>
      </c>
      <c r="U95" s="7" t="s">
        <v>764</v>
      </c>
      <c r="V95" s="7" t="s">
        <v>2026</v>
      </c>
      <c r="W95" s="7" t="s">
        <v>766</v>
      </c>
      <c r="X95" s="7" t="s">
        <v>787</v>
      </c>
      <c r="Y95" s="7" t="s">
        <v>763</v>
      </c>
      <c r="Z95" s="7" t="s">
        <v>763</v>
      </c>
      <c r="AA95" s="7" t="s">
        <v>763</v>
      </c>
      <c r="AB95" s="7" t="s">
        <v>763</v>
      </c>
      <c r="AC95" s="7" t="s">
        <v>763</v>
      </c>
      <c r="AD95" s="7" t="s">
        <v>768</v>
      </c>
      <c r="AE95" s="7" t="s">
        <v>1677</v>
      </c>
      <c r="AF95" s="7">
        <v>127.4</v>
      </c>
      <c r="AG95" s="7">
        <f>AF95*AP95</f>
        <v>509.6</v>
      </c>
      <c r="AH95" s="7">
        <f>AG95*3.65</f>
        <v>1860.04</v>
      </c>
      <c r="AI95" s="8">
        <f>AF95*3.65</f>
        <v>465.01</v>
      </c>
      <c r="AJ95" s="7" t="s">
        <v>1678</v>
      </c>
      <c r="AK95" s="7">
        <v>268.20999999999998</v>
      </c>
      <c r="AL95" s="7">
        <f>AK95*AP95</f>
        <v>1072.8399999999999</v>
      </c>
      <c r="AM95" s="7">
        <v>211.86</v>
      </c>
      <c r="AN95" s="7">
        <v>56.35</v>
      </c>
      <c r="AO95" s="8" t="s">
        <v>1670</v>
      </c>
      <c r="AP95" s="8">
        <v>4</v>
      </c>
      <c r="AQ95" s="8" t="s">
        <v>763</v>
      </c>
      <c r="AR95" s="8" t="s">
        <v>1676</v>
      </c>
      <c r="AS95" t="s">
        <v>2059</v>
      </c>
    </row>
    <row r="96" spans="1:45" s="37" customFormat="1" x14ac:dyDescent="0.35">
      <c r="A96" s="3">
        <v>64</v>
      </c>
      <c r="B96" t="s">
        <v>651</v>
      </c>
      <c r="C96" t="s">
        <v>653</v>
      </c>
      <c r="D96" s="7" t="s">
        <v>751</v>
      </c>
      <c r="E96" s="7">
        <v>2021</v>
      </c>
      <c r="F96" s="3">
        <v>2016</v>
      </c>
      <c r="G96" s="7" t="s">
        <v>753</v>
      </c>
      <c r="H96" s="7" t="s">
        <v>754</v>
      </c>
      <c r="I96" s="3">
        <v>23.7</v>
      </c>
      <c r="J96" s="3">
        <v>90.366667000000007</v>
      </c>
      <c r="K96" s="19" t="s">
        <v>1679</v>
      </c>
      <c r="L96" t="s">
        <v>985</v>
      </c>
      <c r="M96" s="3" t="s">
        <v>2095</v>
      </c>
      <c r="N96" s="3">
        <v>2055</v>
      </c>
      <c r="O96" s="3">
        <v>25.3</v>
      </c>
      <c r="P96" s="3" t="s">
        <v>763</v>
      </c>
      <c r="Q96" s="3" t="s">
        <v>763</v>
      </c>
      <c r="R96" s="3" t="s">
        <v>2166</v>
      </c>
      <c r="S96" s="7" t="s">
        <v>787</v>
      </c>
      <c r="T96" s="3" t="s">
        <v>1031</v>
      </c>
      <c r="U96" s="7" t="s">
        <v>764</v>
      </c>
      <c r="V96" t="s">
        <v>2026</v>
      </c>
      <c r="W96" s="7" t="s">
        <v>766</v>
      </c>
      <c r="X96" s="7" t="s">
        <v>787</v>
      </c>
      <c r="Y96" s="7" t="s">
        <v>763</v>
      </c>
      <c r="Z96" s="7" t="s">
        <v>763</v>
      </c>
      <c r="AA96" s="7" t="s">
        <v>763</v>
      </c>
      <c r="AB96" s="7" t="s">
        <v>763</v>
      </c>
      <c r="AC96" s="7" t="s">
        <v>763</v>
      </c>
      <c r="AD96" s="7" t="s">
        <v>789</v>
      </c>
      <c r="AE96" s="8" t="s">
        <v>2131</v>
      </c>
      <c r="AF96" s="8">
        <f>AG96/AP96</f>
        <v>61.395348837209305</v>
      </c>
      <c r="AG96" s="8">
        <v>528</v>
      </c>
      <c r="AH96" s="8">
        <v>1938</v>
      </c>
      <c r="AI96" s="8">
        <f>AF96*3.65</f>
        <v>224.09302325581396</v>
      </c>
      <c r="AJ96" s="7" t="s">
        <v>2134</v>
      </c>
      <c r="AK96" s="33">
        <f>AM96+AN96</f>
        <v>161.92093023255813</v>
      </c>
      <c r="AL96" s="33">
        <f>AK96*AP96</f>
        <v>1392.52</v>
      </c>
      <c r="AM96" s="7">
        <f>1123/AO96</f>
        <v>130.58139534883722</v>
      </c>
      <c r="AN96" s="33">
        <f>AM96*0.24</f>
        <v>31.33953488372093</v>
      </c>
      <c r="AO96" s="8">
        <v>8.6</v>
      </c>
      <c r="AP96" s="8">
        <v>8.6</v>
      </c>
      <c r="AQ96" s="8" t="s">
        <v>763</v>
      </c>
      <c r="AR96" s="8" t="s">
        <v>1688</v>
      </c>
      <c r="AS96" s="37" t="s">
        <v>763</v>
      </c>
    </row>
    <row r="97" spans="1:45" x14ac:dyDescent="0.35">
      <c r="A97" s="3">
        <v>64</v>
      </c>
      <c r="B97" t="s">
        <v>651</v>
      </c>
      <c r="C97" t="s">
        <v>653</v>
      </c>
      <c r="D97" s="7" t="s">
        <v>751</v>
      </c>
      <c r="E97" s="7">
        <v>2021</v>
      </c>
      <c r="F97" s="3">
        <v>2016</v>
      </c>
      <c r="G97" s="7" t="s">
        <v>753</v>
      </c>
      <c r="H97" s="7" t="s">
        <v>754</v>
      </c>
      <c r="I97" s="3">
        <v>23.7</v>
      </c>
      <c r="J97" s="3">
        <v>90.366667000000007</v>
      </c>
      <c r="K97" s="19" t="s">
        <v>1679</v>
      </c>
      <c r="L97" t="s">
        <v>985</v>
      </c>
      <c r="M97" s="3" t="s">
        <v>2095</v>
      </c>
      <c r="N97" s="3">
        <v>2055</v>
      </c>
      <c r="O97" s="3">
        <v>25.3</v>
      </c>
      <c r="P97" s="3" t="s">
        <v>763</v>
      </c>
      <c r="Q97" s="3" t="s">
        <v>763</v>
      </c>
      <c r="R97" s="30" t="s">
        <v>2130</v>
      </c>
      <c r="S97" s="7" t="s">
        <v>787</v>
      </c>
      <c r="T97" s="3" t="s">
        <v>1031</v>
      </c>
      <c r="U97" s="7" t="s">
        <v>764</v>
      </c>
      <c r="V97" t="s">
        <v>2026</v>
      </c>
      <c r="W97" s="7" t="s">
        <v>766</v>
      </c>
      <c r="X97" s="7" t="s">
        <v>787</v>
      </c>
      <c r="Y97" s="7" t="s">
        <v>763</v>
      </c>
      <c r="Z97" s="7" t="s">
        <v>763</v>
      </c>
      <c r="AA97" s="7" t="s">
        <v>763</v>
      </c>
      <c r="AB97" s="7" t="s">
        <v>763</v>
      </c>
      <c r="AC97" s="7" t="s">
        <v>763</v>
      </c>
      <c r="AD97" s="7" t="s">
        <v>789</v>
      </c>
      <c r="AE97" s="8" t="s">
        <v>2132</v>
      </c>
      <c r="AF97" s="8">
        <f>AG97/AP97</f>
        <v>828.00569800569792</v>
      </c>
      <c r="AG97" s="8">
        <v>58126</v>
      </c>
      <c r="AH97" s="8">
        <v>213324</v>
      </c>
      <c r="AI97" s="8">
        <f>AF97*3.65</f>
        <v>3022.2207977207972</v>
      </c>
      <c r="AJ97" s="7" t="s">
        <v>2133</v>
      </c>
      <c r="AK97" s="33">
        <f>AM97+AN97</f>
        <v>2184.5196581196578</v>
      </c>
      <c r="AL97" s="33">
        <f>AK97*AP97</f>
        <v>153353.28</v>
      </c>
      <c r="AM97" s="7">
        <f>123672/AO97</f>
        <v>1761.7094017094016</v>
      </c>
      <c r="AN97" s="33">
        <f>AM97*0.24</f>
        <v>422.81025641025639</v>
      </c>
      <c r="AO97" s="8">
        <v>70.2</v>
      </c>
      <c r="AP97" s="8">
        <v>70.2</v>
      </c>
      <c r="AQ97" s="8" t="s">
        <v>763</v>
      </c>
      <c r="AR97" s="8" t="s">
        <v>1688</v>
      </c>
      <c r="AS97" s="37" t="s">
        <v>763</v>
      </c>
    </row>
    <row r="98" spans="1:45" x14ac:dyDescent="0.35">
      <c r="A98" s="12">
        <v>64</v>
      </c>
      <c r="B98" s="37" t="s">
        <v>651</v>
      </c>
      <c r="C98" s="37" t="s">
        <v>653</v>
      </c>
      <c r="D98" s="13" t="s">
        <v>751</v>
      </c>
      <c r="E98" s="13">
        <v>2021</v>
      </c>
      <c r="F98" s="12">
        <v>2016</v>
      </c>
      <c r="G98" s="13" t="s">
        <v>753</v>
      </c>
      <c r="H98" s="13" t="s">
        <v>754</v>
      </c>
      <c r="I98" s="12">
        <v>23.7</v>
      </c>
      <c r="J98" s="12">
        <v>90.366667000000007</v>
      </c>
      <c r="K98" s="37" t="s">
        <v>1679</v>
      </c>
      <c r="L98" s="37" t="s">
        <v>985</v>
      </c>
      <c r="M98" s="12" t="s">
        <v>2095</v>
      </c>
      <c r="N98" s="12">
        <v>2055</v>
      </c>
      <c r="O98" s="12">
        <v>25.3</v>
      </c>
      <c r="P98" s="12" t="s">
        <v>763</v>
      </c>
      <c r="Q98" s="12" t="s">
        <v>763</v>
      </c>
      <c r="R98" s="14" t="s">
        <v>1615</v>
      </c>
      <c r="S98" s="13" t="s">
        <v>787</v>
      </c>
      <c r="T98" s="12" t="s">
        <v>1031</v>
      </c>
      <c r="U98" s="13" t="s">
        <v>764</v>
      </c>
      <c r="V98" s="37" t="s">
        <v>2026</v>
      </c>
      <c r="W98" s="13" t="s">
        <v>766</v>
      </c>
      <c r="X98" s="13" t="s">
        <v>787</v>
      </c>
      <c r="Y98" s="13" t="s">
        <v>763</v>
      </c>
      <c r="Z98" s="13" t="s">
        <v>763</v>
      </c>
      <c r="AA98" s="13" t="s">
        <v>763</v>
      </c>
      <c r="AB98" s="13" t="s">
        <v>763</v>
      </c>
      <c r="AC98" s="13" t="s">
        <v>763</v>
      </c>
      <c r="AD98" s="13" t="s">
        <v>789</v>
      </c>
      <c r="AE98" s="14" t="s">
        <v>1686</v>
      </c>
      <c r="AF98" s="14" t="s">
        <v>763</v>
      </c>
      <c r="AG98" s="14" t="s">
        <v>2186</v>
      </c>
      <c r="AH98" s="14" t="s">
        <v>2187</v>
      </c>
      <c r="AI98" s="14"/>
      <c r="AJ98" s="13" t="s">
        <v>1687</v>
      </c>
      <c r="AK98" s="13" t="s">
        <v>763</v>
      </c>
      <c r="AL98" s="13" t="s">
        <v>763</v>
      </c>
      <c r="AM98" s="13" t="s">
        <v>1687</v>
      </c>
      <c r="AN98" s="13" t="s">
        <v>763</v>
      </c>
      <c r="AO98" s="14" t="s">
        <v>2201</v>
      </c>
      <c r="AP98" s="14" t="s">
        <v>2201</v>
      </c>
      <c r="AQ98" s="14" t="s">
        <v>763</v>
      </c>
      <c r="AR98" s="14" t="s">
        <v>1688</v>
      </c>
      <c r="AS98" s="37" t="s">
        <v>2049</v>
      </c>
    </row>
    <row r="99" spans="1:45" x14ac:dyDescent="0.35">
      <c r="A99" s="3">
        <v>65</v>
      </c>
      <c r="B99" t="s">
        <v>655</v>
      </c>
      <c r="C99" t="s">
        <v>657</v>
      </c>
      <c r="D99" s="7" t="s">
        <v>751</v>
      </c>
      <c r="E99" s="7">
        <v>2023</v>
      </c>
      <c r="F99" s="3" t="s">
        <v>1908</v>
      </c>
      <c r="G99" s="7" t="s">
        <v>795</v>
      </c>
      <c r="H99" s="7" t="s">
        <v>776</v>
      </c>
      <c r="I99" s="3">
        <v>-12.05</v>
      </c>
      <c r="J99" s="3">
        <v>-77.033332999999999</v>
      </c>
      <c r="K99" s="33" t="s">
        <v>1694</v>
      </c>
      <c r="L99" t="s">
        <v>1689</v>
      </c>
      <c r="M99" s="3" t="s">
        <v>2089</v>
      </c>
      <c r="N99" s="3">
        <v>203</v>
      </c>
      <c r="O99" s="3">
        <v>18.899999999999999</v>
      </c>
      <c r="P99" s="3" t="s">
        <v>763</v>
      </c>
      <c r="Q99" t="s">
        <v>1888</v>
      </c>
      <c r="R99" s="3" t="s">
        <v>2166</v>
      </c>
      <c r="S99" s="7" t="s">
        <v>787</v>
      </c>
      <c r="T99" s="3" t="s">
        <v>1031</v>
      </c>
      <c r="U99" s="7" t="s">
        <v>764</v>
      </c>
      <c r="V99" s="7" t="s">
        <v>2031</v>
      </c>
      <c r="W99" s="7" t="s">
        <v>766</v>
      </c>
      <c r="X99" s="7" t="s">
        <v>787</v>
      </c>
      <c r="Y99" s="7" t="s">
        <v>2171</v>
      </c>
      <c r="Z99" s="7">
        <f>AB99/3.65</f>
        <v>121051.14246575342</v>
      </c>
      <c r="AA99" s="7">
        <f>Z99/AP99</f>
        <v>11.681090655770861</v>
      </c>
      <c r="AB99" s="7">
        <f>AC99*AP99</f>
        <v>441836.67</v>
      </c>
      <c r="AC99" s="46">
        <f>((39.21*3667)+(25.35*1821)+(51.67*4875))/(3667+1821+4875)</f>
        <v>42.635980893563641</v>
      </c>
      <c r="AD99" s="7" t="s">
        <v>789</v>
      </c>
      <c r="AE99" s="7" t="s">
        <v>763</v>
      </c>
      <c r="AF99" s="7" t="s">
        <v>763</v>
      </c>
      <c r="AG99" s="7" t="s">
        <v>763</v>
      </c>
      <c r="AH99" s="7" t="s">
        <v>763</v>
      </c>
      <c r="AI99" s="7" t="s">
        <v>763</v>
      </c>
      <c r="AJ99" s="7" t="s">
        <v>763</v>
      </c>
      <c r="AK99" s="7" t="s">
        <v>763</v>
      </c>
      <c r="AL99" s="7" t="s">
        <v>763</v>
      </c>
      <c r="AM99" s="7" t="s">
        <v>763</v>
      </c>
      <c r="AN99" s="7" t="s">
        <v>763</v>
      </c>
      <c r="AO99" s="8" t="s">
        <v>2202</v>
      </c>
      <c r="AP99" s="8">
        <f>(3667+1821+4875)</f>
        <v>10363</v>
      </c>
      <c r="AQ99" s="8" t="s">
        <v>763</v>
      </c>
      <c r="AR99" s="8" t="s">
        <v>2024</v>
      </c>
      <c r="AS99" t="s">
        <v>763</v>
      </c>
    </row>
    <row r="100" spans="1:45" x14ac:dyDescent="0.35">
      <c r="A100" s="3">
        <v>66</v>
      </c>
      <c r="B100" t="s">
        <v>660</v>
      </c>
      <c r="C100" t="s">
        <v>1701</v>
      </c>
      <c r="D100" s="7" t="s">
        <v>751</v>
      </c>
      <c r="E100" s="7">
        <v>2017</v>
      </c>
      <c r="F100" s="3" t="s">
        <v>1700</v>
      </c>
      <c r="G100" s="7" t="s">
        <v>753</v>
      </c>
      <c r="H100" s="7" t="s">
        <v>754</v>
      </c>
      <c r="I100" s="3">
        <v>6.6833330000000002</v>
      </c>
      <c r="J100" s="3">
        <v>-1.6166670000000001</v>
      </c>
      <c r="K100" s="33" t="s">
        <v>1554</v>
      </c>
      <c r="L100" t="s">
        <v>1325</v>
      </c>
      <c r="M100" s="3" t="s">
        <v>2095</v>
      </c>
      <c r="N100">
        <v>1250</v>
      </c>
      <c r="O100">
        <v>26.4</v>
      </c>
      <c r="P100" s="3" t="s">
        <v>2081</v>
      </c>
      <c r="Q100" s="3" t="s">
        <v>763</v>
      </c>
      <c r="R100" s="8" t="s">
        <v>2118</v>
      </c>
      <c r="S100" s="7" t="s">
        <v>787</v>
      </c>
      <c r="T100" s="33" t="s">
        <v>1712</v>
      </c>
      <c r="U100" s="7" t="s">
        <v>1988</v>
      </c>
      <c r="V100" s="7" t="s">
        <v>2026</v>
      </c>
      <c r="W100" s="3" t="s">
        <v>2165</v>
      </c>
      <c r="X100" s="7" t="s">
        <v>787</v>
      </c>
      <c r="Y100" s="7" t="s">
        <v>763</v>
      </c>
      <c r="Z100" s="7" t="s">
        <v>763</v>
      </c>
      <c r="AA100" s="7" t="s">
        <v>763</v>
      </c>
      <c r="AB100" s="7" t="s">
        <v>763</v>
      </c>
      <c r="AC100" s="7" t="s">
        <v>763</v>
      </c>
      <c r="AD100" s="7" t="s">
        <v>768</v>
      </c>
      <c r="AE100" s="8" t="s">
        <v>2142</v>
      </c>
      <c r="AF100" s="8">
        <v>149.33000000000001</v>
      </c>
      <c r="AG100" s="8" t="s">
        <v>763</v>
      </c>
      <c r="AH100" s="8" t="s">
        <v>763</v>
      </c>
      <c r="AI100" s="8">
        <f>AF100*3.65</f>
        <v>545.05450000000008</v>
      </c>
      <c r="AJ100" s="7" t="s">
        <v>2144</v>
      </c>
      <c r="AK100" s="46">
        <v>315.05</v>
      </c>
      <c r="AL100" s="7" t="s">
        <v>763</v>
      </c>
      <c r="AM100" s="30">
        <f>((255.6 + 94.6 + 41.9)/3)/0.47</f>
        <v>278.08510638297872</v>
      </c>
      <c r="AN100" s="30">
        <f>((36+13.1+ 6.8)/3)/0.47</f>
        <v>39.645390070921984</v>
      </c>
      <c r="AO100" s="13" t="s">
        <v>763</v>
      </c>
      <c r="AP100" s="13" t="s">
        <v>763</v>
      </c>
      <c r="AQ100" s="8" t="s">
        <v>763</v>
      </c>
      <c r="AR100" s="8" t="s">
        <v>763</v>
      </c>
      <c r="AS100" s="14" t="s">
        <v>763</v>
      </c>
    </row>
    <row r="101" spans="1:45" x14ac:dyDescent="0.35">
      <c r="A101" s="3">
        <v>66</v>
      </c>
      <c r="B101" t="s">
        <v>660</v>
      </c>
      <c r="C101" t="s">
        <v>1701</v>
      </c>
      <c r="D101" s="7" t="s">
        <v>751</v>
      </c>
      <c r="E101" s="7">
        <v>2017</v>
      </c>
      <c r="F101" s="3" t="s">
        <v>1700</v>
      </c>
      <c r="G101" s="7" t="s">
        <v>753</v>
      </c>
      <c r="H101" s="7" t="s">
        <v>754</v>
      </c>
      <c r="I101" s="3">
        <v>6.6833330000000002</v>
      </c>
      <c r="J101" s="3">
        <v>-1.6166670000000001</v>
      </c>
      <c r="K101" s="33" t="s">
        <v>1554</v>
      </c>
      <c r="L101" t="s">
        <v>1325</v>
      </c>
      <c r="M101" s="3" t="s">
        <v>2095</v>
      </c>
      <c r="N101">
        <v>1250</v>
      </c>
      <c r="O101">
        <v>26.4</v>
      </c>
      <c r="P101" s="3" t="s">
        <v>2081</v>
      </c>
      <c r="Q101" s="3" t="s">
        <v>763</v>
      </c>
      <c r="R101" s="3" t="s">
        <v>2167</v>
      </c>
      <c r="S101" s="7" t="s">
        <v>787</v>
      </c>
      <c r="T101" s="33" t="s">
        <v>1712</v>
      </c>
      <c r="U101" s="7" t="s">
        <v>1988</v>
      </c>
      <c r="V101" s="7" t="s">
        <v>2026</v>
      </c>
      <c r="W101" s="3" t="s">
        <v>2165</v>
      </c>
      <c r="X101" s="7" t="s">
        <v>787</v>
      </c>
      <c r="Y101" s="7" t="s">
        <v>763</v>
      </c>
      <c r="Z101" s="7" t="s">
        <v>763</v>
      </c>
      <c r="AA101" s="7" t="s">
        <v>763</v>
      </c>
      <c r="AB101" s="7" t="s">
        <v>763</v>
      </c>
      <c r="AC101" s="7" t="s">
        <v>763</v>
      </c>
      <c r="AD101" s="7" t="s">
        <v>768</v>
      </c>
      <c r="AE101" s="8" t="s">
        <v>2143</v>
      </c>
      <c r="AF101" s="8">
        <v>690.4</v>
      </c>
      <c r="AG101" s="8" t="s">
        <v>763</v>
      </c>
      <c r="AH101" s="8" t="s">
        <v>763</v>
      </c>
      <c r="AI101" s="8">
        <f>AF101*3.65</f>
        <v>2519.96</v>
      </c>
      <c r="AJ101" s="7" t="s">
        <v>2145</v>
      </c>
      <c r="AK101" s="7">
        <v>1456.54</v>
      </c>
      <c r="AL101" s="7" t="s">
        <v>763</v>
      </c>
      <c r="AM101" s="30">
        <f>617.9/0.47</f>
        <v>1314.6808510638298</v>
      </c>
      <c r="AN101" s="30">
        <f>72.5/0.47</f>
        <v>154.25531914893617</v>
      </c>
      <c r="AO101" s="13" t="s">
        <v>763</v>
      </c>
      <c r="AP101" s="13" t="s">
        <v>763</v>
      </c>
      <c r="AQ101" s="8" t="s">
        <v>763</v>
      </c>
      <c r="AR101" s="8" t="s">
        <v>763</v>
      </c>
      <c r="AS101" s="14" t="s">
        <v>763</v>
      </c>
    </row>
    <row r="102" spans="1:45" s="37" customFormat="1" x14ac:dyDescent="0.35">
      <c r="A102" s="3">
        <v>66</v>
      </c>
      <c r="B102" t="s">
        <v>660</v>
      </c>
      <c r="C102" t="s">
        <v>1701</v>
      </c>
      <c r="D102" s="7" t="s">
        <v>751</v>
      </c>
      <c r="E102" s="7">
        <v>2017</v>
      </c>
      <c r="F102" s="3" t="s">
        <v>1700</v>
      </c>
      <c r="G102" s="7" t="s">
        <v>753</v>
      </c>
      <c r="H102" s="7" t="s">
        <v>754</v>
      </c>
      <c r="I102" s="3">
        <v>6.6833330000000002</v>
      </c>
      <c r="J102" s="3">
        <v>-1.6166670000000001</v>
      </c>
      <c r="K102" s="33" t="s">
        <v>1554</v>
      </c>
      <c r="L102" t="s">
        <v>1325</v>
      </c>
      <c r="M102" s="3" t="s">
        <v>2095</v>
      </c>
      <c r="N102">
        <v>1250</v>
      </c>
      <c r="O102">
        <v>26.4</v>
      </c>
      <c r="P102" s="3" t="s">
        <v>2081</v>
      </c>
      <c r="Q102" s="3" t="s">
        <v>763</v>
      </c>
      <c r="R102" s="8" t="s">
        <v>2141</v>
      </c>
      <c r="S102" s="7" t="s">
        <v>787</v>
      </c>
      <c r="T102" s="33" t="s">
        <v>1712</v>
      </c>
      <c r="U102" s="7" t="s">
        <v>1988</v>
      </c>
      <c r="V102" s="7" t="s">
        <v>2026</v>
      </c>
      <c r="W102" s="3" t="s">
        <v>2165</v>
      </c>
      <c r="X102" s="7" t="s">
        <v>787</v>
      </c>
      <c r="Y102" s="7" t="s">
        <v>763</v>
      </c>
      <c r="Z102" s="7" t="s">
        <v>763</v>
      </c>
      <c r="AA102" s="7" t="s">
        <v>763</v>
      </c>
      <c r="AB102" s="7" t="s">
        <v>763</v>
      </c>
      <c r="AC102" s="7" t="s">
        <v>763</v>
      </c>
      <c r="AD102" s="7" t="s">
        <v>768</v>
      </c>
      <c r="AE102" s="16" t="s">
        <v>2320</v>
      </c>
      <c r="AF102" s="16">
        <v>82</v>
      </c>
      <c r="AG102" s="16" t="s">
        <v>763</v>
      </c>
      <c r="AH102" s="16" t="s">
        <v>763</v>
      </c>
      <c r="AI102" s="16">
        <f>AF102*3.65</f>
        <v>299.3</v>
      </c>
      <c r="AJ102" s="16" t="s">
        <v>2323</v>
      </c>
      <c r="AK102" s="53">
        <v>172.99</v>
      </c>
      <c r="AL102" s="16" t="s">
        <v>763</v>
      </c>
      <c r="AM102" s="52">
        <f>71.2/0.47</f>
        <v>151.48936170212767</v>
      </c>
      <c r="AN102" s="52">
        <f>10.8/0.47</f>
        <v>22.978723404255323</v>
      </c>
      <c r="AO102" s="13" t="s">
        <v>763</v>
      </c>
      <c r="AP102" s="13" t="s">
        <v>763</v>
      </c>
      <c r="AQ102" s="8" t="s">
        <v>763</v>
      </c>
      <c r="AR102" s="8" t="s">
        <v>763</v>
      </c>
      <c r="AS102" s="14" t="s">
        <v>763</v>
      </c>
    </row>
    <row r="103" spans="1:45" x14ac:dyDescent="0.35">
      <c r="A103" s="3">
        <v>66</v>
      </c>
      <c r="B103" t="s">
        <v>660</v>
      </c>
      <c r="C103" t="s">
        <v>1701</v>
      </c>
      <c r="D103" s="7" t="s">
        <v>751</v>
      </c>
      <c r="E103" s="7">
        <v>2017</v>
      </c>
      <c r="F103" s="3" t="s">
        <v>1700</v>
      </c>
      <c r="G103" s="7" t="s">
        <v>753</v>
      </c>
      <c r="H103" s="7" t="s">
        <v>754</v>
      </c>
      <c r="I103" s="3">
        <v>6.6833330000000002</v>
      </c>
      <c r="J103" s="3">
        <v>-1.6166670000000001</v>
      </c>
      <c r="K103" s="33" t="s">
        <v>1554</v>
      </c>
      <c r="L103" t="s">
        <v>1325</v>
      </c>
      <c r="M103" s="3" t="s">
        <v>2095</v>
      </c>
      <c r="N103">
        <v>1250</v>
      </c>
      <c r="O103">
        <v>26.4</v>
      </c>
      <c r="P103" s="3" t="s">
        <v>2081</v>
      </c>
      <c r="Q103" s="3" t="s">
        <v>763</v>
      </c>
      <c r="R103" s="30" t="s">
        <v>2130</v>
      </c>
      <c r="S103" s="7" t="s">
        <v>787</v>
      </c>
      <c r="T103" s="33" t="s">
        <v>1712</v>
      </c>
      <c r="U103" s="7" t="s">
        <v>1988</v>
      </c>
      <c r="V103" s="7" t="s">
        <v>2026</v>
      </c>
      <c r="W103" s="3" t="s">
        <v>2165</v>
      </c>
      <c r="X103" s="7" t="s">
        <v>787</v>
      </c>
      <c r="Y103" s="7" t="s">
        <v>763</v>
      </c>
      <c r="Z103" s="7" t="s">
        <v>763</v>
      </c>
      <c r="AA103" s="7" t="s">
        <v>763</v>
      </c>
      <c r="AB103" s="7" t="s">
        <v>763</v>
      </c>
      <c r="AC103" s="7" t="s">
        <v>763</v>
      </c>
      <c r="AD103" s="7" t="s">
        <v>768</v>
      </c>
      <c r="AE103" s="16" t="s">
        <v>2321</v>
      </c>
      <c r="AF103" s="16">
        <f>(329.5+474.7+260.1)/3</f>
        <v>354.76666666666671</v>
      </c>
      <c r="AG103" s="16" t="s">
        <v>763</v>
      </c>
      <c r="AH103" s="16" t="s">
        <v>763</v>
      </c>
      <c r="AI103" s="16">
        <f>AF103*3.65</f>
        <v>1294.8983333333335</v>
      </c>
      <c r="AJ103" s="16" t="s">
        <v>2322</v>
      </c>
      <c r="AK103" s="53">
        <f>(695.15+1001.48+548.73)/3</f>
        <v>748.45333333333338</v>
      </c>
      <c r="AL103" s="16" t="s">
        <v>763</v>
      </c>
      <c r="AM103" s="52">
        <f>((291.2+420+228.5)/3)/0.47</f>
        <v>666.45390070921997</v>
      </c>
      <c r="AN103" s="52">
        <f>((38.3+54.7+31.6)/3)/0.47</f>
        <v>88.36879432624113</v>
      </c>
      <c r="AO103" s="13" t="s">
        <v>763</v>
      </c>
      <c r="AP103" s="13" t="s">
        <v>763</v>
      </c>
      <c r="AQ103" s="8" t="s">
        <v>763</v>
      </c>
      <c r="AR103" s="8" t="s">
        <v>763</v>
      </c>
      <c r="AS103" s="14" t="s">
        <v>763</v>
      </c>
    </row>
    <row r="104" spans="1:45" x14ac:dyDescent="0.35">
      <c r="A104" s="12">
        <v>66</v>
      </c>
      <c r="B104" s="37" t="s">
        <v>660</v>
      </c>
      <c r="C104" s="37" t="s">
        <v>1701</v>
      </c>
      <c r="D104" s="13" t="s">
        <v>751</v>
      </c>
      <c r="E104" s="13">
        <v>2017</v>
      </c>
      <c r="F104" s="12" t="s">
        <v>1700</v>
      </c>
      <c r="G104" s="13" t="s">
        <v>753</v>
      </c>
      <c r="H104" s="13" t="s">
        <v>754</v>
      </c>
      <c r="I104" s="12">
        <v>6.6833330000000002</v>
      </c>
      <c r="J104" s="12">
        <v>-1.6166670000000001</v>
      </c>
      <c r="K104" s="13" t="s">
        <v>1554</v>
      </c>
      <c r="L104" s="37" t="s">
        <v>1325</v>
      </c>
      <c r="M104" s="12" t="s">
        <v>2095</v>
      </c>
      <c r="N104" s="37">
        <v>1250</v>
      </c>
      <c r="O104" s="37">
        <v>26.4</v>
      </c>
      <c r="P104" s="12" t="s">
        <v>2081</v>
      </c>
      <c r="Q104" s="12" t="s">
        <v>763</v>
      </c>
      <c r="R104" s="13" t="s">
        <v>2071</v>
      </c>
      <c r="S104" s="13" t="s">
        <v>787</v>
      </c>
      <c r="T104" s="38" t="s">
        <v>1712</v>
      </c>
      <c r="U104" s="13" t="s">
        <v>1988</v>
      </c>
      <c r="V104" s="13" t="s">
        <v>2026</v>
      </c>
      <c r="W104" s="12" t="s">
        <v>2165</v>
      </c>
      <c r="X104" s="13" t="s">
        <v>787</v>
      </c>
      <c r="Y104" s="13" t="s">
        <v>763</v>
      </c>
      <c r="Z104" s="13" t="s">
        <v>763</v>
      </c>
      <c r="AA104" s="13" t="s">
        <v>763</v>
      </c>
      <c r="AB104" s="13" t="s">
        <v>763</v>
      </c>
      <c r="AC104" s="13" t="s">
        <v>763</v>
      </c>
      <c r="AD104" s="13" t="s">
        <v>768</v>
      </c>
      <c r="AE104" s="14" t="s">
        <v>1713</v>
      </c>
      <c r="AF104" s="14" t="s">
        <v>1713</v>
      </c>
      <c r="AG104" s="14" t="s">
        <v>763</v>
      </c>
      <c r="AH104" s="14" t="s">
        <v>763</v>
      </c>
      <c r="AI104" s="14" t="s">
        <v>763</v>
      </c>
      <c r="AJ104" s="13" t="s">
        <v>1714</v>
      </c>
      <c r="AK104" s="13" t="s">
        <v>1714</v>
      </c>
      <c r="AL104" s="13" t="s">
        <v>763</v>
      </c>
      <c r="AM104" s="13" t="s">
        <v>763</v>
      </c>
      <c r="AN104" s="13" t="s">
        <v>763</v>
      </c>
      <c r="AO104" s="37" t="s">
        <v>2203</v>
      </c>
      <c r="AP104" s="37">
        <v>25400</v>
      </c>
      <c r="AQ104" s="14" t="s">
        <v>763</v>
      </c>
      <c r="AR104" s="14" t="s">
        <v>763</v>
      </c>
      <c r="AS104" s="37" t="s">
        <v>2060</v>
      </c>
    </row>
    <row r="105" spans="1:45" x14ac:dyDescent="0.35">
      <c r="A105" s="3">
        <v>10</v>
      </c>
      <c r="B105" s="3" t="s">
        <v>905</v>
      </c>
      <c r="C105" s="3" t="s">
        <v>906</v>
      </c>
      <c r="D105" s="3" t="s">
        <v>873</v>
      </c>
      <c r="E105" s="3">
        <v>2023</v>
      </c>
      <c r="F105" s="3" t="s">
        <v>1896</v>
      </c>
      <c r="G105" s="3" t="s">
        <v>753</v>
      </c>
      <c r="H105" s="3" t="s">
        <v>754</v>
      </c>
      <c r="I105" s="3">
        <v>19.464027999999999</v>
      </c>
      <c r="J105" s="3">
        <v>-98.826291999999995</v>
      </c>
      <c r="K105" s="20" t="s">
        <v>1774</v>
      </c>
      <c r="L105" s="3" t="s">
        <v>894</v>
      </c>
      <c r="M105" s="3" t="s">
        <v>2093</v>
      </c>
      <c r="N105" s="3">
        <v>613.20000000000005</v>
      </c>
      <c r="O105" s="3">
        <v>15</v>
      </c>
      <c r="P105" s="3" t="s">
        <v>2080</v>
      </c>
      <c r="Q105" s="3" t="s">
        <v>1775</v>
      </c>
      <c r="R105" s="3" t="s">
        <v>2167</v>
      </c>
      <c r="S105" s="3" t="s">
        <v>787</v>
      </c>
      <c r="T105" s="3" t="s">
        <v>865</v>
      </c>
      <c r="U105" s="7" t="s">
        <v>2003</v>
      </c>
      <c r="V105" s="7" t="s">
        <v>2029</v>
      </c>
      <c r="W105" s="3" t="s">
        <v>766</v>
      </c>
      <c r="X105" s="3" t="s">
        <v>787</v>
      </c>
      <c r="Y105" s="3" t="s">
        <v>916</v>
      </c>
      <c r="Z105" s="3">
        <v>0.69025999999999998</v>
      </c>
      <c r="AA105" s="3">
        <f>Z105/AP105</f>
        <v>1.0192852923803897</v>
      </c>
      <c r="AB105" s="3">
        <f>Z105*3.65</f>
        <v>2.5194489999999998</v>
      </c>
      <c r="AC105" s="3">
        <f>AB105/AP105</f>
        <v>3.7203913171884224</v>
      </c>
      <c r="AD105" s="3" t="s">
        <v>768</v>
      </c>
      <c r="AE105" s="3" t="s">
        <v>1773</v>
      </c>
      <c r="AF105" s="3">
        <f>AG105/AP105</f>
        <v>19.255759007678677</v>
      </c>
      <c r="AG105" s="3">
        <v>13.04</v>
      </c>
      <c r="AH105" s="3">
        <f>AG105*3.65</f>
        <v>47.595999999999997</v>
      </c>
      <c r="AI105" s="3">
        <f>AH105/AP105</f>
        <v>70.283520378027163</v>
      </c>
      <c r="AJ105" s="3" t="s">
        <v>763</v>
      </c>
      <c r="AK105" s="3" t="s">
        <v>763</v>
      </c>
      <c r="AL105" s="3" t="s">
        <v>763</v>
      </c>
      <c r="AM105" s="3" t="s">
        <v>763</v>
      </c>
      <c r="AN105" s="3" t="s">
        <v>763</v>
      </c>
      <c r="AO105" s="7">
        <v>0.67720000000000002</v>
      </c>
      <c r="AP105" s="7">
        <v>0.67720000000000002</v>
      </c>
      <c r="AQ105" s="3" t="s">
        <v>763</v>
      </c>
      <c r="AR105" s="7" t="s">
        <v>2269</v>
      </c>
      <c r="AS105" s="3" t="s">
        <v>2045</v>
      </c>
    </row>
    <row r="106" spans="1:45" s="37" customFormat="1" x14ac:dyDescent="0.35">
      <c r="A106" s="3">
        <v>67</v>
      </c>
      <c r="B106" s="8" t="s">
        <v>697</v>
      </c>
      <c r="C106" s="8" t="s">
        <v>699</v>
      </c>
      <c r="D106" s="7" t="s">
        <v>751</v>
      </c>
      <c r="E106" s="7">
        <v>2020</v>
      </c>
      <c r="F106" s="7" t="s">
        <v>1909</v>
      </c>
      <c r="G106" s="7" t="s">
        <v>753</v>
      </c>
      <c r="H106" s="7" t="s">
        <v>754</v>
      </c>
      <c r="I106" s="3">
        <v>21.15</v>
      </c>
      <c r="J106" s="3">
        <v>79.099999999999994</v>
      </c>
      <c r="K106" s="33" t="s">
        <v>1715</v>
      </c>
      <c r="L106" s="8" t="s">
        <v>756</v>
      </c>
      <c r="M106" s="3" t="s">
        <v>2095</v>
      </c>
      <c r="N106" s="8">
        <v>1162</v>
      </c>
      <c r="O106" s="8">
        <v>29</v>
      </c>
      <c r="P106" s="7" t="s">
        <v>1016</v>
      </c>
      <c r="Q106" s="8" t="s">
        <v>1337</v>
      </c>
      <c r="R106" s="30" t="s">
        <v>2130</v>
      </c>
      <c r="S106" s="7" t="s">
        <v>787</v>
      </c>
      <c r="T106" s="3" t="s">
        <v>1031</v>
      </c>
      <c r="U106" s="7" t="s">
        <v>764</v>
      </c>
      <c r="V106" s="7" t="s">
        <v>2026</v>
      </c>
      <c r="W106" s="7" t="s">
        <v>766</v>
      </c>
      <c r="X106" s="7" t="s">
        <v>787</v>
      </c>
      <c r="Y106" s="7" t="s">
        <v>763</v>
      </c>
      <c r="Z106" s="7" t="s">
        <v>763</v>
      </c>
      <c r="AA106" s="7" t="s">
        <v>763</v>
      </c>
      <c r="AB106" s="7" t="s">
        <v>763</v>
      </c>
      <c r="AC106" s="7" t="s">
        <v>763</v>
      </c>
      <c r="AD106" s="7" t="s">
        <v>768</v>
      </c>
      <c r="AE106" s="7" t="s">
        <v>2135</v>
      </c>
      <c r="AF106" s="7">
        <v>68.16</v>
      </c>
      <c r="AG106" s="7" t="s">
        <v>763</v>
      </c>
      <c r="AH106" s="7" t="s">
        <v>763</v>
      </c>
      <c r="AI106" s="8">
        <f>AF106*3.65</f>
        <v>248.78399999999999</v>
      </c>
      <c r="AJ106" s="7" t="s">
        <v>2138</v>
      </c>
      <c r="AK106" s="7">
        <v>143.5</v>
      </c>
      <c r="AL106" s="7">
        <f>AK106*AP106</f>
        <v>9.0117999999999991</v>
      </c>
      <c r="AM106" s="7">
        <f>AK106/1.24</f>
        <v>115.72580645161291</v>
      </c>
      <c r="AN106" s="7">
        <f>AM106*0.24</f>
        <v>27.774193548387096</v>
      </c>
      <c r="AO106" s="8" t="s">
        <v>2204</v>
      </c>
      <c r="AP106" s="8">
        <v>6.2799999999999995E-2</v>
      </c>
      <c r="AQ106" s="8" t="s">
        <v>763</v>
      </c>
      <c r="AR106" s="8" t="s">
        <v>2274</v>
      </c>
      <c r="AS106" s="14" t="s">
        <v>763</v>
      </c>
    </row>
    <row r="107" spans="1:45" x14ac:dyDescent="0.35">
      <c r="A107" s="3">
        <v>67</v>
      </c>
      <c r="B107" s="8" t="s">
        <v>697</v>
      </c>
      <c r="C107" s="8" t="s">
        <v>699</v>
      </c>
      <c r="D107" s="7" t="s">
        <v>751</v>
      </c>
      <c r="E107" s="7">
        <v>2020</v>
      </c>
      <c r="F107" s="7" t="s">
        <v>1909</v>
      </c>
      <c r="G107" s="7" t="s">
        <v>753</v>
      </c>
      <c r="H107" s="7" t="s">
        <v>754</v>
      </c>
      <c r="I107" s="3">
        <v>21.15</v>
      </c>
      <c r="J107" s="3">
        <v>79.099999999999994</v>
      </c>
      <c r="K107" s="33" t="s">
        <v>1715</v>
      </c>
      <c r="L107" s="8" t="s">
        <v>756</v>
      </c>
      <c r="M107" s="3" t="s">
        <v>2095</v>
      </c>
      <c r="N107" s="8">
        <v>1162</v>
      </c>
      <c r="O107" s="8">
        <v>29</v>
      </c>
      <c r="P107" s="7" t="s">
        <v>1016</v>
      </c>
      <c r="Q107" s="8" t="s">
        <v>1337</v>
      </c>
      <c r="R107" s="3" t="s">
        <v>2167</v>
      </c>
      <c r="S107" s="7" t="s">
        <v>787</v>
      </c>
      <c r="T107" s="3" t="s">
        <v>1031</v>
      </c>
      <c r="U107" s="7" t="s">
        <v>764</v>
      </c>
      <c r="V107" s="7" t="s">
        <v>2026</v>
      </c>
      <c r="W107" s="7" t="s">
        <v>766</v>
      </c>
      <c r="X107" s="7" t="s">
        <v>787</v>
      </c>
      <c r="Y107" s="7" t="s">
        <v>763</v>
      </c>
      <c r="Z107" s="7" t="s">
        <v>763</v>
      </c>
      <c r="AA107" s="7" t="s">
        <v>763</v>
      </c>
      <c r="AB107" s="7" t="s">
        <v>763</v>
      </c>
      <c r="AC107" s="7" t="s">
        <v>763</v>
      </c>
      <c r="AD107" s="7" t="s">
        <v>768</v>
      </c>
      <c r="AE107" s="7" t="s">
        <v>2136</v>
      </c>
      <c r="AF107" s="8">
        <v>105.16</v>
      </c>
      <c r="AG107" s="8" t="s">
        <v>763</v>
      </c>
      <c r="AH107" s="8" t="s">
        <v>763</v>
      </c>
      <c r="AI107" s="8">
        <f>AF107*3.65</f>
        <v>383.834</v>
      </c>
      <c r="AJ107" s="7" t="s">
        <v>2139</v>
      </c>
      <c r="AK107" s="7">
        <v>236</v>
      </c>
      <c r="AL107" s="7">
        <f>AK107*AP107</f>
        <v>7.4103999999999992</v>
      </c>
      <c r="AM107" s="7">
        <f>AK107/1.24</f>
        <v>190.32258064516128</v>
      </c>
      <c r="AN107" s="7">
        <f>AM107*0.24</f>
        <v>45.677419354838705</v>
      </c>
      <c r="AO107" s="8" t="s">
        <v>2205</v>
      </c>
      <c r="AP107" s="8">
        <v>3.1399999999999997E-2</v>
      </c>
      <c r="AQ107" s="8" t="s">
        <v>763</v>
      </c>
      <c r="AR107" s="8" t="s">
        <v>2274</v>
      </c>
      <c r="AS107" s="14" t="s">
        <v>763</v>
      </c>
    </row>
    <row r="108" spans="1:45" x14ac:dyDescent="0.35">
      <c r="A108" s="3">
        <v>67</v>
      </c>
      <c r="B108" s="8" t="s">
        <v>697</v>
      </c>
      <c r="C108" s="8" t="s">
        <v>699</v>
      </c>
      <c r="D108" s="7" t="s">
        <v>751</v>
      </c>
      <c r="E108" s="7">
        <v>2020</v>
      </c>
      <c r="F108" s="7" t="s">
        <v>1909</v>
      </c>
      <c r="G108" s="7" t="s">
        <v>753</v>
      </c>
      <c r="H108" s="7" t="s">
        <v>754</v>
      </c>
      <c r="I108" s="3">
        <v>21.15</v>
      </c>
      <c r="J108" s="3">
        <v>79.099999999999994</v>
      </c>
      <c r="K108" s="33" t="s">
        <v>1715</v>
      </c>
      <c r="L108" s="8" t="s">
        <v>756</v>
      </c>
      <c r="M108" s="3" t="s">
        <v>2095</v>
      </c>
      <c r="N108" s="8">
        <v>1162</v>
      </c>
      <c r="O108" s="8">
        <v>29</v>
      </c>
      <c r="P108" s="7" t="s">
        <v>1016</v>
      </c>
      <c r="Q108" s="8" t="s">
        <v>1337</v>
      </c>
      <c r="R108" s="3" t="s">
        <v>2166</v>
      </c>
      <c r="S108" s="7" t="s">
        <v>787</v>
      </c>
      <c r="T108" s="3" t="s">
        <v>1031</v>
      </c>
      <c r="U108" s="7" t="s">
        <v>764</v>
      </c>
      <c r="V108" s="7" t="s">
        <v>2026</v>
      </c>
      <c r="W108" s="7" t="s">
        <v>766</v>
      </c>
      <c r="X108" s="7" t="s">
        <v>787</v>
      </c>
      <c r="Y108" s="7" t="s">
        <v>763</v>
      </c>
      <c r="Z108" s="7" t="s">
        <v>763</v>
      </c>
      <c r="AA108" s="7" t="s">
        <v>763</v>
      </c>
      <c r="AB108" s="7" t="s">
        <v>763</v>
      </c>
      <c r="AC108" s="7" t="s">
        <v>763</v>
      </c>
      <c r="AD108" s="7" t="s">
        <v>768</v>
      </c>
      <c r="AE108" s="7" t="s">
        <v>2137</v>
      </c>
      <c r="AF108" s="8">
        <v>103.1</v>
      </c>
      <c r="AG108" s="8" t="s">
        <v>763</v>
      </c>
      <c r="AH108" s="8" t="s">
        <v>763</v>
      </c>
      <c r="AI108" s="8">
        <f>AF108*3.65</f>
        <v>376.315</v>
      </c>
      <c r="AJ108" s="7" t="s">
        <v>2140</v>
      </c>
      <c r="AK108" s="46">
        <v>256.23</v>
      </c>
      <c r="AL108" s="7">
        <f>AK108*AP108</f>
        <v>23.752521000000002</v>
      </c>
      <c r="AM108" s="7">
        <f>AK108/1.24</f>
        <v>206.63709677419357</v>
      </c>
      <c r="AN108" s="7">
        <f>AM108*0.24</f>
        <v>49.592903225806452</v>
      </c>
      <c r="AO108" s="8" t="s">
        <v>2206</v>
      </c>
      <c r="AP108" s="30">
        <v>9.2700000000000005E-2</v>
      </c>
      <c r="AQ108" s="8" t="s">
        <v>763</v>
      </c>
      <c r="AR108" s="8" t="s">
        <v>2274</v>
      </c>
      <c r="AS108" s="14" t="s">
        <v>763</v>
      </c>
    </row>
    <row r="109" spans="1:45" s="8" customFormat="1" x14ac:dyDescent="0.35">
      <c r="A109" s="12">
        <v>67</v>
      </c>
      <c r="B109" s="14" t="s">
        <v>697</v>
      </c>
      <c r="C109" s="14" t="s">
        <v>699</v>
      </c>
      <c r="D109" s="13" t="s">
        <v>751</v>
      </c>
      <c r="E109" s="13">
        <v>2020</v>
      </c>
      <c r="F109" s="13" t="s">
        <v>1909</v>
      </c>
      <c r="G109" s="13" t="s">
        <v>753</v>
      </c>
      <c r="H109" s="13" t="s">
        <v>754</v>
      </c>
      <c r="I109" s="12">
        <v>21.15</v>
      </c>
      <c r="J109" s="12">
        <v>79.099999999999994</v>
      </c>
      <c r="K109" s="13" t="s">
        <v>1715</v>
      </c>
      <c r="L109" s="14" t="s">
        <v>756</v>
      </c>
      <c r="M109" s="12" t="s">
        <v>2095</v>
      </c>
      <c r="N109" s="14">
        <v>1162</v>
      </c>
      <c r="O109" s="14">
        <v>29</v>
      </c>
      <c r="P109" s="13" t="s">
        <v>1016</v>
      </c>
      <c r="Q109" s="14" t="s">
        <v>1337</v>
      </c>
      <c r="R109" s="13" t="s">
        <v>1985</v>
      </c>
      <c r="S109" s="13" t="s">
        <v>787</v>
      </c>
      <c r="T109" s="12" t="s">
        <v>1031</v>
      </c>
      <c r="U109" s="13" t="s">
        <v>764</v>
      </c>
      <c r="V109" s="13" t="s">
        <v>2026</v>
      </c>
      <c r="W109" s="13" t="s">
        <v>766</v>
      </c>
      <c r="X109" s="13" t="s">
        <v>787</v>
      </c>
      <c r="Y109" s="13" t="s">
        <v>763</v>
      </c>
      <c r="Z109" s="13" t="s">
        <v>763</v>
      </c>
      <c r="AA109" s="13" t="s">
        <v>763</v>
      </c>
      <c r="AB109" s="13" t="s">
        <v>763</v>
      </c>
      <c r="AC109" s="13" t="s">
        <v>763</v>
      </c>
      <c r="AD109" s="13" t="s">
        <v>768</v>
      </c>
      <c r="AE109" s="14" t="s">
        <v>1724</v>
      </c>
      <c r="AF109" s="14" t="s">
        <v>1724</v>
      </c>
      <c r="AG109" s="14" t="s">
        <v>763</v>
      </c>
      <c r="AH109" s="14" t="s">
        <v>763</v>
      </c>
      <c r="AI109" s="14" t="s">
        <v>763</v>
      </c>
      <c r="AJ109" s="13" t="s">
        <v>1723</v>
      </c>
      <c r="AK109" s="13" t="s">
        <v>1723</v>
      </c>
      <c r="AL109" s="13" t="s">
        <v>763</v>
      </c>
      <c r="AM109" s="13" t="s">
        <v>763</v>
      </c>
      <c r="AN109" s="13" t="s">
        <v>763</v>
      </c>
      <c r="AO109" s="14" t="s">
        <v>2207</v>
      </c>
      <c r="AP109" s="14" t="s">
        <v>2265</v>
      </c>
      <c r="AQ109" s="14" t="s">
        <v>763</v>
      </c>
      <c r="AR109" s="14" t="s">
        <v>1725</v>
      </c>
      <c r="AS109" s="14" t="s">
        <v>2061</v>
      </c>
    </row>
    <row r="110" spans="1:45" x14ac:dyDescent="0.35">
      <c r="A110" s="39">
        <v>72</v>
      </c>
      <c r="B110" s="39" t="s">
        <v>707</v>
      </c>
      <c r="C110" s="39" t="s">
        <v>709</v>
      </c>
      <c r="D110" s="40" t="s">
        <v>751</v>
      </c>
      <c r="E110" s="40">
        <v>2019</v>
      </c>
      <c r="F110" s="39" t="s">
        <v>763</v>
      </c>
      <c r="G110" s="40" t="s">
        <v>753</v>
      </c>
      <c r="H110" s="40" t="s">
        <v>754</v>
      </c>
      <c r="I110" s="40" t="s">
        <v>1734</v>
      </c>
      <c r="J110" s="40" t="s">
        <v>1735</v>
      </c>
      <c r="K110" s="41" t="s">
        <v>1728</v>
      </c>
      <c r="L110" s="40" t="s">
        <v>1729</v>
      </c>
      <c r="M110" s="40" t="s">
        <v>2089</v>
      </c>
      <c r="N110" s="39">
        <v>340</v>
      </c>
      <c r="O110" s="39" t="s">
        <v>763</v>
      </c>
      <c r="P110" s="39" t="s">
        <v>763</v>
      </c>
      <c r="Q110" s="39" t="s">
        <v>1337</v>
      </c>
      <c r="R110" s="42" t="s">
        <v>1736</v>
      </c>
      <c r="S110" s="39" t="s">
        <v>914</v>
      </c>
      <c r="T110" s="42" t="s">
        <v>1397</v>
      </c>
      <c r="U110" s="40" t="s">
        <v>764</v>
      </c>
      <c r="V110" s="40" t="s">
        <v>1709</v>
      </c>
      <c r="W110" s="40" t="s">
        <v>766</v>
      </c>
      <c r="X110" s="40" t="s">
        <v>787</v>
      </c>
      <c r="Y110" s="40" t="s">
        <v>763</v>
      </c>
      <c r="Z110" s="40" t="s">
        <v>763</v>
      </c>
      <c r="AA110" s="40" t="s">
        <v>763</v>
      </c>
      <c r="AB110" s="40" t="s">
        <v>763</v>
      </c>
      <c r="AC110" s="40" t="s">
        <v>763</v>
      </c>
      <c r="AD110" s="40" t="s">
        <v>768</v>
      </c>
      <c r="AE110" s="40" t="s">
        <v>1737</v>
      </c>
      <c r="AF110" s="40" t="s">
        <v>2174</v>
      </c>
      <c r="AG110" s="40" t="s">
        <v>2175</v>
      </c>
      <c r="AH110" s="40" t="s">
        <v>2175</v>
      </c>
      <c r="AI110" s="40"/>
      <c r="AJ110" s="40" t="s">
        <v>1739</v>
      </c>
      <c r="AK110" s="40" t="s">
        <v>1739</v>
      </c>
      <c r="AL110" s="40" t="s">
        <v>1739</v>
      </c>
      <c r="AM110" s="40" t="s">
        <v>1739</v>
      </c>
      <c r="AN110" s="40" t="s">
        <v>1739</v>
      </c>
      <c r="AO110" s="40" t="s">
        <v>1738</v>
      </c>
      <c r="AP110" s="40" t="s">
        <v>763</v>
      </c>
      <c r="AQ110" s="40" t="s">
        <v>763</v>
      </c>
      <c r="AR110" s="40" t="s">
        <v>1740</v>
      </c>
      <c r="AS110" s="40" t="s">
        <v>1730</v>
      </c>
    </row>
    <row r="111" spans="1:45" x14ac:dyDescent="0.35">
      <c r="A111" s="39">
        <v>69</v>
      </c>
      <c r="B111" s="39" t="s">
        <v>712</v>
      </c>
      <c r="C111" s="39" t="s">
        <v>714</v>
      </c>
      <c r="D111" s="40" t="s">
        <v>751</v>
      </c>
      <c r="E111" s="40">
        <v>2025</v>
      </c>
      <c r="F111" s="40" t="s">
        <v>1742</v>
      </c>
      <c r="G111" s="40" t="s">
        <v>795</v>
      </c>
      <c r="H111" s="40" t="s">
        <v>776</v>
      </c>
      <c r="I111" s="40" t="s">
        <v>1747</v>
      </c>
      <c r="J111" s="40" t="s">
        <v>1748</v>
      </c>
      <c r="K111" s="41" t="s">
        <v>1741</v>
      </c>
      <c r="L111" s="40" t="s">
        <v>846</v>
      </c>
      <c r="M111" s="39" t="s">
        <v>763</v>
      </c>
      <c r="N111" s="39" t="s">
        <v>763</v>
      </c>
      <c r="O111" s="39" t="s">
        <v>763</v>
      </c>
      <c r="P111" s="40" t="s">
        <v>763</v>
      </c>
      <c r="Q111" s="40" t="s">
        <v>850</v>
      </c>
      <c r="R111" s="40" t="s">
        <v>1560</v>
      </c>
      <c r="S111" s="39" t="s">
        <v>914</v>
      </c>
      <c r="T111" s="39" t="s">
        <v>1031</v>
      </c>
      <c r="U111" s="40" t="s">
        <v>1745</v>
      </c>
      <c r="V111" s="40" t="s">
        <v>1744</v>
      </c>
      <c r="W111" s="39" t="s">
        <v>2165</v>
      </c>
      <c r="X111" s="40" t="s">
        <v>787</v>
      </c>
      <c r="Y111" s="40" t="s">
        <v>1844</v>
      </c>
      <c r="Z111" s="40" t="s">
        <v>2172</v>
      </c>
      <c r="AA111" s="40"/>
      <c r="AB111" s="40" t="s">
        <v>2173</v>
      </c>
      <c r="AC111" s="40" t="s">
        <v>763</v>
      </c>
      <c r="AD111" s="40" t="s">
        <v>768</v>
      </c>
      <c r="AE111" s="40" t="s">
        <v>1845</v>
      </c>
      <c r="AF111" s="40" t="s">
        <v>1845</v>
      </c>
      <c r="AG111" s="40" t="s">
        <v>1845</v>
      </c>
      <c r="AH111" s="40" t="s">
        <v>1845</v>
      </c>
      <c r="AI111" s="40"/>
      <c r="AJ111" s="40" t="s">
        <v>763</v>
      </c>
      <c r="AK111" s="40" t="s">
        <v>763</v>
      </c>
      <c r="AL111" s="40" t="s">
        <v>763</v>
      </c>
      <c r="AM111" s="40" t="s">
        <v>763</v>
      </c>
      <c r="AN111" s="40" t="s">
        <v>763</v>
      </c>
      <c r="AO111" s="40" t="s">
        <v>763</v>
      </c>
      <c r="AP111" s="40" t="s">
        <v>763</v>
      </c>
      <c r="AQ111" s="40" t="s">
        <v>763</v>
      </c>
      <c r="AR111" s="40" t="s">
        <v>763</v>
      </c>
      <c r="AS111" s="40" t="s">
        <v>763</v>
      </c>
    </row>
    <row r="112" spans="1:45" x14ac:dyDescent="0.35">
      <c r="AG112" s="8"/>
    </row>
    <row r="114" spans="33:37" x14ac:dyDescent="0.35">
      <c r="AG114" s="8"/>
      <c r="AK114" s="7"/>
    </row>
    <row r="115" spans="33:37" x14ac:dyDescent="0.35">
      <c r="AG115" s="8"/>
    </row>
  </sheetData>
  <autoFilter ref="A1:AS111" xr:uid="{4DCA69EF-7491-4A61-8A24-17E9235A1061}">
    <sortState xmlns:xlrd2="http://schemas.microsoft.com/office/spreadsheetml/2017/richdata2" ref="A2:AS111">
      <sortCondition ref="B1:B111"/>
    </sortState>
  </autoFilter>
  <phoneticPr fontId="14" type="noConversion"/>
  <hyperlinks>
    <hyperlink ref="C30" r:id="rId1" display="https://www.sciencedirect.com/author/57219425459/erik-velasco" xr:uid="{B79FCD5E-9279-4704-8233-D54EB03FEAC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FA38D-713F-46AC-B0E9-63A7AFC347BB}">
  <dimension ref="A1:AV116"/>
  <sheetViews>
    <sheetView tabSelected="1" zoomScaleNormal="100" workbookViewId="0">
      <pane ySplit="1" topLeftCell="A2" activePane="bottomLeft" state="frozen"/>
      <selection pane="bottomLeft"/>
    </sheetView>
  </sheetViews>
  <sheetFormatPr defaultRowHeight="14.5" x14ac:dyDescent="0.35"/>
  <cols>
    <col min="13" max="13" width="9.7265625" bestFit="1" customWidth="1"/>
    <col min="17" max="17" width="9" customWidth="1"/>
    <col min="22" max="22" width="8.7265625" customWidth="1"/>
    <col min="29" max="29" width="9.81640625" bestFit="1" customWidth="1"/>
    <col min="31" max="31" width="10.81640625" bestFit="1" customWidth="1"/>
    <col min="32" max="32" width="11.36328125" bestFit="1" customWidth="1"/>
    <col min="34" max="34" width="10.81640625" bestFit="1" customWidth="1"/>
    <col min="35" max="35" width="8.90625" customWidth="1"/>
    <col min="36" max="36" width="10.81640625" customWidth="1"/>
    <col min="39" max="39" width="10.81640625" bestFit="1" customWidth="1"/>
    <col min="46" max="46" width="8.7265625" customWidth="1"/>
  </cols>
  <sheetData>
    <row r="1" spans="1:48" x14ac:dyDescent="0.35">
      <c r="A1" t="s">
        <v>2295</v>
      </c>
      <c r="B1" s="2" t="s">
        <v>721</v>
      </c>
      <c r="C1" s="2" t="s">
        <v>2070</v>
      </c>
      <c r="D1" s="2" t="s">
        <v>722</v>
      </c>
      <c r="E1" s="2" t="s">
        <v>723</v>
      </c>
      <c r="F1" s="2" t="s">
        <v>724</v>
      </c>
      <c r="G1" s="2" t="s">
        <v>725</v>
      </c>
      <c r="H1" s="2" t="s">
        <v>726</v>
      </c>
      <c r="I1" s="2" t="s">
        <v>727</v>
      </c>
      <c r="J1" s="2" t="s">
        <v>728</v>
      </c>
      <c r="K1" s="2" t="s">
        <v>729</v>
      </c>
      <c r="L1" s="2" t="s">
        <v>730</v>
      </c>
      <c r="M1" s="2" t="s">
        <v>2330</v>
      </c>
      <c r="N1" s="2" t="s">
        <v>2329</v>
      </c>
      <c r="O1" s="2" t="s">
        <v>2324</v>
      </c>
      <c r="P1" s="2" t="s">
        <v>731</v>
      </c>
      <c r="Q1" s="2" t="s">
        <v>732</v>
      </c>
      <c r="R1" s="2" t="s">
        <v>2073</v>
      </c>
      <c r="S1" s="2" t="s">
        <v>2076</v>
      </c>
      <c r="T1" s="2" t="s">
        <v>735</v>
      </c>
      <c r="U1" s="2" t="s">
        <v>736</v>
      </c>
      <c r="V1" s="2" t="s">
        <v>737</v>
      </c>
      <c r="W1" s="2" t="s">
        <v>738</v>
      </c>
      <c r="X1" s="2" t="s">
        <v>739</v>
      </c>
      <c r="Y1" s="2" t="s">
        <v>740</v>
      </c>
      <c r="Z1" s="2" t="s">
        <v>741</v>
      </c>
      <c r="AA1" s="2" t="s">
        <v>742</v>
      </c>
      <c r="AB1" s="2" t="s">
        <v>2294</v>
      </c>
      <c r="AC1" s="12" t="s">
        <v>2227</v>
      </c>
      <c r="AD1" s="47" t="s">
        <v>2226</v>
      </c>
      <c r="AE1" s="12" t="s">
        <v>2214</v>
      </c>
      <c r="AF1" s="47" t="s">
        <v>2225</v>
      </c>
      <c r="AG1" s="2" t="s">
        <v>745</v>
      </c>
      <c r="AH1" s="47" t="s">
        <v>2215</v>
      </c>
      <c r="AI1" s="12" t="s">
        <v>2224</v>
      </c>
      <c r="AJ1" s="12" t="s">
        <v>2216</v>
      </c>
      <c r="AK1" s="47" t="s">
        <v>2229</v>
      </c>
      <c r="AL1" s="12" t="s">
        <v>2217</v>
      </c>
      <c r="AM1" s="12" t="s">
        <v>2218</v>
      </c>
      <c r="AN1" s="12" t="s">
        <v>2219</v>
      </c>
      <c r="AO1" s="12" t="s">
        <v>2220</v>
      </c>
      <c r="AP1" s="2" t="s">
        <v>748</v>
      </c>
      <c r="AQ1" s="47" t="s">
        <v>2221</v>
      </c>
      <c r="AR1" s="2" t="s">
        <v>2223</v>
      </c>
      <c r="AS1" s="2" t="s">
        <v>750</v>
      </c>
      <c r="AT1" s="47" t="s">
        <v>2285</v>
      </c>
      <c r="AU1" s="47" t="s">
        <v>2286</v>
      </c>
      <c r="AV1" s="47" t="s">
        <v>2368</v>
      </c>
    </row>
    <row r="2" spans="1:48" x14ac:dyDescent="0.35">
      <c r="A2">
        <v>1</v>
      </c>
      <c r="B2" s="3">
        <v>1</v>
      </c>
      <c r="C2" s="3" t="s">
        <v>33</v>
      </c>
      <c r="D2" s="3" t="s">
        <v>35</v>
      </c>
      <c r="E2" s="3" t="s">
        <v>751</v>
      </c>
      <c r="F2" s="3">
        <v>2025</v>
      </c>
      <c r="G2" s="3" t="s">
        <v>752</v>
      </c>
      <c r="H2" s="3" t="s">
        <v>753</v>
      </c>
      <c r="I2" s="3" t="s">
        <v>754</v>
      </c>
      <c r="J2" s="3">
        <v>13.01784</v>
      </c>
      <c r="K2" s="3">
        <v>80.268242000000001</v>
      </c>
      <c r="L2" s="3" t="s">
        <v>755</v>
      </c>
      <c r="M2" s="3">
        <v>6672194</v>
      </c>
      <c r="N2" s="11">
        <v>15286</v>
      </c>
      <c r="O2" s="3" t="s">
        <v>2327</v>
      </c>
      <c r="P2" s="3" t="s">
        <v>756</v>
      </c>
      <c r="Q2" s="3" t="s">
        <v>2335</v>
      </c>
      <c r="R2" s="3">
        <v>1400</v>
      </c>
      <c r="S2" s="3">
        <v>27.9</v>
      </c>
      <c r="T2" s="3" t="s">
        <v>759</v>
      </c>
      <c r="U2" t="s">
        <v>2303</v>
      </c>
      <c r="V2" s="3" t="s">
        <v>2353</v>
      </c>
      <c r="W2" s="3" t="s">
        <v>762</v>
      </c>
      <c r="X2" s="3" t="s">
        <v>2348</v>
      </c>
      <c r="Y2" s="3" t="s">
        <v>764</v>
      </c>
      <c r="Z2" s="3" t="s">
        <v>2026</v>
      </c>
      <c r="AA2" s="3" t="s">
        <v>2374</v>
      </c>
      <c r="AB2" s="3" t="s">
        <v>762</v>
      </c>
      <c r="AC2" s="3">
        <v>325.70999999999998</v>
      </c>
      <c r="AD2" s="3">
        <f>AC2/AQ2</f>
        <v>1.4219908920284947</v>
      </c>
      <c r="AE2" s="3">
        <v>1195.42</v>
      </c>
      <c r="AF2" s="3">
        <f>AE2/AQ2</f>
        <v>5.2189872959034211</v>
      </c>
      <c r="AG2" s="3" t="s">
        <v>2377</v>
      </c>
      <c r="AH2" s="3">
        <v>99.89</v>
      </c>
      <c r="AI2" s="3">
        <v>2288</v>
      </c>
      <c r="AJ2" s="3">
        <v>8397.0499999999993</v>
      </c>
      <c r="AK2" s="3">
        <f>AJ2/AQ2</f>
        <v>36.660000061121465</v>
      </c>
      <c r="AL2" s="3">
        <v>222.26</v>
      </c>
      <c r="AM2" s="3">
        <f>AL2*AQ2</f>
        <v>50909.119745999997</v>
      </c>
      <c r="AN2" s="3">
        <f>AL2/1.24</f>
        <v>179.24193548387098</v>
      </c>
      <c r="AO2" s="3">
        <f>AN2*0.24</f>
        <v>43.01806451612903</v>
      </c>
      <c r="AP2" s="3">
        <v>229.0521</v>
      </c>
      <c r="AQ2" s="3">
        <v>229.0521</v>
      </c>
      <c r="AR2" s="3">
        <v>14</v>
      </c>
      <c r="AS2" s="3" t="s">
        <v>2008</v>
      </c>
      <c r="AT2" s="3">
        <v>3900</v>
      </c>
      <c r="AU2" s="3" t="s">
        <v>763</v>
      </c>
      <c r="AV2">
        <f>M2/N2</f>
        <v>436.49051419599635</v>
      </c>
    </row>
    <row r="3" spans="1:48" x14ac:dyDescent="0.35">
      <c r="A3">
        <v>2</v>
      </c>
      <c r="B3" s="3">
        <v>2</v>
      </c>
      <c r="C3" s="3" t="s">
        <v>38</v>
      </c>
      <c r="D3" s="3" t="s">
        <v>40</v>
      </c>
      <c r="E3" s="3" t="s">
        <v>751</v>
      </c>
      <c r="F3" s="3">
        <v>2023</v>
      </c>
      <c r="G3" s="3" t="s">
        <v>1890</v>
      </c>
      <c r="H3" s="3" t="s">
        <v>753</v>
      </c>
      <c r="I3" s="3" t="s">
        <v>776</v>
      </c>
      <c r="J3" s="3">
        <v>-12.816667000000001</v>
      </c>
      <c r="K3" s="3">
        <v>28.2</v>
      </c>
      <c r="L3" s="3" t="s">
        <v>779</v>
      </c>
      <c r="M3" s="3">
        <v>522092</v>
      </c>
      <c r="N3">
        <v>819.6</v>
      </c>
      <c r="O3" s="3" t="s">
        <v>2326</v>
      </c>
      <c r="P3" s="3" t="s">
        <v>780</v>
      </c>
      <c r="Q3" s="3" t="s">
        <v>2333</v>
      </c>
      <c r="R3" s="3">
        <v>1226</v>
      </c>
      <c r="S3" s="3">
        <v>22.3</v>
      </c>
      <c r="T3" s="3" t="s">
        <v>2079</v>
      </c>
      <c r="U3" t="s">
        <v>2298</v>
      </c>
      <c r="V3" s="3" t="s">
        <v>2371</v>
      </c>
      <c r="W3" s="3" t="s">
        <v>787</v>
      </c>
      <c r="X3" s="3" t="s">
        <v>2348</v>
      </c>
      <c r="Y3" s="3" t="s">
        <v>764</v>
      </c>
      <c r="Z3" s="3" t="s">
        <v>2027</v>
      </c>
      <c r="AA3" s="3" t="s">
        <v>2374</v>
      </c>
      <c r="AB3" s="3" t="s">
        <v>787</v>
      </c>
      <c r="AC3" s="3" t="s">
        <v>763</v>
      </c>
      <c r="AD3" s="3" t="s">
        <v>763</v>
      </c>
      <c r="AE3" s="3" t="s">
        <v>763</v>
      </c>
      <c r="AF3" s="3" t="s">
        <v>763</v>
      </c>
      <c r="AG3" s="3" t="s">
        <v>2376</v>
      </c>
      <c r="AH3" s="4">
        <f>AI3/AQ3</f>
        <v>3.6859716859716858E-3</v>
      </c>
      <c r="AI3" s="4">
        <v>286.39999999999998</v>
      </c>
      <c r="AJ3" s="4">
        <v>1211.93</v>
      </c>
      <c r="AK3" s="4">
        <f>AJ3/AQ3</f>
        <v>1.5597554697554698E-2</v>
      </c>
      <c r="AL3" s="4">
        <f>AN3+AO3</f>
        <v>9.1412097812097817E-3</v>
      </c>
      <c r="AM3" s="4">
        <f>AL3*AQ3</f>
        <v>710.27200000000005</v>
      </c>
      <c r="AN3" s="4">
        <f>572.8/AQ3</f>
        <v>7.3719433719433717E-3</v>
      </c>
      <c r="AO3" s="4">
        <f>AN3*0.24</f>
        <v>1.7692664092664092E-3</v>
      </c>
      <c r="AP3" s="3">
        <v>77700</v>
      </c>
      <c r="AQ3" s="3">
        <v>77700</v>
      </c>
      <c r="AR3" s="3" t="s">
        <v>763</v>
      </c>
      <c r="AS3" s="3" t="s">
        <v>792</v>
      </c>
      <c r="AT3" s="3">
        <f>991/AQ3</f>
        <v>1.2754182754182754E-2</v>
      </c>
      <c r="AU3" s="3" t="s">
        <v>763</v>
      </c>
      <c r="AV3">
        <f t="shared" ref="AV3:AV66" si="0">M3/N3</f>
        <v>637.00829673011219</v>
      </c>
    </row>
    <row r="4" spans="1:48" x14ac:dyDescent="0.35">
      <c r="A4">
        <v>3</v>
      </c>
      <c r="B4" s="15">
        <v>3</v>
      </c>
      <c r="C4" s="3" t="s">
        <v>43</v>
      </c>
      <c r="D4" s="3" t="s">
        <v>45</v>
      </c>
      <c r="E4" s="3" t="s">
        <v>751</v>
      </c>
      <c r="F4" s="3">
        <v>2022</v>
      </c>
      <c r="G4" s="3" t="s">
        <v>794</v>
      </c>
      <c r="H4" s="3" t="s">
        <v>795</v>
      </c>
      <c r="I4" s="3" t="s">
        <v>754</v>
      </c>
      <c r="J4" s="3">
        <v>4.6785030000000001</v>
      </c>
      <c r="K4" s="3">
        <v>101.07940000000001</v>
      </c>
      <c r="L4" s="3" t="s">
        <v>798</v>
      </c>
      <c r="M4" s="11">
        <v>35577</v>
      </c>
      <c r="N4" s="5">
        <v>1986</v>
      </c>
      <c r="O4" s="3" t="s">
        <v>2327</v>
      </c>
      <c r="P4" s="3" t="s">
        <v>799</v>
      </c>
      <c r="Q4" s="3" t="s">
        <v>2340</v>
      </c>
      <c r="R4">
        <v>2298</v>
      </c>
      <c r="S4" s="3">
        <v>25.8</v>
      </c>
      <c r="T4" s="3" t="s">
        <v>763</v>
      </c>
      <c r="U4" t="s">
        <v>2300</v>
      </c>
      <c r="V4" s="19" t="s">
        <v>2354</v>
      </c>
      <c r="W4" s="3" t="s">
        <v>762</v>
      </c>
      <c r="X4" s="3" t="s">
        <v>2346</v>
      </c>
      <c r="Y4" s="3" t="s">
        <v>801</v>
      </c>
      <c r="Z4" s="3" t="s">
        <v>802</v>
      </c>
      <c r="AA4" s="3" t="s">
        <v>2374</v>
      </c>
      <c r="AB4" s="3" t="s">
        <v>762</v>
      </c>
      <c r="AC4" s="3" t="s">
        <v>763</v>
      </c>
      <c r="AD4" s="3" t="s">
        <v>763</v>
      </c>
      <c r="AE4" s="3" t="s">
        <v>763</v>
      </c>
      <c r="AF4" s="3" t="s">
        <v>763</v>
      </c>
      <c r="AG4" s="3" t="s">
        <v>2376</v>
      </c>
      <c r="AH4">
        <f>AI4/AQ4</f>
        <v>15.056274620843656</v>
      </c>
      <c r="AI4" s="3">
        <f xml:space="preserve"> ((1995*48.953)+(2005*662.568)+(2015*860.027))/(1995+2005+2015)</f>
        <v>525.19775228595176</v>
      </c>
      <c r="AJ4" s="3">
        <f>AI4*3.67</f>
        <v>1927.4757508894429</v>
      </c>
      <c r="AK4" s="3">
        <f>AH4*3.67</f>
        <v>55.256527858496213</v>
      </c>
      <c r="AL4" s="4">
        <f t="shared" ref="AL4" si="1">AN4+AO4</f>
        <v>37.339584876621622</v>
      </c>
      <c r="AM4" s="4">
        <f>AL4*AQ4</f>
        <v>1302.4912564588531</v>
      </c>
      <c r="AN4" s="3">
        <f>(((1995*97.906)+(2005*1325.136)+(2015*1720.056))/(1995+2005+2015))/AQ4</f>
        <v>30.112568448888403</v>
      </c>
      <c r="AO4" s="4">
        <f t="shared" ref="AO4:AO5" si="2">AN4*0.24</f>
        <v>7.2270164277332167</v>
      </c>
      <c r="AP4" t="s">
        <v>2246</v>
      </c>
      <c r="AQ4">
        <f>((1995*52.951)+(2005*31.599)+(2015*20.26))/(1995+2005+2015)</f>
        <v>34.882317539484617</v>
      </c>
      <c r="AR4" s="3" t="s">
        <v>763</v>
      </c>
      <c r="AS4" s="3" t="s">
        <v>763</v>
      </c>
      <c r="AT4" s="3" t="s">
        <v>763</v>
      </c>
      <c r="AU4" s="3" t="s">
        <v>763</v>
      </c>
      <c r="AV4">
        <f t="shared" si="0"/>
        <v>17.913897280966768</v>
      </c>
    </row>
    <row r="5" spans="1:48" x14ac:dyDescent="0.35">
      <c r="A5">
        <v>4</v>
      </c>
      <c r="B5" s="15">
        <v>3</v>
      </c>
      <c r="C5" s="3" t="s">
        <v>43</v>
      </c>
      <c r="D5" s="3" t="s">
        <v>45</v>
      </c>
      <c r="E5" s="3" t="s">
        <v>751</v>
      </c>
      <c r="F5" s="3">
        <v>2022</v>
      </c>
      <c r="G5" s="3" t="s">
        <v>794</v>
      </c>
      <c r="H5" s="3" t="s">
        <v>795</v>
      </c>
      <c r="I5" s="3" t="s">
        <v>754</v>
      </c>
      <c r="J5" s="3">
        <v>4.6785030000000001</v>
      </c>
      <c r="K5" s="3">
        <v>101.07940000000001</v>
      </c>
      <c r="L5" s="3" t="s">
        <v>798</v>
      </c>
      <c r="M5" s="11">
        <v>35577</v>
      </c>
      <c r="N5" s="5">
        <v>1986</v>
      </c>
      <c r="O5" s="3" t="s">
        <v>2327</v>
      </c>
      <c r="P5" s="3" t="s">
        <v>799</v>
      </c>
      <c r="Q5" s="3" t="s">
        <v>2340</v>
      </c>
      <c r="R5">
        <v>2298</v>
      </c>
      <c r="S5" s="3">
        <v>25.8</v>
      </c>
      <c r="T5" s="3" t="s">
        <v>763</v>
      </c>
      <c r="U5" t="s">
        <v>2300</v>
      </c>
      <c r="V5" s="19" t="s">
        <v>2354</v>
      </c>
      <c r="W5" s="3" t="s">
        <v>762</v>
      </c>
      <c r="X5" s="3" t="s">
        <v>2346</v>
      </c>
      <c r="Y5" s="3" t="s">
        <v>801</v>
      </c>
      <c r="Z5" s="3" t="s">
        <v>802</v>
      </c>
      <c r="AA5" s="3" t="s">
        <v>2374</v>
      </c>
      <c r="AB5" s="3" t="s">
        <v>762</v>
      </c>
      <c r="AC5" s="3" t="s">
        <v>763</v>
      </c>
      <c r="AD5" s="3" t="s">
        <v>763</v>
      </c>
      <c r="AE5" s="3" t="s">
        <v>763</v>
      </c>
      <c r="AF5" s="3" t="s">
        <v>763</v>
      </c>
      <c r="AG5" s="3" t="s">
        <v>2376</v>
      </c>
      <c r="AH5">
        <f>AI5/AQ5</f>
        <v>47.266097148241791</v>
      </c>
      <c r="AI5" s="3">
        <f>((1995*20532.462)+(2005*18669.592)+(2015*11868.363))/(1995+2005+2015)</f>
        <v>17009.068178719866</v>
      </c>
      <c r="AJ5" s="3">
        <f>AI5*3.67</f>
        <v>62423.280215901912</v>
      </c>
      <c r="AK5" s="3">
        <f>AH5*3.67</f>
        <v>173.46657653404736</v>
      </c>
      <c r="AL5" s="4">
        <f>AN5+AO5</f>
        <v>116.96722729613678</v>
      </c>
      <c r="AM5" s="4">
        <f>AL5*AQ5</f>
        <v>42091.555338620121</v>
      </c>
      <c r="AN5" s="3">
        <f>(((1995*41064.923)+(2005*37119.184)+(2015*23736.726))/(1995+2005+2015))/AQ5</f>
        <v>94.328409109787728</v>
      </c>
      <c r="AO5" s="4">
        <f t="shared" si="2"/>
        <v>22.638818186349052</v>
      </c>
      <c r="AP5" t="s">
        <v>2247</v>
      </c>
      <c r="AQ5">
        <f>((1995*341.789)+(2005*363.141)+(2015*374.48))/(1995+2005+2015)</f>
        <v>359.85768246051538</v>
      </c>
      <c r="AR5" s="3" t="s">
        <v>763</v>
      </c>
      <c r="AS5" s="3" t="s">
        <v>763</v>
      </c>
      <c r="AT5" s="3" t="s">
        <v>763</v>
      </c>
      <c r="AU5" s="3" t="s">
        <v>763</v>
      </c>
      <c r="AV5">
        <f t="shared" si="0"/>
        <v>17.913897280966768</v>
      </c>
    </row>
    <row r="6" spans="1:48" x14ac:dyDescent="0.35">
      <c r="A6">
        <v>5</v>
      </c>
      <c r="B6" s="3">
        <v>4</v>
      </c>
      <c r="C6" s="3" t="s">
        <v>53</v>
      </c>
      <c r="D6" s="3" t="s">
        <v>55</v>
      </c>
      <c r="E6" s="3" t="s">
        <v>751</v>
      </c>
      <c r="F6" s="3">
        <v>2016</v>
      </c>
      <c r="G6" s="3" t="s">
        <v>1892</v>
      </c>
      <c r="H6" s="3" t="s">
        <v>753</v>
      </c>
      <c r="I6" s="3" t="s">
        <v>754</v>
      </c>
      <c r="J6" s="3">
        <v>7.25</v>
      </c>
      <c r="K6" s="3">
        <v>5.1950000000000003</v>
      </c>
      <c r="L6" s="3" t="s">
        <v>822</v>
      </c>
      <c r="M6" s="3">
        <v>500000</v>
      </c>
      <c r="N6">
        <v>489</v>
      </c>
      <c r="O6" s="3" t="s">
        <v>2326</v>
      </c>
      <c r="P6" s="3" t="s">
        <v>823</v>
      </c>
      <c r="Q6" s="3" t="s">
        <v>2335</v>
      </c>
      <c r="R6">
        <v>1711</v>
      </c>
      <c r="S6" s="3">
        <v>25.1</v>
      </c>
      <c r="T6" s="3" t="s">
        <v>2079</v>
      </c>
      <c r="U6" t="s">
        <v>2300</v>
      </c>
      <c r="V6" s="3" t="s">
        <v>2371</v>
      </c>
      <c r="W6" s="3" t="s">
        <v>787</v>
      </c>
      <c r="X6" s="3" t="s">
        <v>2348</v>
      </c>
      <c r="Y6" s="3" t="s">
        <v>764</v>
      </c>
      <c r="Z6" s="7" t="s">
        <v>2028</v>
      </c>
      <c r="AA6" s="3" t="s">
        <v>2374</v>
      </c>
      <c r="AB6" s="3" t="s">
        <v>826</v>
      </c>
      <c r="AC6" s="3" t="s">
        <v>763</v>
      </c>
      <c r="AD6" s="3" t="s">
        <v>763</v>
      </c>
      <c r="AE6" s="3" t="s">
        <v>763</v>
      </c>
      <c r="AF6" s="3" t="s">
        <v>763</v>
      </c>
      <c r="AG6" s="3" t="s">
        <v>2376</v>
      </c>
      <c r="AH6" s="3" t="s">
        <v>763</v>
      </c>
      <c r="AI6" s="3">
        <v>9.9374400000000005</v>
      </c>
      <c r="AJ6" s="3">
        <v>35.736359999999998</v>
      </c>
      <c r="AK6" s="3" t="s">
        <v>763</v>
      </c>
      <c r="AL6" s="4" t="s">
        <v>763</v>
      </c>
      <c r="AM6" s="4">
        <f>(19.87)+(19.87*0.24)</f>
        <v>24.6388</v>
      </c>
      <c r="AN6" s="34" t="s">
        <v>2234</v>
      </c>
      <c r="AO6" s="4" t="s">
        <v>763</v>
      </c>
      <c r="AP6" s="32" t="s">
        <v>763</v>
      </c>
      <c r="AQ6" s="32" t="s">
        <v>763</v>
      </c>
      <c r="AR6" s="3" t="s">
        <v>763</v>
      </c>
      <c r="AS6" s="3" t="s">
        <v>2009</v>
      </c>
      <c r="AT6" s="5" t="s">
        <v>763</v>
      </c>
      <c r="AU6" s="5" t="s">
        <v>763</v>
      </c>
      <c r="AV6">
        <f t="shared" si="0"/>
        <v>1022.4948875255624</v>
      </c>
    </row>
    <row r="7" spans="1:48" x14ac:dyDescent="0.35">
      <c r="A7">
        <v>6</v>
      </c>
      <c r="B7" s="3">
        <v>5</v>
      </c>
      <c r="C7" s="3" t="s">
        <v>58</v>
      </c>
      <c r="D7" s="3" t="s">
        <v>60</v>
      </c>
      <c r="E7" s="3" t="s">
        <v>751</v>
      </c>
      <c r="F7" s="3">
        <v>2024</v>
      </c>
      <c r="G7" s="3" t="s">
        <v>830</v>
      </c>
      <c r="H7" s="3" t="s">
        <v>753</v>
      </c>
      <c r="I7" s="3" t="s">
        <v>776</v>
      </c>
      <c r="J7" s="3">
        <v>-6.8858100000000002</v>
      </c>
      <c r="K7" s="3">
        <v>107.61136999999999</v>
      </c>
      <c r="L7" s="3" t="s">
        <v>831</v>
      </c>
      <c r="M7" s="5">
        <v>2527854</v>
      </c>
      <c r="N7" s="11">
        <v>14251</v>
      </c>
      <c r="O7" s="3" t="s">
        <v>2327</v>
      </c>
      <c r="P7" s="3" t="s">
        <v>832</v>
      </c>
      <c r="Q7" s="3" t="s">
        <v>2340</v>
      </c>
      <c r="R7">
        <v>3710</v>
      </c>
      <c r="S7" s="3">
        <v>22.4</v>
      </c>
      <c r="T7" s="3" t="s">
        <v>759</v>
      </c>
      <c r="U7" t="s">
        <v>2300</v>
      </c>
      <c r="V7" s="19" t="s">
        <v>2354</v>
      </c>
      <c r="W7" s="3" t="s">
        <v>762</v>
      </c>
      <c r="X7" s="3" t="s">
        <v>2348</v>
      </c>
      <c r="Y7" s="7" t="s">
        <v>2003</v>
      </c>
      <c r="Z7" s="3" t="s">
        <v>2038</v>
      </c>
      <c r="AA7" s="3" t="s">
        <v>2374</v>
      </c>
      <c r="AB7" s="3" t="s">
        <v>762</v>
      </c>
      <c r="AC7" s="3">
        <v>25.17</v>
      </c>
      <c r="AD7" s="3">
        <f>AC7/AQ7</f>
        <v>5.0340000000000007</v>
      </c>
      <c r="AE7" s="3">
        <f>AC7*3.67</f>
        <v>92.373900000000006</v>
      </c>
      <c r="AF7" s="3">
        <f>AE7/AQ7</f>
        <v>18.474780000000003</v>
      </c>
      <c r="AG7" s="3" t="s">
        <v>2376</v>
      </c>
      <c r="AH7" s="3">
        <f>AI7/AQ7</f>
        <v>76.2</v>
      </c>
      <c r="AI7" s="3">
        <v>381</v>
      </c>
      <c r="AJ7" s="3">
        <f>AI7*3.67</f>
        <v>1398.27</v>
      </c>
      <c r="AK7" s="3">
        <f>AJ7/AQ7</f>
        <v>279.654</v>
      </c>
      <c r="AL7" s="3">
        <f>AH7/0.47</f>
        <v>162.12765957446811</v>
      </c>
      <c r="AM7" s="3">
        <f>AI7/0.47</f>
        <v>810.63829787234044</v>
      </c>
      <c r="AN7" s="3">
        <f>AH7/1.24</f>
        <v>61.451612903225808</v>
      </c>
      <c r="AO7" s="3">
        <f>AN7*0.24</f>
        <v>14.748387096774193</v>
      </c>
      <c r="AP7" s="3">
        <v>5</v>
      </c>
      <c r="AQ7" s="3">
        <v>5</v>
      </c>
      <c r="AR7" s="3" t="s">
        <v>763</v>
      </c>
      <c r="AS7" s="3" t="s">
        <v>2277</v>
      </c>
      <c r="AT7" s="3">
        <v>321</v>
      </c>
      <c r="AU7" s="3" t="s">
        <v>763</v>
      </c>
      <c r="AV7">
        <f t="shared" si="0"/>
        <v>177.38081538137675</v>
      </c>
    </row>
    <row r="8" spans="1:48" x14ac:dyDescent="0.35">
      <c r="A8">
        <v>7</v>
      </c>
      <c r="B8" s="3">
        <v>6</v>
      </c>
      <c r="C8" s="3" t="s">
        <v>63</v>
      </c>
      <c r="D8" s="3" t="s">
        <v>65</v>
      </c>
      <c r="E8" s="3" t="s">
        <v>751</v>
      </c>
      <c r="F8" s="3">
        <v>2023</v>
      </c>
      <c r="G8" s="3">
        <v>2020</v>
      </c>
      <c r="H8" s="3" t="s">
        <v>753</v>
      </c>
      <c r="I8" s="3" t="s">
        <v>776</v>
      </c>
      <c r="J8" s="3">
        <v>-21.688889</v>
      </c>
      <c r="K8" s="3">
        <v>-43.344444000000003</v>
      </c>
      <c r="L8" s="3" t="s">
        <v>845</v>
      </c>
      <c r="M8" s="3">
        <v>573285</v>
      </c>
      <c r="N8">
        <v>376.6</v>
      </c>
      <c r="O8" s="3" t="s">
        <v>2325</v>
      </c>
      <c r="P8" s="3" t="s">
        <v>846</v>
      </c>
      <c r="Q8" s="3" t="s">
        <v>2333</v>
      </c>
      <c r="R8" s="3">
        <v>1500</v>
      </c>
      <c r="S8" s="3">
        <v>19</v>
      </c>
      <c r="T8" s="3" t="s">
        <v>763</v>
      </c>
      <c r="U8" t="s">
        <v>2300</v>
      </c>
      <c r="V8" s="19" t="s">
        <v>2354</v>
      </c>
      <c r="W8" s="3" t="s">
        <v>787</v>
      </c>
      <c r="X8" s="3" t="s">
        <v>2350</v>
      </c>
      <c r="Y8" s="3" t="s">
        <v>1990</v>
      </c>
      <c r="Z8" t="s">
        <v>1032</v>
      </c>
      <c r="AA8" s="3" t="s">
        <v>2374</v>
      </c>
      <c r="AB8" s="3" t="s">
        <v>787</v>
      </c>
      <c r="AC8" s="3">
        <v>158430</v>
      </c>
      <c r="AD8" s="3">
        <f>AC8/AQ8</f>
        <v>3.1686000000000001</v>
      </c>
      <c r="AE8" s="3">
        <v>580920</v>
      </c>
      <c r="AF8" s="3">
        <f>AE8/AQ8</f>
        <v>11.618399999999999</v>
      </c>
      <c r="AG8" s="3" t="s">
        <v>2376</v>
      </c>
      <c r="AH8" s="3">
        <f>AI8/AQ8</f>
        <v>79.577399999999997</v>
      </c>
      <c r="AI8" s="3">
        <v>3978870</v>
      </c>
      <c r="AJ8" s="3">
        <f>AI8*3.67</f>
        <v>14602452.9</v>
      </c>
      <c r="AK8" s="3">
        <f>AJ8/AQ8</f>
        <v>292.049058</v>
      </c>
      <c r="AL8" s="3">
        <f>AH8/0.47</f>
        <v>169.3136170212766</v>
      </c>
      <c r="AM8" s="3">
        <f>AI8/0.47</f>
        <v>8465680.8510638308</v>
      </c>
      <c r="AN8" s="3">
        <f>AH8/1.24</f>
        <v>64.175322580645158</v>
      </c>
      <c r="AO8" s="3">
        <f>AN8*0.24</f>
        <v>15.402077419354837</v>
      </c>
      <c r="AP8" s="3">
        <v>50000</v>
      </c>
      <c r="AQ8" s="3">
        <v>50000</v>
      </c>
      <c r="AR8" s="3" t="s">
        <v>763</v>
      </c>
      <c r="AS8" s="3" t="s">
        <v>763</v>
      </c>
      <c r="AT8" s="3" t="s">
        <v>763</v>
      </c>
      <c r="AU8" s="3">
        <f>AQ8*0.3586</f>
        <v>17930</v>
      </c>
      <c r="AV8">
        <f t="shared" si="0"/>
        <v>1522.2650026553372</v>
      </c>
    </row>
    <row r="9" spans="1:48" x14ac:dyDescent="0.35">
      <c r="A9">
        <v>8</v>
      </c>
      <c r="B9" s="3">
        <v>7</v>
      </c>
      <c r="C9" s="3" t="s">
        <v>857</v>
      </c>
      <c r="D9" s="3" t="s">
        <v>858</v>
      </c>
      <c r="E9" s="3" t="s">
        <v>859</v>
      </c>
      <c r="F9" s="3">
        <v>2014</v>
      </c>
      <c r="G9" s="3" t="s">
        <v>1893</v>
      </c>
      <c r="H9" s="3" t="s">
        <v>753</v>
      </c>
      <c r="I9" s="3" t="s">
        <v>776</v>
      </c>
      <c r="J9" s="3">
        <v>-20.8</v>
      </c>
      <c r="K9" s="3">
        <v>-42.883333</v>
      </c>
      <c r="L9" s="3" t="s">
        <v>863</v>
      </c>
      <c r="M9" s="11">
        <v>72220</v>
      </c>
      <c r="N9">
        <v>255.3</v>
      </c>
      <c r="O9" s="3" t="s">
        <v>2325</v>
      </c>
      <c r="P9" s="3" t="s">
        <v>846</v>
      </c>
      <c r="Q9" s="3" t="s">
        <v>2333</v>
      </c>
      <c r="R9" s="3">
        <v>1251</v>
      </c>
      <c r="S9" s="3">
        <v>20.399999999999999</v>
      </c>
      <c r="T9" s="3" t="s">
        <v>763</v>
      </c>
      <c r="U9" t="s">
        <v>2300</v>
      </c>
      <c r="V9" s="19" t="s">
        <v>2354</v>
      </c>
      <c r="W9" s="3" t="s">
        <v>787</v>
      </c>
      <c r="X9" s="3" t="s">
        <v>2346</v>
      </c>
      <c r="Y9" s="3" t="s">
        <v>866</v>
      </c>
      <c r="Z9" s="3" t="s">
        <v>763</v>
      </c>
      <c r="AA9" s="3" t="s">
        <v>2374</v>
      </c>
      <c r="AB9" s="3" t="s">
        <v>787</v>
      </c>
      <c r="AC9" s="3">
        <f>AE9/3.67</f>
        <v>428.65442036672539</v>
      </c>
      <c r="AD9" s="3">
        <f>AF9/3.67</f>
        <v>0.81625139553789472</v>
      </c>
      <c r="AE9" s="3">
        <f>((1285.89*175.19)+(1596.89*290.08)+(2298.68*59.88))/(175.19+290.08+59.88)</f>
        <v>1573.1617227458821</v>
      </c>
      <c r="AF9" s="3">
        <f>AE9/AQ9</f>
        <v>2.9956426216240737</v>
      </c>
      <c r="AG9" s="3" t="s">
        <v>2376</v>
      </c>
      <c r="AH9" s="3" t="s">
        <v>763</v>
      </c>
      <c r="AI9" s="3" t="s">
        <v>763</v>
      </c>
      <c r="AJ9" s="3" t="s">
        <v>763</v>
      </c>
      <c r="AK9" s="3" t="s">
        <v>763</v>
      </c>
      <c r="AL9" s="3" t="s">
        <v>763</v>
      </c>
      <c r="AM9" s="3" t="s">
        <v>763</v>
      </c>
      <c r="AN9" s="3" t="s">
        <v>763</v>
      </c>
      <c r="AO9" s="3" t="s">
        <v>763</v>
      </c>
      <c r="AP9" s="3" t="s">
        <v>2111</v>
      </c>
      <c r="AQ9" s="3">
        <f>(175.19+290.08+59.88)</f>
        <v>525.15</v>
      </c>
      <c r="AR9" s="3" t="s">
        <v>763</v>
      </c>
      <c r="AS9" s="3" t="s">
        <v>870</v>
      </c>
      <c r="AT9" s="3" t="s">
        <v>763</v>
      </c>
      <c r="AU9" s="3" t="s">
        <v>763</v>
      </c>
      <c r="AV9">
        <f t="shared" si="0"/>
        <v>282.88288288288288</v>
      </c>
    </row>
    <row r="10" spans="1:48" x14ac:dyDescent="0.35">
      <c r="A10">
        <v>9</v>
      </c>
      <c r="B10" s="3">
        <v>7</v>
      </c>
      <c r="C10" s="3" t="s">
        <v>857</v>
      </c>
      <c r="D10" s="3" t="s">
        <v>858</v>
      </c>
      <c r="E10" s="3" t="s">
        <v>859</v>
      </c>
      <c r="F10" s="3">
        <v>2014</v>
      </c>
      <c r="G10" s="3" t="s">
        <v>1893</v>
      </c>
      <c r="H10" s="3" t="s">
        <v>753</v>
      </c>
      <c r="I10" s="3" t="s">
        <v>776</v>
      </c>
      <c r="J10" s="3">
        <v>-20.8</v>
      </c>
      <c r="K10" s="3">
        <v>-42.883333</v>
      </c>
      <c r="L10" s="3" t="s">
        <v>863</v>
      </c>
      <c r="M10" s="11">
        <v>72220</v>
      </c>
      <c r="N10">
        <v>255.3</v>
      </c>
      <c r="O10" s="3" t="s">
        <v>2325</v>
      </c>
      <c r="P10" s="3" t="s">
        <v>846</v>
      </c>
      <c r="Q10" s="3" t="s">
        <v>2333</v>
      </c>
      <c r="R10" s="3">
        <v>1251</v>
      </c>
      <c r="S10" s="3">
        <v>20.399999999999999</v>
      </c>
      <c r="T10" s="3" t="s">
        <v>763</v>
      </c>
      <c r="U10" t="s">
        <v>2300</v>
      </c>
      <c r="V10" s="3" t="s">
        <v>2371</v>
      </c>
      <c r="W10" s="3" t="s">
        <v>787</v>
      </c>
      <c r="X10" s="3" t="s">
        <v>2346</v>
      </c>
      <c r="Y10" s="3" t="s">
        <v>866</v>
      </c>
      <c r="Z10" s="3" t="s">
        <v>763</v>
      </c>
      <c r="AA10" s="3" t="s">
        <v>2374</v>
      </c>
      <c r="AB10" s="3" t="s">
        <v>787</v>
      </c>
      <c r="AC10" s="3">
        <f>AE10/3.67</f>
        <v>34.25068119891008</v>
      </c>
      <c r="AD10" s="3">
        <f>AC10/AQ10</f>
        <v>2.2140065416231467</v>
      </c>
      <c r="AE10" s="3">
        <v>125.7</v>
      </c>
      <c r="AF10" s="3">
        <f>AE10/AQ10</f>
        <v>8.1254040077569485</v>
      </c>
      <c r="AG10" s="3" t="s">
        <v>2377</v>
      </c>
      <c r="AH10" s="3" t="s">
        <v>763</v>
      </c>
      <c r="AI10" s="3" t="s">
        <v>763</v>
      </c>
      <c r="AJ10" s="3" t="s">
        <v>763</v>
      </c>
      <c r="AK10" s="3" t="s">
        <v>763</v>
      </c>
      <c r="AL10" s="3" t="s">
        <v>763</v>
      </c>
      <c r="AM10" s="3" t="s">
        <v>763</v>
      </c>
      <c r="AN10" s="3" t="s">
        <v>763</v>
      </c>
      <c r="AO10" s="3" t="s">
        <v>763</v>
      </c>
      <c r="AP10" s="3" t="s">
        <v>2112</v>
      </c>
      <c r="AQ10" s="3">
        <v>15.47</v>
      </c>
      <c r="AR10" s="3" t="s">
        <v>763</v>
      </c>
      <c r="AS10" s="3" t="s">
        <v>870</v>
      </c>
      <c r="AT10" s="3" t="s">
        <v>763</v>
      </c>
      <c r="AU10" s="3" t="s">
        <v>763</v>
      </c>
      <c r="AV10">
        <f t="shared" si="0"/>
        <v>282.88288288288288</v>
      </c>
    </row>
    <row r="11" spans="1:48" x14ac:dyDescent="0.35">
      <c r="A11">
        <v>10</v>
      </c>
      <c r="B11" s="3">
        <v>8</v>
      </c>
      <c r="C11" s="3" t="s">
        <v>871</v>
      </c>
      <c r="D11" s="3" t="s">
        <v>872</v>
      </c>
      <c r="E11" s="3" t="s">
        <v>873</v>
      </c>
      <c r="F11" s="3">
        <v>2018</v>
      </c>
      <c r="G11" s="3" t="s">
        <v>1894</v>
      </c>
      <c r="H11" s="3" t="s">
        <v>753</v>
      </c>
      <c r="I11" s="3" t="s">
        <v>754</v>
      </c>
      <c r="J11" s="3">
        <v>20.143651999999999</v>
      </c>
      <c r="K11" s="3">
        <v>-75.202138000000005</v>
      </c>
      <c r="L11" s="3" t="s">
        <v>877</v>
      </c>
      <c r="M11" s="11">
        <v>228436</v>
      </c>
      <c r="N11">
        <v>887.5</v>
      </c>
      <c r="O11" s="3" t="s">
        <v>2328</v>
      </c>
      <c r="P11" s="3" t="s">
        <v>878</v>
      </c>
      <c r="Q11" s="3" t="s">
        <v>2335</v>
      </c>
      <c r="R11" s="3">
        <v>851.1</v>
      </c>
      <c r="S11" s="3">
        <v>26.5</v>
      </c>
      <c r="T11" s="3" t="s">
        <v>881</v>
      </c>
      <c r="U11" t="s">
        <v>2300</v>
      </c>
      <c r="V11" s="3" t="s">
        <v>2371</v>
      </c>
      <c r="W11" s="3" t="s">
        <v>787</v>
      </c>
      <c r="X11" s="3" t="s">
        <v>2348</v>
      </c>
      <c r="Y11" s="3" t="s">
        <v>764</v>
      </c>
      <c r="Z11" s="3" t="s">
        <v>2025</v>
      </c>
      <c r="AA11" s="3" t="s">
        <v>2374</v>
      </c>
      <c r="AB11" s="3" t="s">
        <v>826</v>
      </c>
      <c r="AC11" s="3" t="s">
        <v>763</v>
      </c>
      <c r="AD11" s="3" t="s">
        <v>763</v>
      </c>
      <c r="AE11" s="3" t="s">
        <v>763</v>
      </c>
      <c r="AF11" s="3" t="s">
        <v>763</v>
      </c>
      <c r="AG11" s="3" t="s">
        <v>2377</v>
      </c>
      <c r="AH11" s="3">
        <f>AI11/AQ11</f>
        <v>394.47546856501481</v>
      </c>
      <c r="AI11" s="3">
        <v>76968.87</v>
      </c>
      <c r="AJ11" s="3">
        <f>AI11*3.67</f>
        <v>282475.75289999996</v>
      </c>
      <c r="AK11" s="3">
        <f>AJ11/AQ11</f>
        <v>1447.7249696336044</v>
      </c>
      <c r="AL11" s="4">
        <f>AM11/AQ11</f>
        <v>717.51820702450323</v>
      </c>
      <c r="AM11" s="4">
        <v>140000</v>
      </c>
      <c r="AN11" s="4">
        <f>107650/AQ11</f>
        <v>551.72024990134128</v>
      </c>
      <c r="AO11" s="4">
        <f>32320/AQ11</f>
        <v>165.64420322165677</v>
      </c>
      <c r="AP11" s="3">
        <v>195.11699999999999</v>
      </c>
      <c r="AQ11" s="3">
        <v>195.11699999999999</v>
      </c>
      <c r="AR11" s="3" t="s">
        <v>763</v>
      </c>
      <c r="AS11" s="3" t="s">
        <v>886</v>
      </c>
      <c r="AT11" s="3">
        <f>1259/AQ11</f>
        <v>6.4525387331703543</v>
      </c>
      <c r="AU11" s="3" t="s">
        <v>763</v>
      </c>
      <c r="AV11">
        <f t="shared" si="0"/>
        <v>257.39267605633802</v>
      </c>
    </row>
    <row r="12" spans="1:48" x14ac:dyDescent="0.35">
      <c r="A12">
        <v>11</v>
      </c>
      <c r="B12" s="3">
        <v>9</v>
      </c>
      <c r="C12" s="3" t="s">
        <v>888</v>
      </c>
      <c r="D12" s="3" t="s">
        <v>889</v>
      </c>
      <c r="E12" s="3" t="s">
        <v>873</v>
      </c>
      <c r="F12" s="3">
        <v>2022</v>
      </c>
      <c r="G12" s="3" t="s">
        <v>1895</v>
      </c>
      <c r="H12" s="3" t="s">
        <v>753</v>
      </c>
      <c r="I12" s="3" t="s">
        <v>754</v>
      </c>
      <c r="J12" s="3">
        <v>18.658055999999998</v>
      </c>
      <c r="K12" s="3">
        <v>-91.827777999999995</v>
      </c>
      <c r="L12" s="3" t="s">
        <v>893</v>
      </c>
      <c r="M12" s="57">
        <v>191328</v>
      </c>
      <c r="N12" s="57">
        <v>5368</v>
      </c>
      <c r="O12" s="3" t="s">
        <v>2328</v>
      </c>
      <c r="P12" s="3" t="s">
        <v>894</v>
      </c>
      <c r="Q12" s="3" t="s">
        <v>2335</v>
      </c>
      <c r="R12" s="3">
        <v>1550</v>
      </c>
      <c r="S12" s="3">
        <v>26</v>
      </c>
      <c r="T12" s="3" t="s">
        <v>759</v>
      </c>
      <c r="U12" t="s">
        <v>2303</v>
      </c>
      <c r="V12" s="3" t="s">
        <v>2353</v>
      </c>
      <c r="W12" s="3" t="s">
        <v>762</v>
      </c>
      <c r="X12" s="3" t="s">
        <v>2348</v>
      </c>
      <c r="Y12" s="3" t="s">
        <v>764</v>
      </c>
      <c r="Z12" s="3" t="s">
        <v>2026</v>
      </c>
      <c r="AA12" s="3" t="s">
        <v>2374</v>
      </c>
      <c r="AB12" s="3" t="s">
        <v>762</v>
      </c>
      <c r="AC12" s="3" t="s">
        <v>763</v>
      </c>
      <c r="AD12" s="3" t="s">
        <v>763</v>
      </c>
      <c r="AE12" s="3" t="s">
        <v>763</v>
      </c>
      <c r="AF12" s="3" t="s">
        <v>763</v>
      </c>
      <c r="AG12" s="3" t="s">
        <v>2377</v>
      </c>
      <c r="AH12" s="3">
        <v>352</v>
      </c>
      <c r="AI12" s="3">
        <f>AH12*AQ12</f>
        <v>2358.4</v>
      </c>
      <c r="AJ12" s="3">
        <f>AI12*3.67</f>
        <v>8655.3279999999995</v>
      </c>
      <c r="AK12" s="3">
        <f>AJ12/AQ12</f>
        <v>1291.8399999999999</v>
      </c>
      <c r="AL12" s="4">
        <f>AH12/0.47</f>
        <v>748.936170212766</v>
      </c>
      <c r="AM12" s="4">
        <f>AI12/0.47</f>
        <v>5017.8723404255325</v>
      </c>
      <c r="AN12" s="3">
        <f>AL12/1.24</f>
        <v>603.98078242965005</v>
      </c>
      <c r="AO12" s="3">
        <f>AN12*0.24</f>
        <v>144.95538778311601</v>
      </c>
      <c r="AP12" s="3">
        <v>6.7</v>
      </c>
      <c r="AQ12" s="3">
        <v>6.7</v>
      </c>
      <c r="AR12" s="3" t="s">
        <v>763</v>
      </c>
      <c r="AS12" s="3" t="s">
        <v>903</v>
      </c>
      <c r="AT12" s="3">
        <v>1281</v>
      </c>
      <c r="AU12" s="3" t="s">
        <v>763</v>
      </c>
      <c r="AV12">
        <f t="shared" si="0"/>
        <v>35.642324888226526</v>
      </c>
    </row>
    <row r="13" spans="1:48" x14ac:dyDescent="0.35">
      <c r="A13">
        <v>12</v>
      </c>
      <c r="B13" s="3">
        <v>10</v>
      </c>
      <c r="C13" s="3" t="s">
        <v>905</v>
      </c>
      <c r="D13" s="3" t="s">
        <v>906</v>
      </c>
      <c r="E13" s="3" t="s">
        <v>873</v>
      </c>
      <c r="F13" s="3">
        <v>2023</v>
      </c>
      <c r="G13" s="3" t="s">
        <v>1896</v>
      </c>
      <c r="H13" s="3" t="s">
        <v>753</v>
      </c>
      <c r="I13" s="3" t="s">
        <v>754</v>
      </c>
      <c r="J13" s="3">
        <v>19.464027999999999</v>
      </c>
      <c r="K13" s="3">
        <v>-98.826291999999995</v>
      </c>
      <c r="L13" s="58" t="s">
        <v>1774</v>
      </c>
      <c r="M13" s="11">
        <v>35491</v>
      </c>
      <c r="N13" s="11">
        <v>6476</v>
      </c>
      <c r="O13" s="3" t="s">
        <v>2328</v>
      </c>
      <c r="P13" s="3" t="s">
        <v>894</v>
      </c>
      <c r="Q13" s="3" t="s">
        <v>2334</v>
      </c>
      <c r="R13" s="3">
        <v>613.20000000000005</v>
      </c>
      <c r="S13" s="3">
        <v>15</v>
      </c>
      <c r="T13" s="3" t="s">
        <v>2080</v>
      </c>
      <c r="U13" t="s">
        <v>2304</v>
      </c>
      <c r="V13" s="19" t="s">
        <v>2354</v>
      </c>
      <c r="W13" s="3" t="s">
        <v>787</v>
      </c>
      <c r="X13" s="3" t="s">
        <v>2346</v>
      </c>
      <c r="Y13" s="7" t="s">
        <v>2003</v>
      </c>
      <c r="Z13" s="7" t="s">
        <v>2029</v>
      </c>
      <c r="AA13" s="3" t="s">
        <v>2374</v>
      </c>
      <c r="AB13" s="3" t="s">
        <v>787</v>
      </c>
      <c r="AC13" s="3">
        <v>0.69025999999999998</v>
      </c>
      <c r="AD13" s="3">
        <f>AC13/AQ13</f>
        <v>1.0192852923803897</v>
      </c>
      <c r="AE13" s="3">
        <f>AC13*3.67</f>
        <v>2.5332542</v>
      </c>
      <c r="AF13" s="3">
        <f>AE13/AQ13</f>
        <v>3.7407770230360304</v>
      </c>
      <c r="AG13" s="3" t="s">
        <v>2377</v>
      </c>
      <c r="AH13" s="3">
        <f>AI13/AQ13</f>
        <v>19.255759007678677</v>
      </c>
      <c r="AI13" s="3">
        <v>13.04</v>
      </c>
      <c r="AJ13" s="3">
        <f>AI13*3.67</f>
        <v>47.856799999999993</v>
      </c>
      <c r="AK13" s="3">
        <f>AJ13/AQ13</f>
        <v>70.668635558180725</v>
      </c>
      <c r="AL13" s="3">
        <f>AH13/0.47</f>
        <v>40.969700016337612</v>
      </c>
      <c r="AM13" s="3">
        <f>AI13/0.47</f>
        <v>27.74468085106383</v>
      </c>
      <c r="AN13" s="3">
        <f>AH13/1.24</f>
        <v>15.528837909418288</v>
      </c>
      <c r="AO13" s="3">
        <f>AN13*0.24</f>
        <v>3.7269210982603891</v>
      </c>
      <c r="AP13" s="7">
        <v>0.67720000000000002</v>
      </c>
      <c r="AQ13" s="7">
        <v>0.67720000000000002</v>
      </c>
      <c r="AR13" s="3" t="s">
        <v>763</v>
      </c>
      <c r="AS13" s="7" t="s">
        <v>2269</v>
      </c>
      <c r="AT13" s="3">
        <f>276/AQ13</f>
        <v>407.56054341405786</v>
      </c>
      <c r="AU13" s="3" t="s">
        <v>763</v>
      </c>
      <c r="AV13">
        <f t="shared" si="0"/>
        <v>5.4803891290920319</v>
      </c>
    </row>
    <row r="14" spans="1:48" x14ac:dyDescent="0.35">
      <c r="A14">
        <v>13</v>
      </c>
      <c r="B14" s="3">
        <v>11</v>
      </c>
      <c r="C14" s="15" t="s">
        <v>82</v>
      </c>
      <c r="D14" s="3" t="s">
        <v>84</v>
      </c>
      <c r="E14" s="3" t="s">
        <v>751</v>
      </c>
      <c r="F14" s="3">
        <v>2024</v>
      </c>
      <c r="G14" s="3">
        <v>2023</v>
      </c>
      <c r="H14" s="3" t="s">
        <v>753</v>
      </c>
      <c r="I14" s="3" t="s">
        <v>754</v>
      </c>
      <c r="J14" s="3">
        <v>9.5333330000000007</v>
      </c>
      <c r="K14" s="3">
        <v>76.599999999999994</v>
      </c>
      <c r="L14" s="3" t="s">
        <v>920</v>
      </c>
      <c r="M14" s="5">
        <v>55374</v>
      </c>
      <c r="N14" s="11">
        <v>3463</v>
      </c>
      <c r="O14" s="3" t="s">
        <v>2327</v>
      </c>
      <c r="P14" s="3" t="s">
        <v>756</v>
      </c>
      <c r="Q14" s="3" t="s">
        <v>2339</v>
      </c>
      <c r="R14" s="3">
        <v>2600</v>
      </c>
      <c r="S14" s="3">
        <v>25</v>
      </c>
      <c r="T14" s="3" t="s">
        <v>763</v>
      </c>
      <c r="U14" t="s">
        <v>2300</v>
      </c>
      <c r="V14" s="19" t="s">
        <v>2354</v>
      </c>
      <c r="W14" s="3" t="s">
        <v>787</v>
      </c>
      <c r="X14" s="3" t="s">
        <v>2346</v>
      </c>
      <c r="Y14" s="3" t="s">
        <v>925</v>
      </c>
      <c r="Z14" s="3" t="s">
        <v>2033</v>
      </c>
      <c r="AA14" s="3" t="s">
        <v>2374</v>
      </c>
      <c r="AB14" s="3" t="s">
        <v>787</v>
      </c>
      <c r="AC14" s="3">
        <f>AD14*AQ14</f>
        <v>328.77358490566036</v>
      </c>
      <c r="AD14">
        <f>(((570/(10*23)*10 + 1425/(25*23)*25 + 2850/(50*23)*50)/ (10+25+50))*23 + ((1480/(10*30)*10 + 3700/(25*30)*25 + 7400/(50*30)*50)/(10+25+50))*30) / (23+30)</f>
        <v>3.8679245283018866</v>
      </c>
      <c r="AE14" s="3">
        <f>AC14*3.67</f>
        <v>1206.5990566037735</v>
      </c>
      <c r="AF14" s="3">
        <f>AD14*3.67</f>
        <v>14.195283018867924</v>
      </c>
      <c r="AG14" s="3" t="s">
        <v>2377</v>
      </c>
      <c r="AH14" s="3">
        <f>AI14/AQ14</f>
        <v>108.50943396226415</v>
      </c>
      <c r="AI14">
        <f>(((570 + 1425 + 2850)*23) + ((1480 + 3700 + 7400)*30)) / (23+30)</f>
        <v>9223.3018867924529</v>
      </c>
      <c r="AJ14" s="3">
        <f>AI14*3.67</f>
        <v>33849.5179245283</v>
      </c>
      <c r="AK14" s="3">
        <f>AJ14/AQ14</f>
        <v>398.22962264150942</v>
      </c>
      <c r="AL14" s="3">
        <f>AH14/0.47</f>
        <v>230.87113608992374</v>
      </c>
      <c r="AM14" s="3">
        <f t="shared" ref="AM14:AM15" si="3">AI14/0.47</f>
        <v>19624.04656764352</v>
      </c>
      <c r="AN14" s="3">
        <f>AH14/1.24</f>
        <v>87.507608034084001</v>
      </c>
      <c r="AO14" s="3">
        <f t="shared" ref="AO14:AO15" si="4">AN14*0.24</f>
        <v>21.00182592818016</v>
      </c>
      <c r="AP14" s="3">
        <v>85</v>
      </c>
      <c r="AQ14" s="3">
        <v>85</v>
      </c>
      <c r="AR14" s="3">
        <v>26.5</v>
      </c>
      <c r="AS14" s="3" t="s">
        <v>931</v>
      </c>
      <c r="AT14" s="3" t="s">
        <v>763</v>
      </c>
      <c r="AU14" s="3" t="s">
        <v>763</v>
      </c>
      <c r="AV14">
        <f t="shared" si="0"/>
        <v>15.990181923187988</v>
      </c>
    </row>
    <row r="15" spans="1:48" x14ac:dyDescent="0.35">
      <c r="A15">
        <v>14</v>
      </c>
      <c r="B15" s="3">
        <v>12</v>
      </c>
      <c r="C15" s="3" t="s">
        <v>932</v>
      </c>
      <c r="D15" s="3" t="s">
        <v>933</v>
      </c>
      <c r="E15" s="3" t="s">
        <v>751</v>
      </c>
      <c r="F15" s="3">
        <v>2023</v>
      </c>
      <c r="G15" s="3" t="s">
        <v>763</v>
      </c>
      <c r="H15" s="3" t="s">
        <v>753</v>
      </c>
      <c r="I15" s="3" t="s">
        <v>754</v>
      </c>
      <c r="J15" s="3">
        <v>9.8820949999999996</v>
      </c>
      <c r="K15" s="3">
        <v>78.081536999999997</v>
      </c>
      <c r="L15" s="3" t="s">
        <v>2084</v>
      </c>
      <c r="M15" s="11">
        <v>1017865</v>
      </c>
      <c r="N15" s="11">
        <v>19589</v>
      </c>
      <c r="O15" s="3" t="s">
        <v>2327</v>
      </c>
      <c r="P15" s="3" t="s">
        <v>756</v>
      </c>
      <c r="Q15" s="3" t="s">
        <v>2335</v>
      </c>
      <c r="R15" s="3">
        <v>849</v>
      </c>
      <c r="S15" s="3">
        <v>28.2</v>
      </c>
      <c r="T15" s="3" t="s">
        <v>763</v>
      </c>
      <c r="U15" t="s">
        <v>2297</v>
      </c>
      <c r="V15" s="19" t="s">
        <v>2354</v>
      </c>
      <c r="W15" s="3" t="s">
        <v>762</v>
      </c>
      <c r="X15" s="3" t="s">
        <v>2346</v>
      </c>
      <c r="Y15" s="3" t="s">
        <v>936</v>
      </c>
      <c r="Z15" s="3" t="s">
        <v>2026</v>
      </c>
      <c r="AA15" s="3" t="s">
        <v>2374</v>
      </c>
      <c r="AB15" s="3" t="s">
        <v>762</v>
      </c>
      <c r="AC15" s="3" t="s">
        <v>763</v>
      </c>
      <c r="AD15" s="3" t="s">
        <v>763</v>
      </c>
      <c r="AE15" s="3" t="s">
        <v>763</v>
      </c>
      <c r="AF15" s="3" t="s">
        <v>763</v>
      </c>
      <c r="AG15" s="3" t="s">
        <v>2377</v>
      </c>
      <c r="AH15" s="3">
        <f>AI15/AQ15</f>
        <v>431.29883281121869</v>
      </c>
      <c r="AI15" s="3">
        <f>AJ15/3.67</f>
        <v>8727.0299727520432</v>
      </c>
      <c r="AJ15" s="3">
        <v>32028.2</v>
      </c>
      <c r="AK15" s="3">
        <f>AJ15/AQ15</f>
        <v>1582.8667164171727</v>
      </c>
      <c r="AL15" s="3">
        <f t="shared" ref="AL15" si="5">AH15/0.47</f>
        <v>917.65709108769943</v>
      </c>
      <c r="AM15" s="3">
        <f t="shared" si="3"/>
        <v>18568.148878195836</v>
      </c>
      <c r="AN15" s="3">
        <f t="shared" ref="AN15" si="6">AH15/1.24</f>
        <v>347.82163936388605</v>
      </c>
      <c r="AO15" s="3">
        <f t="shared" si="4"/>
        <v>83.477193447332652</v>
      </c>
      <c r="AP15" s="3">
        <v>20.234300000000001</v>
      </c>
      <c r="AQ15" s="3">
        <v>20.234300000000001</v>
      </c>
      <c r="AR15" s="3">
        <v>66</v>
      </c>
      <c r="AS15" s="3" t="s">
        <v>941</v>
      </c>
      <c r="AT15" s="3">
        <f>714/AQ15</f>
        <v>35.286617278581417</v>
      </c>
      <c r="AU15" s="3" t="s">
        <v>763</v>
      </c>
      <c r="AV15">
        <f t="shared" si="0"/>
        <v>51.96104956863546</v>
      </c>
    </row>
    <row r="16" spans="1:48" x14ac:dyDescent="0.35">
      <c r="A16">
        <v>15</v>
      </c>
      <c r="B16" s="3">
        <v>13</v>
      </c>
      <c r="C16" s="3" t="s">
        <v>958</v>
      </c>
      <c r="D16" s="3" t="s">
        <v>959</v>
      </c>
      <c r="E16" s="3" t="s">
        <v>751</v>
      </c>
      <c r="F16" s="3">
        <v>2021</v>
      </c>
      <c r="G16" s="3">
        <v>2020</v>
      </c>
      <c r="H16" s="3" t="s">
        <v>753</v>
      </c>
      <c r="I16" s="3" t="s">
        <v>776</v>
      </c>
      <c r="J16" s="3">
        <v>-6.2394439999999998</v>
      </c>
      <c r="K16" s="3">
        <v>106.992778</v>
      </c>
      <c r="L16" s="3" t="s">
        <v>962</v>
      </c>
      <c r="M16" s="11">
        <v>2334871</v>
      </c>
      <c r="N16" s="11">
        <v>10906</v>
      </c>
      <c r="O16" s="3" t="s">
        <v>2327</v>
      </c>
      <c r="P16" s="3" t="s">
        <v>832</v>
      </c>
      <c r="Q16" s="3" t="s">
        <v>2339</v>
      </c>
      <c r="R16" s="3">
        <v>2266</v>
      </c>
      <c r="S16" s="3">
        <v>26.5</v>
      </c>
      <c r="T16" s="3" t="s">
        <v>763</v>
      </c>
      <c r="U16" t="s">
        <v>2300</v>
      </c>
      <c r="V16" s="3" t="s">
        <v>2370</v>
      </c>
      <c r="W16" s="3" t="s">
        <v>787</v>
      </c>
      <c r="X16" s="3" t="s">
        <v>2350</v>
      </c>
      <c r="Y16" s="3" t="s">
        <v>1989</v>
      </c>
      <c r="Z16" s="3" t="s">
        <v>2026</v>
      </c>
      <c r="AA16" s="3" t="s">
        <v>2374</v>
      </c>
      <c r="AB16" s="3" t="s">
        <v>787</v>
      </c>
      <c r="AC16" s="3" t="s">
        <v>763</v>
      </c>
      <c r="AD16" s="3" t="s">
        <v>763</v>
      </c>
      <c r="AE16" s="3" t="s">
        <v>763</v>
      </c>
      <c r="AF16" s="3" t="s">
        <v>763</v>
      </c>
      <c r="AG16" s="3" t="s">
        <v>2376</v>
      </c>
      <c r="AH16" s="4">
        <f>AL16*0.47</f>
        <v>0.58687959999999983</v>
      </c>
      <c r="AI16" s="4">
        <f>AM16*0.47</f>
        <v>853.90981799999975</v>
      </c>
      <c r="AJ16" s="4">
        <f>AI16*3.67</f>
        <v>3133.849032059999</v>
      </c>
      <c r="AK16" s="4">
        <f>AH16*3.67</f>
        <v>2.1538481319999994</v>
      </c>
      <c r="AL16" s="4">
        <f>AN16+AO16</f>
        <v>1.2486799999999998</v>
      </c>
      <c r="AM16" s="4">
        <f>AL16*AQ16</f>
        <v>1816.8293999999996</v>
      </c>
      <c r="AN16" s="3">
        <v>1.0069999999999999</v>
      </c>
      <c r="AO16" s="4">
        <f>AN16*0.24</f>
        <v>0.24167999999999998</v>
      </c>
      <c r="AP16" s="3">
        <v>1455</v>
      </c>
      <c r="AQ16" s="3">
        <v>1455</v>
      </c>
      <c r="AR16" s="3" t="s">
        <v>763</v>
      </c>
      <c r="AS16" s="3" t="s">
        <v>969</v>
      </c>
      <c r="AT16" s="3" t="s">
        <v>763</v>
      </c>
      <c r="AU16" s="3" t="s">
        <v>763</v>
      </c>
      <c r="AV16">
        <f t="shared" si="0"/>
        <v>214.09050064184854</v>
      </c>
    </row>
    <row r="17" spans="1:48" x14ac:dyDescent="0.35">
      <c r="A17">
        <v>16</v>
      </c>
      <c r="B17" s="3">
        <v>14</v>
      </c>
      <c r="C17" s="3" t="s">
        <v>92</v>
      </c>
      <c r="D17" s="3" t="s">
        <v>1008</v>
      </c>
      <c r="E17" s="3" t="s">
        <v>751</v>
      </c>
      <c r="F17" s="3">
        <v>2020</v>
      </c>
      <c r="G17" s="27">
        <v>43831</v>
      </c>
      <c r="H17" s="3" t="s">
        <v>753</v>
      </c>
      <c r="I17" s="3" t="s">
        <v>754</v>
      </c>
      <c r="J17" s="3">
        <v>23.241667</v>
      </c>
      <c r="K17" s="3">
        <v>77.391666999999998</v>
      </c>
      <c r="L17" s="3" t="s">
        <v>1012</v>
      </c>
      <c r="M17" s="11">
        <v>1798218</v>
      </c>
      <c r="N17" s="11">
        <v>6290</v>
      </c>
      <c r="O17" s="3" t="s">
        <v>2327</v>
      </c>
      <c r="P17" s="3" t="s">
        <v>756</v>
      </c>
      <c r="Q17" s="3" t="s">
        <v>2333</v>
      </c>
      <c r="R17" s="3">
        <v>1000</v>
      </c>
      <c r="S17" s="3">
        <v>26</v>
      </c>
      <c r="T17" s="3" t="s">
        <v>1016</v>
      </c>
      <c r="U17" t="s">
        <v>2297</v>
      </c>
      <c r="V17" s="19" t="s">
        <v>2354</v>
      </c>
      <c r="W17" s="3" t="s">
        <v>787</v>
      </c>
      <c r="X17" s="3" t="s">
        <v>2346</v>
      </c>
      <c r="Y17" s="3" t="s">
        <v>764</v>
      </c>
      <c r="Z17" s="29" t="s">
        <v>2030</v>
      </c>
      <c r="AA17" s="3" t="s">
        <v>2374</v>
      </c>
      <c r="AB17" s="3" t="s">
        <v>787</v>
      </c>
      <c r="AC17" s="3" t="s">
        <v>763</v>
      </c>
      <c r="AD17" s="3" t="s">
        <v>763</v>
      </c>
      <c r="AE17" s="3" t="s">
        <v>763</v>
      </c>
      <c r="AF17" s="3" t="s">
        <v>763</v>
      </c>
      <c r="AG17" s="3" t="s">
        <v>2377</v>
      </c>
      <c r="AH17" s="3">
        <v>16.670000000000002</v>
      </c>
      <c r="AI17" s="3">
        <f>AH17*AQ17</f>
        <v>1344.2688000000001</v>
      </c>
      <c r="AJ17" s="3">
        <f>AI17*3.67</f>
        <v>4933.466496</v>
      </c>
      <c r="AK17" s="3">
        <f>AJ17/AQ17</f>
        <v>61.178899999999999</v>
      </c>
      <c r="AL17" s="3">
        <f>AH17/0.47</f>
        <v>35.468085106382986</v>
      </c>
      <c r="AM17" s="3">
        <f>AI17/0.47</f>
        <v>2860.1463829787235</v>
      </c>
      <c r="AN17" s="3">
        <f>AH17/1.24</f>
        <v>13.443548387096776</v>
      </c>
      <c r="AO17" s="3">
        <f>AN17*0.24</f>
        <v>3.2264516129032259</v>
      </c>
      <c r="AP17" s="3">
        <v>80.64</v>
      </c>
      <c r="AQ17" s="3">
        <v>80.64</v>
      </c>
      <c r="AR17" s="3">
        <v>32</v>
      </c>
      <c r="AS17" s="3" t="s">
        <v>1018</v>
      </c>
      <c r="AT17" s="3">
        <v>1950</v>
      </c>
      <c r="AU17" s="3" t="s">
        <v>763</v>
      </c>
      <c r="AV17">
        <f t="shared" si="0"/>
        <v>285.88521462639108</v>
      </c>
    </row>
    <row r="18" spans="1:48" x14ac:dyDescent="0.35">
      <c r="A18">
        <v>17</v>
      </c>
      <c r="B18" s="3">
        <v>15</v>
      </c>
      <c r="C18" s="3" t="s">
        <v>98</v>
      </c>
      <c r="D18" s="3" t="s">
        <v>1030</v>
      </c>
      <c r="E18" s="3" t="s">
        <v>751</v>
      </c>
      <c r="F18" s="3">
        <v>2018</v>
      </c>
      <c r="G18" s="4" t="s">
        <v>1897</v>
      </c>
      <c r="H18" s="3" t="s">
        <v>795</v>
      </c>
      <c r="I18" s="3" t="s">
        <v>754</v>
      </c>
      <c r="J18" s="3">
        <v>9.9311939999999996</v>
      </c>
      <c r="K18" s="3">
        <v>76.267306000000005</v>
      </c>
      <c r="L18" s="3" t="s">
        <v>1753</v>
      </c>
      <c r="M18" s="11">
        <v>633553</v>
      </c>
      <c r="N18" s="11">
        <v>5914</v>
      </c>
      <c r="O18" s="3" t="s">
        <v>2327</v>
      </c>
      <c r="P18" s="3" t="s">
        <v>756</v>
      </c>
      <c r="Q18" s="3" t="s">
        <v>2339</v>
      </c>
      <c r="R18" s="3">
        <v>3344.5</v>
      </c>
      <c r="S18" s="3">
        <v>30.8</v>
      </c>
      <c r="T18" s="3" t="s">
        <v>759</v>
      </c>
      <c r="U18" t="s">
        <v>2300</v>
      </c>
      <c r="V18" s="3" t="s">
        <v>2371</v>
      </c>
      <c r="W18" s="3" t="s">
        <v>762</v>
      </c>
      <c r="X18" s="3" t="s">
        <v>2348</v>
      </c>
      <c r="Y18" s="3" t="s">
        <v>1991</v>
      </c>
      <c r="Z18" s="3" t="s">
        <v>1032</v>
      </c>
      <c r="AA18" s="3" t="s">
        <v>2374</v>
      </c>
      <c r="AB18" s="3" t="s">
        <v>762</v>
      </c>
      <c r="AC18" s="3" t="s">
        <v>763</v>
      </c>
      <c r="AD18" s="3" t="s">
        <v>763</v>
      </c>
      <c r="AE18" s="3" t="s">
        <v>763</v>
      </c>
      <c r="AF18" s="3" t="s">
        <v>763</v>
      </c>
      <c r="AG18" s="3" t="s">
        <v>2376</v>
      </c>
      <c r="AH18" s="3">
        <f>((2013*42.78)+(2015*39.49))/(2013+2015)</f>
        <v>41.134183217477656</v>
      </c>
      <c r="AI18" s="3">
        <f>AH18*AQ18</f>
        <v>710.41287431927594</v>
      </c>
      <c r="AJ18" s="3">
        <f>AI18*3.67</f>
        <v>2607.2152487517428</v>
      </c>
      <c r="AK18" s="3">
        <f>AJ18/AQ18</f>
        <v>150.96245240814301</v>
      </c>
      <c r="AL18" s="3">
        <f>AH18/0.47</f>
        <v>87.519538760590763</v>
      </c>
      <c r="AM18" s="3">
        <f>AI18/0.47</f>
        <v>1511.5167538707999</v>
      </c>
      <c r="AN18" s="3">
        <f>AH18/1.24</f>
        <v>33.172728401191655</v>
      </c>
      <c r="AO18" s="3">
        <f>AN18*0.24</f>
        <v>7.9614548162859968</v>
      </c>
      <c r="AP18" t="s">
        <v>1034</v>
      </c>
      <c r="AQ18">
        <f>((2013*16.02)+(2015*18.52))/(2013+2015)</f>
        <v>17.270620655412113</v>
      </c>
      <c r="AR18" s="3" t="s">
        <v>763</v>
      </c>
      <c r="AS18" s="3" t="s">
        <v>763</v>
      </c>
      <c r="AT18" s="3" t="s">
        <v>763</v>
      </c>
      <c r="AU18" s="3">
        <v>1.085</v>
      </c>
      <c r="AV18">
        <f t="shared" si="0"/>
        <v>107.12766317213392</v>
      </c>
    </row>
    <row r="19" spans="1:48" x14ac:dyDescent="0.35">
      <c r="A19">
        <v>18</v>
      </c>
      <c r="B19" s="3">
        <v>16</v>
      </c>
      <c r="C19" t="s">
        <v>111</v>
      </c>
      <c r="D19" t="s">
        <v>113</v>
      </c>
      <c r="E19" s="3" t="s">
        <v>751</v>
      </c>
      <c r="F19" s="3">
        <v>2018</v>
      </c>
      <c r="G19" s="3">
        <v>2016</v>
      </c>
      <c r="H19" s="3" t="s">
        <v>753</v>
      </c>
      <c r="I19" s="3" t="s">
        <v>776</v>
      </c>
      <c r="J19" s="3">
        <v>-6.2249999999999996</v>
      </c>
      <c r="K19" s="3">
        <v>106.63333299999999</v>
      </c>
      <c r="L19" s="3" t="s">
        <v>2085</v>
      </c>
      <c r="M19" s="11">
        <v>152145</v>
      </c>
      <c r="N19" s="3">
        <v>9835</v>
      </c>
      <c r="O19" s="3" t="s">
        <v>2327</v>
      </c>
      <c r="P19" s="3" t="s">
        <v>832</v>
      </c>
      <c r="Q19" t="s">
        <v>2332</v>
      </c>
      <c r="R19" s="3">
        <v>2097</v>
      </c>
      <c r="S19" s="3">
        <v>26.3</v>
      </c>
      <c r="T19" s="3" t="s">
        <v>763</v>
      </c>
      <c r="U19" t="s">
        <v>2300</v>
      </c>
      <c r="V19" s="3" t="s">
        <v>2370</v>
      </c>
      <c r="W19" s="3" t="s">
        <v>787</v>
      </c>
      <c r="X19" s="3" t="s">
        <v>2348</v>
      </c>
      <c r="Y19" s="3" t="s">
        <v>1039</v>
      </c>
      <c r="Z19" s="3" t="s">
        <v>2026</v>
      </c>
      <c r="AA19" s="3" t="s">
        <v>2374</v>
      </c>
      <c r="AB19" s="3" t="s">
        <v>787</v>
      </c>
      <c r="AC19" s="3" t="s">
        <v>763</v>
      </c>
      <c r="AD19" s="3" t="s">
        <v>763</v>
      </c>
      <c r="AE19" s="3" t="s">
        <v>763</v>
      </c>
      <c r="AF19" s="3" t="s">
        <v>763</v>
      </c>
      <c r="AG19" s="3" t="s">
        <v>2376</v>
      </c>
      <c r="AH19" s="3">
        <f>AI19/AQ19</f>
        <v>8.2749076107490875</v>
      </c>
      <c r="AI19" s="3">
        <f>AJ19/3.67</f>
        <v>121798.36512261581</v>
      </c>
      <c r="AJ19" s="3">
        <v>447000</v>
      </c>
      <c r="AK19" s="3">
        <f>AJ19/AQ19</f>
        <v>30.368910931449147</v>
      </c>
      <c r="AL19" s="4">
        <f>AN19+AO19</f>
        <v>20.543107548067127</v>
      </c>
      <c r="AM19" s="4">
        <f>AL19*AQ19</f>
        <v>302374.00000000006</v>
      </c>
      <c r="AN19" s="3">
        <f>243850/AQ19</f>
        <v>16.567022216183165</v>
      </c>
      <c r="AO19" s="4">
        <f>AN19*0.24</f>
        <v>3.9760853318839597</v>
      </c>
      <c r="AP19" s="3">
        <v>14719</v>
      </c>
      <c r="AQ19" s="3">
        <v>14719</v>
      </c>
      <c r="AR19" s="3" t="s">
        <v>763</v>
      </c>
      <c r="AS19" s="3" t="s">
        <v>2010</v>
      </c>
      <c r="AT19" s="5" t="s">
        <v>763</v>
      </c>
      <c r="AU19" s="5">
        <v>5.0148999999999999</v>
      </c>
      <c r="AV19">
        <f t="shared" si="0"/>
        <v>15.469750889679716</v>
      </c>
    </row>
    <row r="20" spans="1:48" x14ac:dyDescent="0.35">
      <c r="A20">
        <v>19</v>
      </c>
      <c r="B20" s="3">
        <v>17</v>
      </c>
      <c r="C20" t="s">
        <v>126</v>
      </c>
      <c r="D20" t="s">
        <v>128</v>
      </c>
      <c r="E20" s="3" t="s">
        <v>751</v>
      </c>
      <c r="F20" s="3">
        <v>2023</v>
      </c>
      <c r="G20" s="3">
        <v>2019</v>
      </c>
      <c r="H20" s="3" t="s">
        <v>753</v>
      </c>
      <c r="I20" s="3" t="s">
        <v>776</v>
      </c>
      <c r="J20" s="3">
        <v>-20.761651000000001</v>
      </c>
      <c r="K20" s="3">
        <v>-42.870387999999998</v>
      </c>
      <c r="L20" s="3" t="s">
        <v>863</v>
      </c>
      <c r="M20" s="11">
        <v>76430</v>
      </c>
      <c r="N20">
        <v>255.3</v>
      </c>
      <c r="O20" s="3" t="s">
        <v>2325</v>
      </c>
      <c r="P20" s="3" t="s">
        <v>846</v>
      </c>
      <c r="Q20" s="3" t="s">
        <v>2333</v>
      </c>
      <c r="R20" s="3">
        <v>1251</v>
      </c>
      <c r="S20" s="3">
        <v>20.399999999999999</v>
      </c>
      <c r="T20" s="3" t="s">
        <v>763</v>
      </c>
      <c r="U20" t="s">
        <v>2300</v>
      </c>
      <c r="V20" s="19" t="s">
        <v>2354</v>
      </c>
      <c r="W20" s="3" t="s">
        <v>787</v>
      </c>
      <c r="X20" s="3" t="s">
        <v>2346</v>
      </c>
      <c r="Y20" s="3" t="s">
        <v>1052</v>
      </c>
      <c r="Z20" s="3" t="s">
        <v>1032</v>
      </c>
      <c r="AA20" s="3" t="s">
        <v>2374</v>
      </c>
      <c r="AB20" s="3" t="s">
        <v>787</v>
      </c>
      <c r="AC20" s="3">
        <f t="shared" ref="AC20:AD22" si="7">AE20/3.67</f>
        <v>2329.0899182561311</v>
      </c>
      <c r="AD20" s="3">
        <f t="shared" si="7"/>
        <v>1.4198304793075656</v>
      </c>
      <c r="AE20" s="3">
        <v>8547.76</v>
      </c>
      <c r="AF20" s="3">
        <f>AE20/AQ20</f>
        <v>5.2107778590587657</v>
      </c>
      <c r="AG20" s="3" t="s">
        <v>2376</v>
      </c>
      <c r="AH20" s="3" t="s">
        <v>763</v>
      </c>
      <c r="AI20" s="3" t="s">
        <v>763</v>
      </c>
      <c r="AJ20" s="3" t="s">
        <v>763</v>
      </c>
      <c r="AK20" s="3" t="s">
        <v>763</v>
      </c>
      <c r="AL20" s="3" t="s">
        <v>763</v>
      </c>
      <c r="AM20" s="3" t="s">
        <v>763</v>
      </c>
      <c r="AN20" s="3" t="s">
        <v>763</v>
      </c>
      <c r="AO20" s="3" t="s">
        <v>763</v>
      </c>
      <c r="AP20" s="3" t="s">
        <v>1048</v>
      </c>
      <c r="AQ20" s="3">
        <v>1640.4</v>
      </c>
      <c r="AR20" s="3" t="s">
        <v>763</v>
      </c>
      <c r="AS20" s="3" t="s">
        <v>763</v>
      </c>
      <c r="AT20" s="3">
        <v>513.58000000000004</v>
      </c>
      <c r="AU20" s="3" t="s">
        <v>763</v>
      </c>
      <c r="AV20">
        <f t="shared" si="0"/>
        <v>299.37328632980808</v>
      </c>
    </row>
    <row r="21" spans="1:48" x14ac:dyDescent="0.35">
      <c r="A21">
        <v>20</v>
      </c>
      <c r="B21" s="3">
        <v>18</v>
      </c>
      <c r="C21" t="s">
        <v>131</v>
      </c>
      <c r="D21" t="s">
        <v>133</v>
      </c>
      <c r="E21" s="3" t="s">
        <v>751</v>
      </c>
      <c r="F21" s="3">
        <v>2021</v>
      </c>
      <c r="G21" s="3">
        <v>2019</v>
      </c>
      <c r="H21" s="3" t="s">
        <v>753</v>
      </c>
      <c r="I21" s="3" t="s">
        <v>754</v>
      </c>
      <c r="J21" s="3">
        <v>3.103361</v>
      </c>
      <c r="K21" s="3">
        <v>101.625111</v>
      </c>
      <c r="L21" s="3" t="s">
        <v>2086</v>
      </c>
      <c r="M21" s="11">
        <v>271030</v>
      </c>
      <c r="N21" s="11">
        <v>6787</v>
      </c>
      <c r="O21" s="3" t="s">
        <v>2327</v>
      </c>
      <c r="P21" s="3" t="s">
        <v>799</v>
      </c>
      <c r="Q21" s="3" t="s">
        <v>2340</v>
      </c>
      <c r="R21" s="3">
        <v>2960</v>
      </c>
      <c r="S21" s="3">
        <v>27.75</v>
      </c>
      <c r="T21" s="3" t="s">
        <v>763</v>
      </c>
      <c r="U21" t="s">
        <v>2300</v>
      </c>
      <c r="V21" s="3" t="s">
        <v>2356</v>
      </c>
      <c r="W21" s="3" t="s">
        <v>787</v>
      </c>
      <c r="X21" s="3" t="s">
        <v>2348</v>
      </c>
      <c r="Y21" s="3" t="s">
        <v>1059</v>
      </c>
      <c r="Z21" s="3" t="s">
        <v>2026</v>
      </c>
      <c r="AA21" s="3" t="s">
        <v>2374</v>
      </c>
      <c r="AB21" s="3" t="s">
        <v>787</v>
      </c>
      <c r="AC21" s="3">
        <f t="shared" si="7"/>
        <v>41.747574284606294</v>
      </c>
      <c r="AD21" s="3">
        <f t="shared" si="7"/>
        <v>0.9455677877774874</v>
      </c>
      <c r="AE21" s="3">
        <f>((136.36*36.1169)+(228.98*8.0339))/(36.1169+8.0339)</f>
        <v>153.2135976245051</v>
      </c>
      <c r="AF21" s="3">
        <f>AE21/AQ21</f>
        <v>3.4702337811433788</v>
      </c>
      <c r="AG21" s="3" t="s">
        <v>2376</v>
      </c>
      <c r="AH21" s="3" t="s">
        <v>763</v>
      </c>
      <c r="AI21" s="3" t="s">
        <v>763</v>
      </c>
      <c r="AJ21" s="3" t="s">
        <v>763</v>
      </c>
      <c r="AK21" s="3" t="s">
        <v>763</v>
      </c>
      <c r="AL21" s="3" t="s">
        <v>763</v>
      </c>
      <c r="AM21" s="3" t="s">
        <v>763</v>
      </c>
      <c r="AN21" s="3" t="s">
        <v>763</v>
      </c>
      <c r="AO21" s="3" t="s">
        <v>763</v>
      </c>
      <c r="AP21" s="3" t="s">
        <v>2195</v>
      </c>
      <c r="AQ21" s="3">
        <f>36.1169+8.0339</f>
        <v>44.150800000000004</v>
      </c>
      <c r="AR21" s="3">
        <v>21</v>
      </c>
      <c r="AS21" s="3" t="s">
        <v>2270</v>
      </c>
      <c r="AT21" s="3">
        <f>1899/AQ21</f>
        <v>43.011678157587177</v>
      </c>
      <c r="AU21" s="3" t="s">
        <v>763</v>
      </c>
      <c r="AV21">
        <f t="shared" si="0"/>
        <v>39.933696773242964</v>
      </c>
    </row>
    <row r="22" spans="1:48" x14ac:dyDescent="0.35">
      <c r="A22">
        <v>21</v>
      </c>
      <c r="B22" s="3">
        <v>18</v>
      </c>
      <c r="C22" t="s">
        <v>131</v>
      </c>
      <c r="D22" t="s">
        <v>133</v>
      </c>
      <c r="E22" s="3" t="s">
        <v>751</v>
      </c>
      <c r="F22" s="3">
        <v>2021</v>
      </c>
      <c r="G22" s="3">
        <v>2019</v>
      </c>
      <c r="H22" s="3" t="s">
        <v>753</v>
      </c>
      <c r="I22" s="3" t="s">
        <v>754</v>
      </c>
      <c r="J22" s="3">
        <v>3.103361</v>
      </c>
      <c r="K22" s="3">
        <v>101.625111</v>
      </c>
      <c r="L22" s="3" t="s">
        <v>2086</v>
      </c>
      <c r="M22" s="11">
        <v>271030</v>
      </c>
      <c r="N22" s="11">
        <v>6787</v>
      </c>
      <c r="O22" s="3" t="s">
        <v>2327</v>
      </c>
      <c r="P22" s="3" t="s">
        <v>799</v>
      </c>
      <c r="Q22" s="3" t="s">
        <v>2340</v>
      </c>
      <c r="R22" s="3">
        <v>2960</v>
      </c>
      <c r="S22" s="3">
        <v>27.75</v>
      </c>
      <c r="T22" s="3" t="s">
        <v>763</v>
      </c>
      <c r="U22" t="s">
        <v>2300</v>
      </c>
      <c r="V22" s="3" t="s">
        <v>2356</v>
      </c>
      <c r="W22" s="3" t="s">
        <v>787</v>
      </c>
      <c r="X22" s="3" t="s">
        <v>2348</v>
      </c>
      <c r="Y22" s="3" t="s">
        <v>1059</v>
      </c>
      <c r="Z22" s="3" t="s">
        <v>2026</v>
      </c>
      <c r="AA22" s="4" t="s">
        <v>2375</v>
      </c>
      <c r="AB22" s="3" t="s">
        <v>787</v>
      </c>
      <c r="AC22" s="3">
        <f t="shared" si="7"/>
        <v>49.54473540695637</v>
      </c>
      <c r="AD22" s="3">
        <f t="shared" si="7"/>
        <v>1.12217072866078</v>
      </c>
      <c r="AE22" s="3">
        <f>((212.481*36.1169)+(44.032*8.0339))/(36.1169+8.0339)</f>
        <v>181.82917894352988</v>
      </c>
      <c r="AF22" s="3">
        <f>AE22/AQ22</f>
        <v>4.118366574185063</v>
      </c>
      <c r="AG22" s="3" t="s">
        <v>2376</v>
      </c>
      <c r="AH22" s="3" t="s">
        <v>763</v>
      </c>
      <c r="AI22" s="3" t="s">
        <v>763</v>
      </c>
      <c r="AJ22" s="3" t="s">
        <v>763</v>
      </c>
      <c r="AK22" s="3" t="s">
        <v>763</v>
      </c>
      <c r="AL22" s="3" t="s">
        <v>763</v>
      </c>
      <c r="AM22" s="3" t="s">
        <v>763</v>
      </c>
      <c r="AN22" s="3" t="s">
        <v>763</v>
      </c>
      <c r="AO22" s="3" t="s">
        <v>763</v>
      </c>
      <c r="AP22" s="3" t="s">
        <v>2195</v>
      </c>
      <c r="AQ22" s="3">
        <f>36.1169+8.0339</f>
        <v>44.150800000000004</v>
      </c>
      <c r="AR22" s="3">
        <v>21</v>
      </c>
      <c r="AS22" s="3" t="s">
        <v>2270</v>
      </c>
      <c r="AT22" s="3" t="s">
        <v>763</v>
      </c>
      <c r="AU22" s="3">
        <v>29.2593</v>
      </c>
      <c r="AV22">
        <f t="shared" si="0"/>
        <v>39.933696773242964</v>
      </c>
    </row>
    <row r="23" spans="1:48" x14ac:dyDescent="0.35">
      <c r="A23">
        <v>22</v>
      </c>
      <c r="B23" s="3">
        <v>19</v>
      </c>
      <c r="C23" t="s">
        <v>136</v>
      </c>
      <c r="D23" t="s">
        <v>138</v>
      </c>
      <c r="E23" s="3" t="s">
        <v>751</v>
      </c>
      <c r="F23" s="3">
        <v>2024</v>
      </c>
      <c r="G23" s="3" t="s">
        <v>1079</v>
      </c>
      <c r="H23" s="3" t="s">
        <v>753</v>
      </c>
      <c r="I23" s="3" t="s">
        <v>754</v>
      </c>
      <c r="J23" s="3">
        <v>14.292999999999999</v>
      </c>
      <c r="K23" s="3">
        <v>99.825999999999993</v>
      </c>
      <c r="L23" s="4" t="s">
        <v>1793</v>
      </c>
      <c r="M23" s="4">
        <v>16255900</v>
      </c>
      <c r="N23" s="11">
        <v>2094</v>
      </c>
      <c r="O23" s="3" t="s">
        <v>2327</v>
      </c>
      <c r="P23" s="3" t="s">
        <v>1068</v>
      </c>
      <c r="Q23" s="3" t="s">
        <v>2335</v>
      </c>
      <c r="R23" s="3">
        <v>1207</v>
      </c>
      <c r="S23" s="3">
        <v>27.7</v>
      </c>
      <c r="T23" s="3" t="s">
        <v>763</v>
      </c>
      <c r="U23" t="s">
        <v>2300</v>
      </c>
      <c r="V23" s="19" t="s">
        <v>2354</v>
      </c>
      <c r="W23" s="3" t="s">
        <v>787</v>
      </c>
      <c r="X23" s="3" t="s">
        <v>2348</v>
      </c>
      <c r="Y23" s="3" t="s">
        <v>1992</v>
      </c>
      <c r="Z23" s="3" t="s">
        <v>2026</v>
      </c>
      <c r="AA23" s="3" t="s">
        <v>2374</v>
      </c>
      <c r="AB23" s="3" t="s">
        <v>787</v>
      </c>
      <c r="AC23" s="3">
        <v>1402.78</v>
      </c>
      <c r="AD23" s="3">
        <v>2.52</v>
      </c>
      <c r="AE23">
        <v>5120.1400000000003</v>
      </c>
      <c r="AF23" s="3">
        <v>9.2200000000000006</v>
      </c>
      <c r="AG23" s="3" t="s">
        <v>2377</v>
      </c>
      <c r="AH23" s="3">
        <v>46.77</v>
      </c>
      <c r="AI23" s="3">
        <f>AH23*AQ23</f>
        <v>22544.543099999999</v>
      </c>
      <c r="AJ23" s="3">
        <f>AI23*3.67</f>
        <v>82738.473176999993</v>
      </c>
      <c r="AK23" s="3">
        <f>AJ23/AQ23</f>
        <v>171.64589999999998</v>
      </c>
      <c r="AL23" s="3">
        <v>84.7</v>
      </c>
      <c r="AM23" s="3">
        <f>AL23*AQ23</f>
        <v>40827.940999999999</v>
      </c>
      <c r="AN23" s="3">
        <v>67.22</v>
      </c>
      <c r="AO23" s="3">
        <v>17.48</v>
      </c>
      <c r="AP23" s="3">
        <v>482.03</v>
      </c>
      <c r="AQ23" s="3">
        <v>482.03</v>
      </c>
      <c r="AR23" s="3" t="s">
        <v>763</v>
      </c>
      <c r="AS23" s="3" t="s">
        <v>763</v>
      </c>
      <c r="AT23" s="3">
        <f>5240/AQ23</f>
        <v>10.870692695475386</v>
      </c>
      <c r="AU23" s="3" t="s">
        <v>763</v>
      </c>
      <c r="AV23">
        <f t="shared" si="0"/>
        <v>7763.0850047755494</v>
      </c>
    </row>
    <row r="24" spans="1:48" x14ac:dyDescent="0.35">
      <c r="A24">
        <v>23</v>
      </c>
      <c r="B24" s="3">
        <v>20</v>
      </c>
      <c r="C24" t="s">
        <v>148</v>
      </c>
      <c r="D24" t="s">
        <v>150</v>
      </c>
      <c r="E24" s="3" t="s">
        <v>751</v>
      </c>
      <c r="F24" s="3">
        <v>2022</v>
      </c>
      <c r="G24" s="3">
        <v>2021</v>
      </c>
      <c r="H24" s="3" t="s">
        <v>753</v>
      </c>
      <c r="I24" s="3" t="s">
        <v>754</v>
      </c>
      <c r="J24" s="3">
        <v>23.181944000000001</v>
      </c>
      <c r="K24" s="3">
        <v>77.421943999999996</v>
      </c>
      <c r="L24" s="3" t="s">
        <v>1012</v>
      </c>
      <c r="M24" s="11">
        <v>1798218</v>
      </c>
      <c r="N24" s="11">
        <v>6290</v>
      </c>
      <c r="O24" s="3" t="s">
        <v>2327</v>
      </c>
      <c r="P24" s="3" t="s">
        <v>756</v>
      </c>
      <c r="Q24" s="3" t="s">
        <v>2333</v>
      </c>
      <c r="R24" s="3">
        <v>1200</v>
      </c>
      <c r="S24" s="3">
        <v>30</v>
      </c>
      <c r="T24" s="3" t="s">
        <v>763</v>
      </c>
      <c r="U24" t="s">
        <v>2297</v>
      </c>
      <c r="V24" s="3" t="s">
        <v>2371</v>
      </c>
      <c r="W24" s="3" t="s">
        <v>762</v>
      </c>
      <c r="X24" s="3" t="s">
        <v>2348</v>
      </c>
      <c r="Y24" s="3" t="s">
        <v>1993</v>
      </c>
      <c r="Z24" s="3" t="s">
        <v>2027</v>
      </c>
      <c r="AA24" s="3" t="s">
        <v>2374</v>
      </c>
      <c r="AB24" s="3" t="s">
        <v>787</v>
      </c>
      <c r="AC24" s="3" t="s">
        <v>763</v>
      </c>
      <c r="AD24" s="3" t="s">
        <v>763</v>
      </c>
      <c r="AE24" s="3" t="s">
        <v>763</v>
      </c>
      <c r="AF24" s="3" t="s">
        <v>763</v>
      </c>
      <c r="AG24" s="3" t="s">
        <v>2377</v>
      </c>
      <c r="AH24" s="3">
        <v>1.5</v>
      </c>
      <c r="AI24" s="3">
        <v>36.299999999999997</v>
      </c>
      <c r="AJ24" s="3">
        <f>AI24*3.67</f>
        <v>133.22099999999998</v>
      </c>
      <c r="AK24" s="3">
        <v>5.3</v>
      </c>
      <c r="AL24" s="3">
        <f>AM24/AQ24</f>
        <v>3.0911200000000001</v>
      </c>
      <c r="AM24" s="3">
        <v>77.278000000000006</v>
      </c>
      <c r="AN24" s="3">
        <f>AL24/1.24</f>
        <v>2.4928387096774194</v>
      </c>
      <c r="AO24" s="3">
        <f>AN24*0.24</f>
        <v>0.59828129032258059</v>
      </c>
      <c r="AP24" s="3">
        <v>25</v>
      </c>
      <c r="AQ24" s="3">
        <v>25</v>
      </c>
      <c r="AR24" s="3" t="s">
        <v>763</v>
      </c>
      <c r="AS24" s="3" t="s">
        <v>1090</v>
      </c>
      <c r="AT24" s="3">
        <f>324/AQ24</f>
        <v>12.96</v>
      </c>
      <c r="AU24" s="3" t="s">
        <v>763</v>
      </c>
      <c r="AV24">
        <f t="shared" si="0"/>
        <v>285.88521462639108</v>
      </c>
    </row>
    <row r="25" spans="1:48" s="19" customFormat="1" x14ac:dyDescent="0.35">
      <c r="A25">
        <v>24</v>
      </c>
      <c r="B25" s="4">
        <v>21</v>
      </c>
      <c r="C25" s="19" t="s">
        <v>153</v>
      </c>
      <c r="D25" s="19" t="s">
        <v>155</v>
      </c>
      <c r="E25" s="4" t="s">
        <v>751</v>
      </c>
      <c r="F25" s="4">
        <v>2015</v>
      </c>
      <c r="G25" s="4">
        <v>2015</v>
      </c>
      <c r="H25" s="4" t="s">
        <v>753</v>
      </c>
      <c r="I25" s="4" t="s">
        <v>754</v>
      </c>
      <c r="J25" s="4">
        <v>3.058093</v>
      </c>
      <c r="K25" s="4">
        <v>101.584552</v>
      </c>
      <c r="L25" s="55" t="s">
        <v>2331</v>
      </c>
      <c r="M25" s="19">
        <v>109917</v>
      </c>
      <c r="N25" s="11">
        <v>8852</v>
      </c>
      <c r="O25" s="3" t="s">
        <v>2327</v>
      </c>
      <c r="P25" s="4" t="s">
        <v>799</v>
      </c>
      <c r="Q25" s="3" t="s">
        <v>2340</v>
      </c>
      <c r="R25" s="4">
        <v>2174</v>
      </c>
      <c r="S25" s="4">
        <v>26.1</v>
      </c>
      <c r="T25" s="4" t="s">
        <v>763</v>
      </c>
      <c r="U25" t="s">
        <v>2300</v>
      </c>
      <c r="V25" s="3" t="s">
        <v>2370</v>
      </c>
      <c r="W25" s="4" t="s">
        <v>787</v>
      </c>
      <c r="X25" s="3" t="s">
        <v>2348</v>
      </c>
      <c r="Y25" s="4" t="s">
        <v>764</v>
      </c>
      <c r="Z25" s="4" t="s">
        <v>2026</v>
      </c>
      <c r="AA25" s="3" t="s">
        <v>2374</v>
      </c>
      <c r="AB25" s="4" t="s">
        <v>787</v>
      </c>
      <c r="AC25" s="19">
        <v>2238.183</v>
      </c>
      <c r="AD25" s="19">
        <f>AC25/AQ25</f>
        <v>13.963335204941044</v>
      </c>
      <c r="AE25" s="19">
        <f>AC25*3.67</f>
        <v>8214.1316100000004</v>
      </c>
      <c r="AF25" s="19">
        <f>AE25/AQ25</f>
        <v>51.245440202133636</v>
      </c>
      <c r="AG25" s="3" t="s">
        <v>2376</v>
      </c>
      <c r="AH25" s="4" t="s">
        <v>763</v>
      </c>
      <c r="AI25" s="4" t="s">
        <v>763</v>
      </c>
      <c r="AJ25" s="4" t="s">
        <v>763</v>
      </c>
      <c r="AK25" s="4" t="s">
        <v>763</v>
      </c>
      <c r="AL25" s="4" t="s">
        <v>763</v>
      </c>
      <c r="AM25" s="4" t="s">
        <v>763</v>
      </c>
      <c r="AN25" s="4" t="s">
        <v>763</v>
      </c>
      <c r="AO25" s="4" t="s">
        <v>763</v>
      </c>
      <c r="AP25" s="4" t="s">
        <v>2116</v>
      </c>
      <c r="AQ25" s="4">
        <v>160.29</v>
      </c>
      <c r="AR25" s="50">
        <v>15</v>
      </c>
      <c r="AS25" s="4" t="s">
        <v>1100</v>
      </c>
      <c r="AT25" s="4">
        <f>250/AQ25</f>
        <v>1.5596730925198079</v>
      </c>
      <c r="AU25" s="3" t="s">
        <v>763</v>
      </c>
      <c r="AV25">
        <f t="shared" si="0"/>
        <v>12.417193854496158</v>
      </c>
    </row>
    <row r="26" spans="1:48" x14ac:dyDescent="0.35">
      <c r="A26">
        <v>25</v>
      </c>
      <c r="B26" s="3">
        <v>22</v>
      </c>
      <c r="C26" t="s">
        <v>158</v>
      </c>
      <c r="D26" t="s">
        <v>160</v>
      </c>
      <c r="E26" s="3" t="s">
        <v>751</v>
      </c>
      <c r="F26" s="3">
        <v>2020</v>
      </c>
      <c r="G26" s="3" t="s">
        <v>763</v>
      </c>
      <c r="H26" s="3" t="s">
        <v>753</v>
      </c>
      <c r="I26" s="3" t="s">
        <v>754</v>
      </c>
      <c r="J26" s="3">
        <v>8.1652780000000007</v>
      </c>
      <c r="K26" s="3">
        <v>38.054443999999997</v>
      </c>
      <c r="L26" t="s">
        <v>1104</v>
      </c>
      <c r="M26" s="11">
        <v>3860000</v>
      </c>
      <c r="N26" s="11">
        <v>7324</v>
      </c>
      <c r="O26" s="3" t="s">
        <v>2326</v>
      </c>
      <c r="P26" s="3" t="s">
        <v>1102</v>
      </c>
      <c r="Q26" s="3" t="s">
        <v>2334</v>
      </c>
      <c r="R26" s="3">
        <v>1874</v>
      </c>
      <c r="S26" s="3">
        <v>15.6</v>
      </c>
      <c r="T26" s="3" t="s">
        <v>763</v>
      </c>
      <c r="U26" t="s">
        <v>2306</v>
      </c>
      <c r="V26" s="19" t="s">
        <v>2354</v>
      </c>
      <c r="W26" s="3" t="s">
        <v>787</v>
      </c>
      <c r="X26" s="3" t="s">
        <v>2346</v>
      </c>
      <c r="Y26" s="3" t="s">
        <v>764</v>
      </c>
      <c r="Z26" s="3" t="s">
        <v>2026</v>
      </c>
      <c r="AA26" s="3" t="s">
        <v>2374</v>
      </c>
      <c r="AB26" s="3" t="s">
        <v>787</v>
      </c>
      <c r="AC26" s="3" t="s">
        <v>763</v>
      </c>
      <c r="AD26" s="3" t="s">
        <v>763</v>
      </c>
      <c r="AE26" s="3" t="s">
        <v>763</v>
      </c>
      <c r="AF26" s="3" t="s">
        <v>763</v>
      </c>
      <c r="AG26" s="3" t="s">
        <v>2377</v>
      </c>
      <c r="AH26" s="3">
        <v>156</v>
      </c>
      <c r="AI26" s="3">
        <f>AH26*AQ26</f>
        <v>93.6</v>
      </c>
      <c r="AJ26" s="3">
        <f>AI26*3.67</f>
        <v>343.512</v>
      </c>
      <c r="AK26" s="3">
        <f>AJ26/AQ26</f>
        <v>572.52</v>
      </c>
      <c r="AL26" s="3">
        <v>332.3</v>
      </c>
      <c r="AM26" s="3">
        <f>AL26*AQ26</f>
        <v>199.38</v>
      </c>
      <c r="AN26" s="3">
        <v>276.89999999999998</v>
      </c>
      <c r="AO26" s="3">
        <v>55.4</v>
      </c>
      <c r="AP26" s="3">
        <v>0.6</v>
      </c>
      <c r="AQ26" s="3">
        <v>0.6</v>
      </c>
      <c r="AR26">
        <v>67</v>
      </c>
      <c r="AS26" s="3" t="s">
        <v>2012</v>
      </c>
      <c r="AT26" s="3">
        <f>7486/AQ26</f>
        <v>12476.666666666668</v>
      </c>
      <c r="AU26" s="3" t="s">
        <v>763</v>
      </c>
      <c r="AV26">
        <f t="shared" si="0"/>
        <v>527.03440742763519</v>
      </c>
    </row>
    <row r="27" spans="1:48" x14ac:dyDescent="0.35">
      <c r="A27">
        <v>26</v>
      </c>
      <c r="B27" s="3">
        <v>23</v>
      </c>
      <c r="C27" t="s">
        <v>173</v>
      </c>
      <c r="D27" t="s">
        <v>175</v>
      </c>
      <c r="E27" s="3" t="s">
        <v>751</v>
      </c>
      <c r="F27" s="3">
        <v>2024</v>
      </c>
      <c r="G27" s="3">
        <v>2020</v>
      </c>
      <c r="H27" s="3" t="s">
        <v>753</v>
      </c>
      <c r="I27" s="3" t="s">
        <v>754</v>
      </c>
      <c r="J27" s="3">
        <v>9.0783889999999996</v>
      </c>
      <c r="K27" s="3">
        <v>38.759208000000001</v>
      </c>
      <c r="L27" t="s">
        <v>1104</v>
      </c>
      <c r="M27" s="11">
        <v>3860000</v>
      </c>
      <c r="N27" s="11">
        <v>7324</v>
      </c>
      <c r="O27" s="3" t="s">
        <v>2326</v>
      </c>
      <c r="P27" s="3" t="s">
        <v>1102</v>
      </c>
      <c r="Q27" s="3" t="s">
        <v>2334</v>
      </c>
      <c r="R27">
        <v>1165</v>
      </c>
      <c r="S27">
        <v>17</v>
      </c>
      <c r="T27" s="3" t="s">
        <v>763</v>
      </c>
      <c r="U27" t="s">
        <v>2306</v>
      </c>
      <c r="V27" s="19" t="s">
        <v>2354</v>
      </c>
      <c r="W27" s="3" t="s">
        <v>762</v>
      </c>
      <c r="X27" s="3" t="s">
        <v>2346</v>
      </c>
      <c r="Y27" s="3" t="s">
        <v>764</v>
      </c>
      <c r="Z27" t="s">
        <v>2026</v>
      </c>
      <c r="AA27" s="3" t="s">
        <v>2374</v>
      </c>
      <c r="AB27" s="3" t="s">
        <v>762</v>
      </c>
      <c r="AC27" s="3" t="s">
        <v>763</v>
      </c>
      <c r="AD27" s="3" t="s">
        <v>763</v>
      </c>
      <c r="AE27" s="3" t="s">
        <v>763</v>
      </c>
      <c r="AF27" s="3" t="s">
        <v>763</v>
      </c>
      <c r="AG27" s="3" t="s">
        <v>2377</v>
      </c>
      <c r="AH27" s="3">
        <v>64.540000000000006</v>
      </c>
      <c r="AI27" s="3">
        <f>AH27*AQ27</f>
        <v>25834.006660000003</v>
      </c>
      <c r="AJ27" s="3">
        <f>AI27*3.67</f>
        <v>94810.804442200009</v>
      </c>
      <c r="AK27" s="3">
        <f>AJ27/AQ27</f>
        <v>236.86180000000002</v>
      </c>
      <c r="AL27" s="3">
        <v>136.56</v>
      </c>
      <c r="AM27" s="3">
        <f>AL27*AQ27</f>
        <v>54662.10024</v>
      </c>
      <c r="AN27" s="3">
        <v>114.28</v>
      </c>
      <c r="AO27" s="3">
        <v>22.28</v>
      </c>
      <c r="AP27" s="3">
        <v>400.279</v>
      </c>
      <c r="AQ27" s="3">
        <v>400.279</v>
      </c>
      <c r="AR27" s="3" t="s">
        <v>763</v>
      </c>
      <c r="AS27" s="3" t="s">
        <v>1125</v>
      </c>
      <c r="AT27">
        <f>417/AQ27</f>
        <v>1.0417733630792523</v>
      </c>
      <c r="AU27" s="3" t="s">
        <v>763</v>
      </c>
      <c r="AV27">
        <f t="shared" si="0"/>
        <v>527.03440742763519</v>
      </c>
    </row>
    <row r="28" spans="1:48" x14ac:dyDescent="0.35">
      <c r="A28">
        <v>27</v>
      </c>
      <c r="B28" s="3">
        <v>24</v>
      </c>
      <c r="C28" t="s">
        <v>1144</v>
      </c>
      <c r="D28" t="s">
        <v>1145</v>
      </c>
      <c r="E28" s="3" t="s">
        <v>751</v>
      </c>
      <c r="F28" s="3">
        <v>2019</v>
      </c>
      <c r="G28" s="3">
        <v>2018</v>
      </c>
      <c r="H28" s="3" t="s">
        <v>753</v>
      </c>
      <c r="I28" s="3" t="s">
        <v>754</v>
      </c>
      <c r="J28" s="3">
        <v>10.296523000000001</v>
      </c>
      <c r="K28" s="3">
        <v>123.8986</v>
      </c>
      <c r="L28" t="s">
        <v>1143</v>
      </c>
      <c r="M28" s="11">
        <v>964169</v>
      </c>
      <c r="N28">
        <v>3314</v>
      </c>
      <c r="O28" s="3" t="s">
        <v>2327</v>
      </c>
      <c r="P28" s="3" t="s">
        <v>1112</v>
      </c>
      <c r="Q28" s="3" t="s">
        <v>2335</v>
      </c>
      <c r="R28">
        <v>1607</v>
      </c>
      <c r="S28">
        <v>27.5</v>
      </c>
      <c r="T28" s="3" t="s">
        <v>763</v>
      </c>
      <c r="U28" t="s">
        <v>2300</v>
      </c>
      <c r="V28" s="3" t="s">
        <v>2371</v>
      </c>
      <c r="W28" s="3" t="s">
        <v>787</v>
      </c>
      <c r="X28" s="3" t="s">
        <v>2348</v>
      </c>
      <c r="Y28" s="3" t="s">
        <v>1148</v>
      </c>
      <c r="Z28" t="s">
        <v>2027</v>
      </c>
      <c r="AA28" s="3" t="s">
        <v>2374</v>
      </c>
      <c r="AB28" s="3" t="s">
        <v>787</v>
      </c>
      <c r="AC28" s="3">
        <f>AD28*AQ28</f>
        <v>15.592499999999998</v>
      </c>
      <c r="AD28" s="3">
        <v>9.4499999999999993</v>
      </c>
      <c r="AE28" s="3">
        <f>AC28*3.67</f>
        <v>57.224474999999991</v>
      </c>
      <c r="AF28" s="3">
        <f>AD28*3.67</f>
        <v>34.6815</v>
      </c>
      <c r="AG28" s="3" t="s">
        <v>2376</v>
      </c>
      <c r="AH28" s="3">
        <v>87.81</v>
      </c>
      <c r="AI28" s="3">
        <f>AH28*AQ28</f>
        <v>144.88649999999998</v>
      </c>
      <c r="AJ28" s="3">
        <f>AI28*3.67</f>
        <v>531.73345499999994</v>
      </c>
      <c r="AK28" s="3">
        <f>AJ28/AQ28</f>
        <v>322.2627</v>
      </c>
      <c r="AL28" s="4">
        <f t="shared" ref="AL28" si="8">AN28+AO28</f>
        <v>241.96119999999999</v>
      </c>
      <c r="AM28" s="4">
        <f>AL28*AQ28</f>
        <v>399.23597999999998</v>
      </c>
      <c r="AN28" s="7">
        <v>195.13</v>
      </c>
      <c r="AO28" s="4">
        <f t="shared" ref="AO28:AO30" si="9">AN28*0.24</f>
        <v>46.831199999999995</v>
      </c>
      <c r="AP28">
        <v>1.65</v>
      </c>
      <c r="AQ28">
        <v>1.65</v>
      </c>
      <c r="AR28" s="3" t="s">
        <v>763</v>
      </c>
      <c r="AS28" s="7" t="s">
        <v>1157</v>
      </c>
      <c r="AT28">
        <f>409/AQ28</f>
        <v>247.8787878787879</v>
      </c>
      <c r="AU28" s="3" t="s">
        <v>763</v>
      </c>
      <c r="AV28">
        <f t="shared" si="0"/>
        <v>290.93814121907059</v>
      </c>
    </row>
    <row r="29" spans="1:48" x14ac:dyDescent="0.35">
      <c r="A29">
        <v>28</v>
      </c>
      <c r="B29" s="3">
        <v>25</v>
      </c>
      <c r="C29" t="s">
        <v>183</v>
      </c>
      <c r="D29" t="s">
        <v>1158</v>
      </c>
      <c r="E29" s="3" t="s">
        <v>751</v>
      </c>
      <c r="F29" s="3">
        <v>2019</v>
      </c>
      <c r="G29" s="3" t="s">
        <v>1898</v>
      </c>
      <c r="H29" s="3" t="s">
        <v>753</v>
      </c>
      <c r="I29" s="3" t="s">
        <v>754</v>
      </c>
      <c r="J29" s="3">
        <v>1.3122499999999999</v>
      </c>
      <c r="K29" s="3">
        <v>103.910861</v>
      </c>
      <c r="L29" t="s">
        <v>1159</v>
      </c>
      <c r="M29" s="11">
        <v>6111175</v>
      </c>
      <c r="N29" s="11">
        <v>8681</v>
      </c>
      <c r="O29" s="3" t="s">
        <v>2327</v>
      </c>
      <c r="P29" t="s">
        <v>1159</v>
      </c>
      <c r="Q29" s="3" t="s">
        <v>2340</v>
      </c>
      <c r="R29">
        <v>2166</v>
      </c>
      <c r="S29">
        <v>28</v>
      </c>
      <c r="T29" s="3" t="s">
        <v>948</v>
      </c>
      <c r="U29" t="s">
        <v>2300</v>
      </c>
      <c r="V29" s="3" t="s">
        <v>2371</v>
      </c>
      <c r="W29" s="3" t="s">
        <v>762</v>
      </c>
      <c r="X29" s="3" t="s">
        <v>2348</v>
      </c>
      <c r="Y29" s="3" t="s">
        <v>1994</v>
      </c>
      <c r="Z29" t="s">
        <v>2026</v>
      </c>
      <c r="AA29" s="3" t="s">
        <v>2374</v>
      </c>
      <c r="AB29" s="3" t="s">
        <v>826</v>
      </c>
      <c r="AC29" s="3">
        <v>3700</v>
      </c>
      <c r="AD29" s="3" t="s">
        <v>763</v>
      </c>
      <c r="AE29" s="3">
        <f>AC29*3.67</f>
        <v>13579</v>
      </c>
      <c r="AF29" s="3" t="s">
        <v>763</v>
      </c>
      <c r="AG29" s="3" t="s">
        <v>2376</v>
      </c>
      <c r="AH29" s="3" t="s">
        <v>763</v>
      </c>
      <c r="AI29" s="3">
        <f>AM29*0.47</f>
        <v>21.726970496</v>
      </c>
      <c r="AJ29" s="3">
        <f>AI29*3.67</f>
        <v>79.737981720319993</v>
      </c>
      <c r="AK29" s="3" t="s">
        <v>763</v>
      </c>
      <c r="AL29" s="4" t="s">
        <v>763</v>
      </c>
      <c r="AM29" s="4">
        <f>(37.28032)+(37.28032*0.24)</f>
        <v>46.227596800000001</v>
      </c>
      <c r="AN29" s="31" t="s">
        <v>2233</v>
      </c>
      <c r="AO29" s="4" t="s">
        <v>763</v>
      </c>
      <c r="AP29" s="31" t="s">
        <v>763</v>
      </c>
      <c r="AQ29" s="31" t="s">
        <v>763</v>
      </c>
      <c r="AR29" s="3" t="s">
        <v>763</v>
      </c>
      <c r="AS29" s="7" t="s">
        <v>1168</v>
      </c>
      <c r="AT29" t="s">
        <v>763</v>
      </c>
      <c r="AU29" s="3" t="s">
        <v>763</v>
      </c>
      <c r="AV29">
        <f t="shared" si="0"/>
        <v>703.97131666858661</v>
      </c>
    </row>
    <row r="30" spans="1:48" x14ac:dyDescent="0.35">
      <c r="A30">
        <v>29</v>
      </c>
      <c r="B30" s="3">
        <v>26</v>
      </c>
      <c r="C30" t="s">
        <v>185</v>
      </c>
      <c r="D30" t="s">
        <v>187</v>
      </c>
      <c r="E30" s="3" t="s">
        <v>751</v>
      </c>
      <c r="F30" s="3">
        <v>2023</v>
      </c>
      <c r="G30" s="3">
        <v>2013</v>
      </c>
      <c r="H30" s="3" t="s">
        <v>753</v>
      </c>
      <c r="I30" s="3" t="s">
        <v>754</v>
      </c>
      <c r="J30" s="3">
        <v>19.546806</v>
      </c>
      <c r="K30" s="3">
        <v>-96.950417000000002</v>
      </c>
      <c r="L30" t="s">
        <v>1171</v>
      </c>
      <c r="M30" s="11">
        <v>488531</v>
      </c>
      <c r="N30" s="11">
        <v>3920</v>
      </c>
      <c r="O30" s="3" t="s">
        <v>2328</v>
      </c>
      <c r="P30" t="s">
        <v>894</v>
      </c>
      <c r="Q30" s="3" t="s">
        <v>2338</v>
      </c>
      <c r="R30" s="3">
        <v>1591</v>
      </c>
      <c r="S30" s="3">
        <v>19</v>
      </c>
      <c r="T30" s="3" t="s">
        <v>763</v>
      </c>
      <c r="U30" t="s">
        <v>2300</v>
      </c>
      <c r="V30" s="19" t="s">
        <v>2354</v>
      </c>
      <c r="W30" s="3" t="s">
        <v>787</v>
      </c>
      <c r="X30" s="3" t="s">
        <v>2346</v>
      </c>
      <c r="Y30" s="3" t="s">
        <v>764</v>
      </c>
      <c r="Z30" t="s">
        <v>2027</v>
      </c>
      <c r="AA30" s="3" t="s">
        <v>2374</v>
      </c>
      <c r="AB30" s="3" t="s">
        <v>787</v>
      </c>
      <c r="AC30" s="3" t="s">
        <v>763</v>
      </c>
      <c r="AD30" s="3" t="s">
        <v>763</v>
      </c>
      <c r="AE30" s="3" t="s">
        <v>763</v>
      </c>
      <c r="AF30" s="3" t="s">
        <v>763</v>
      </c>
      <c r="AG30" s="3" t="s">
        <v>2376</v>
      </c>
      <c r="AH30" s="3">
        <v>263.99</v>
      </c>
      <c r="AI30" s="3">
        <f>AH30*AQ30</f>
        <v>3959.8500000000004</v>
      </c>
      <c r="AJ30" s="3">
        <f>AI30*3.67</f>
        <v>14532.649500000001</v>
      </c>
      <c r="AK30" s="3">
        <v>967.37</v>
      </c>
      <c r="AL30" s="4">
        <f>AN30+AO30</f>
        <v>654.6952</v>
      </c>
      <c r="AM30" s="4">
        <f>AL30*AQ30</f>
        <v>9820.4279999999999</v>
      </c>
      <c r="AN30" s="7">
        <v>527.98</v>
      </c>
      <c r="AO30" s="4">
        <f t="shared" si="9"/>
        <v>126.7152</v>
      </c>
      <c r="AP30" t="s">
        <v>2196</v>
      </c>
      <c r="AQ30">
        <v>15</v>
      </c>
      <c r="AR30" s="3" t="s">
        <v>763</v>
      </c>
      <c r="AS30" t="s">
        <v>1176</v>
      </c>
      <c r="AT30">
        <f>282/AQ30</f>
        <v>18.8</v>
      </c>
      <c r="AU30" s="3" t="s">
        <v>763</v>
      </c>
      <c r="AV30">
        <f t="shared" si="0"/>
        <v>124.62525510204081</v>
      </c>
    </row>
    <row r="31" spans="1:48" x14ac:dyDescent="0.35">
      <c r="A31">
        <v>30</v>
      </c>
      <c r="B31" s="3">
        <v>27</v>
      </c>
      <c r="C31" t="s">
        <v>200</v>
      </c>
      <c r="D31" t="s">
        <v>202</v>
      </c>
      <c r="E31" s="3" t="s">
        <v>751</v>
      </c>
      <c r="F31" s="3">
        <v>2018</v>
      </c>
      <c r="G31" s="4" t="s">
        <v>1899</v>
      </c>
      <c r="H31" s="3" t="s">
        <v>795</v>
      </c>
      <c r="I31" s="3" t="s">
        <v>776</v>
      </c>
      <c r="J31" s="3">
        <v>-8.6636769999999999</v>
      </c>
      <c r="K31" s="3">
        <v>115.22344699999999</v>
      </c>
      <c r="L31" t="s">
        <v>1754</v>
      </c>
      <c r="M31" s="11">
        <v>788589</v>
      </c>
      <c r="N31" s="11">
        <v>6272</v>
      </c>
      <c r="O31" s="3" t="s">
        <v>2327</v>
      </c>
      <c r="P31" t="s">
        <v>832</v>
      </c>
      <c r="Q31" s="3" t="s">
        <v>2339</v>
      </c>
      <c r="R31" s="3">
        <v>1642</v>
      </c>
      <c r="S31">
        <v>26</v>
      </c>
      <c r="T31" s="3" t="s">
        <v>763</v>
      </c>
      <c r="U31" t="s">
        <v>2300</v>
      </c>
      <c r="V31" s="3" t="s">
        <v>2371</v>
      </c>
      <c r="W31" s="3" t="s">
        <v>787</v>
      </c>
      <c r="X31" s="3" t="s">
        <v>2350</v>
      </c>
      <c r="Y31" s="3" t="s">
        <v>1182</v>
      </c>
      <c r="Z31" t="s">
        <v>1744</v>
      </c>
      <c r="AA31" s="3" t="s">
        <v>2372</v>
      </c>
      <c r="AB31" s="3" t="s">
        <v>787</v>
      </c>
      <c r="AC31">
        <f>((1995*7102.04)+(2003*15607.49)+(2014*22274.93))/(1995+2003+2014)</f>
        <v>15018.642929141715</v>
      </c>
      <c r="AD31" s="3">
        <f>AC31/AQ31</f>
        <v>2.9751741558975615</v>
      </c>
      <c r="AE31" s="3">
        <f>AC31*3.67</f>
        <v>55118.419549950093</v>
      </c>
      <c r="AF31" s="3">
        <f>AE31/AQ31</f>
        <v>10.91888915214405</v>
      </c>
      <c r="AG31" s="3" t="s">
        <v>2376</v>
      </c>
      <c r="AH31" s="3" t="s">
        <v>763</v>
      </c>
      <c r="AI31" s="3" t="s">
        <v>763</v>
      </c>
      <c r="AJ31" s="3" t="s">
        <v>763</v>
      </c>
      <c r="AK31" s="3" t="s">
        <v>763</v>
      </c>
      <c r="AL31" s="7" t="s">
        <v>763</v>
      </c>
      <c r="AM31" s="7" t="s">
        <v>763</v>
      </c>
      <c r="AN31" s="7" t="s">
        <v>763</v>
      </c>
      <c r="AO31" s="7" t="s">
        <v>763</v>
      </c>
      <c r="AP31" t="s">
        <v>2248</v>
      </c>
      <c r="AQ31">
        <f>((1995*2396.34)+(2003*5421.87)+(2014*7302.78))/(1995+2003+2014)</f>
        <v>5047.9878293413167</v>
      </c>
      <c r="AR31" s="7" t="s">
        <v>763</v>
      </c>
      <c r="AS31" t="s">
        <v>763</v>
      </c>
      <c r="AT31" t="s">
        <v>763</v>
      </c>
      <c r="AU31" t="s">
        <v>763</v>
      </c>
      <c r="AV31">
        <f t="shared" si="0"/>
        <v>125.73166454081633</v>
      </c>
    </row>
    <row r="32" spans="1:48" x14ac:dyDescent="0.35">
      <c r="A32">
        <v>31</v>
      </c>
      <c r="B32" s="3">
        <v>27</v>
      </c>
      <c r="C32" t="s">
        <v>200</v>
      </c>
      <c r="D32" t="s">
        <v>202</v>
      </c>
      <c r="E32" s="3" t="s">
        <v>751</v>
      </c>
      <c r="F32" s="3">
        <v>2018</v>
      </c>
      <c r="G32" s="4" t="s">
        <v>1899</v>
      </c>
      <c r="H32" s="3" t="s">
        <v>795</v>
      </c>
      <c r="I32" s="3" t="s">
        <v>776</v>
      </c>
      <c r="J32" s="3">
        <v>-8.6636769999999999</v>
      </c>
      <c r="K32" s="3">
        <v>115.22344699999999</v>
      </c>
      <c r="L32" t="s">
        <v>1754</v>
      </c>
      <c r="M32" s="11">
        <v>788589</v>
      </c>
      <c r="N32" s="11">
        <v>6272</v>
      </c>
      <c r="O32" s="3" t="s">
        <v>2327</v>
      </c>
      <c r="P32" t="s">
        <v>832</v>
      </c>
      <c r="Q32" s="3" t="s">
        <v>2339</v>
      </c>
      <c r="R32" s="3">
        <v>1642</v>
      </c>
      <c r="S32">
        <v>26</v>
      </c>
      <c r="T32" s="3" t="s">
        <v>763</v>
      </c>
      <c r="U32" t="s">
        <v>2300</v>
      </c>
      <c r="V32" s="19" t="s">
        <v>2354</v>
      </c>
      <c r="W32" s="3" t="s">
        <v>787</v>
      </c>
      <c r="X32" s="3" t="s">
        <v>2350</v>
      </c>
      <c r="Y32" s="3" t="s">
        <v>1182</v>
      </c>
      <c r="Z32" t="s">
        <v>1744</v>
      </c>
      <c r="AA32" s="3" t="s">
        <v>2372</v>
      </c>
      <c r="AB32" s="3" t="s">
        <v>787</v>
      </c>
      <c r="AC32">
        <f>((1995*8071.18)+(2003*9238.85)+(2014*10268.58))/(1995+2003+2014)</f>
        <v>9196.3308000665347</v>
      </c>
      <c r="AD32" s="3">
        <f>AC32/AQ32</f>
        <v>7.2296250521680703</v>
      </c>
      <c r="AE32" s="3">
        <f>AC32*3.67</f>
        <v>33750.534036244178</v>
      </c>
      <c r="AF32" s="3">
        <f>AE32/AQ32</f>
        <v>26.532723941456815</v>
      </c>
      <c r="AG32" s="3" t="s">
        <v>2376</v>
      </c>
      <c r="AH32" s="3" t="s">
        <v>763</v>
      </c>
      <c r="AI32" s="3" t="s">
        <v>763</v>
      </c>
      <c r="AJ32" s="3" t="s">
        <v>763</v>
      </c>
      <c r="AK32" s="3" t="s">
        <v>763</v>
      </c>
      <c r="AL32" s="7" t="s">
        <v>763</v>
      </c>
      <c r="AM32" s="7" t="s">
        <v>763</v>
      </c>
      <c r="AN32" s="7" t="s">
        <v>763</v>
      </c>
      <c r="AO32" s="7" t="s">
        <v>763</v>
      </c>
      <c r="AP32" t="s">
        <v>2249</v>
      </c>
      <c r="AQ32">
        <f>((1995*1382.94)+(2003*1226.43)+(2014*1207.53))/(1995+2003+2014)</f>
        <v>1272.0342664670659</v>
      </c>
      <c r="AR32" s="7" t="s">
        <v>763</v>
      </c>
      <c r="AS32" t="s">
        <v>763</v>
      </c>
      <c r="AT32" t="s">
        <v>763</v>
      </c>
      <c r="AU32" t="s">
        <v>763</v>
      </c>
      <c r="AV32">
        <f t="shared" si="0"/>
        <v>125.73166454081633</v>
      </c>
    </row>
    <row r="33" spans="1:48" x14ac:dyDescent="0.35">
      <c r="A33">
        <v>32</v>
      </c>
      <c r="B33" s="3">
        <v>27</v>
      </c>
      <c r="C33" t="s">
        <v>200</v>
      </c>
      <c r="D33" t="s">
        <v>202</v>
      </c>
      <c r="E33" s="3" t="s">
        <v>751</v>
      </c>
      <c r="F33" s="3">
        <v>2018</v>
      </c>
      <c r="G33" s="4" t="s">
        <v>1899</v>
      </c>
      <c r="H33" s="3" t="s">
        <v>795</v>
      </c>
      <c r="I33" s="3" t="s">
        <v>776</v>
      </c>
      <c r="J33" s="3">
        <v>-8.6636769999999999</v>
      </c>
      <c r="K33" s="3">
        <v>115.22344699999999</v>
      </c>
      <c r="L33" t="s">
        <v>1754</v>
      </c>
      <c r="M33" s="11">
        <v>788589</v>
      </c>
      <c r="N33" s="11">
        <v>6272</v>
      </c>
      <c r="O33" s="3" t="s">
        <v>2327</v>
      </c>
      <c r="P33" t="s">
        <v>832</v>
      </c>
      <c r="Q33" s="3" t="s">
        <v>2339</v>
      </c>
      <c r="R33" s="3">
        <v>1642</v>
      </c>
      <c r="S33">
        <v>26</v>
      </c>
      <c r="T33" s="3" t="s">
        <v>763</v>
      </c>
      <c r="U33" t="s">
        <v>2300</v>
      </c>
      <c r="V33" s="19" t="s">
        <v>2369</v>
      </c>
      <c r="W33" s="3" t="s">
        <v>787</v>
      </c>
      <c r="X33" s="3" t="s">
        <v>2350</v>
      </c>
      <c r="Y33" s="3" t="s">
        <v>1182</v>
      </c>
      <c r="Z33" t="s">
        <v>1744</v>
      </c>
      <c r="AA33" s="3" t="s">
        <v>2372</v>
      </c>
      <c r="AB33" s="3" t="s">
        <v>787</v>
      </c>
      <c r="AC33">
        <f>((1995*46435.93)+(2003*30775.48)+(2014*21271.68))/(1995+2003+2014)</f>
        <v>32788.44482867598</v>
      </c>
      <c r="AD33" s="3">
        <f>AC33/AQ33</f>
        <v>5.9237946475047991</v>
      </c>
      <c r="AE33" s="3">
        <f>AC33*3.67</f>
        <v>120333.59252124085</v>
      </c>
      <c r="AF33" s="3">
        <f>AE33/AQ33</f>
        <v>21.740326356342614</v>
      </c>
      <c r="AG33" s="3" t="s">
        <v>2376</v>
      </c>
      <c r="AH33" s="3" t="s">
        <v>763</v>
      </c>
      <c r="AI33" s="3" t="s">
        <v>763</v>
      </c>
      <c r="AJ33" s="3" t="s">
        <v>763</v>
      </c>
      <c r="AK33" s="3" t="s">
        <v>763</v>
      </c>
      <c r="AL33" s="7" t="s">
        <v>763</v>
      </c>
      <c r="AM33" s="7" t="s">
        <v>763</v>
      </c>
      <c r="AN33" s="7" t="s">
        <v>763</v>
      </c>
      <c r="AO33" s="7" t="s">
        <v>763</v>
      </c>
      <c r="AP33" t="s">
        <v>2250</v>
      </c>
      <c r="AQ33">
        <f>((1995*7868.07)+(2003*5239.9)+(2014*3517.55))/(1995+2003+2014)</f>
        <v>5535.040760146373</v>
      </c>
      <c r="AR33" s="7" t="s">
        <v>763</v>
      </c>
      <c r="AS33" t="s">
        <v>763</v>
      </c>
      <c r="AT33" t="s">
        <v>763</v>
      </c>
      <c r="AU33" t="s">
        <v>763</v>
      </c>
      <c r="AV33">
        <f t="shared" si="0"/>
        <v>125.73166454081633</v>
      </c>
    </row>
    <row r="34" spans="1:48" x14ac:dyDescent="0.35">
      <c r="A34">
        <v>33</v>
      </c>
      <c r="B34" s="4">
        <v>28</v>
      </c>
      <c r="C34" t="s">
        <v>210</v>
      </c>
      <c r="D34" t="s">
        <v>212</v>
      </c>
      <c r="E34" s="3" t="s">
        <v>751</v>
      </c>
      <c r="F34" s="4">
        <v>2024</v>
      </c>
      <c r="G34" s="3" t="s">
        <v>2149</v>
      </c>
      <c r="H34" s="3" t="s">
        <v>753</v>
      </c>
      <c r="I34" s="3" t="s">
        <v>754</v>
      </c>
      <c r="J34" s="3">
        <v>11.266667</v>
      </c>
      <c r="K34" s="3">
        <v>36.833333000000003</v>
      </c>
      <c r="L34" t="s">
        <v>1193</v>
      </c>
      <c r="M34" s="11">
        <v>218765</v>
      </c>
      <c r="N34">
        <v>238.2</v>
      </c>
      <c r="O34" t="s">
        <v>2326</v>
      </c>
      <c r="P34" s="3" t="s">
        <v>1102</v>
      </c>
      <c r="Q34" s="3" t="s">
        <v>2340</v>
      </c>
      <c r="R34" s="3">
        <v>1578</v>
      </c>
      <c r="S34" s="3">
        <v>17</v>
      </c>
      <c r="T34" s="3" t="s">
        <v>1016</v>
      </c>
      <c r="U34" t="s">
        <v>2306</v>
      </c>
      <c r="V34" s="19" t="s">
        <v>2354</v>
      </c>
      <c r="W34" s="3" t="s">
        <v>787</v>
      </c>
      <c r="X34" s="3" t="s">
        <v>2348</v>
      </c>
      <c r="Y34" s="3" t="s">
        <v>764</v>
      </c>
      <c r="Z34" s="3" t="s">
        <v>2026</v>
      </c>
      <c r="AA34" s="3" t="s">
        <v>2374</v>
      </c>
      <c r="AB34" s="3" t="s">
        <v>787</v>
      </c>
      <c r="AC34" s="3" t="s">
        <v>763</v>
      </c>
      <c r="AD34" s="3" t="s">
        <v>763</v>
      </c>
      <c r="AE34" s="3" t="s">
        <v>763</v>
      </c>
      <c r="AF34" s="3" t="s">
        <v>763</v>
      </c>
      <c r="AG34" s="3" t="s">
        <v>2377</v>
      </c>
      <c r="AH34" s="7">
        <v>24.96</v>
      </c>
      <c r="AI34" s="3">
        <f>AH34*AQ34</f>
        <v>77.625600000000006</v>
      </c>
      <c r="AJ34" s="3">
        <f>AI34*3.67</f>
        <v>284.88595200000003</v>
      </c>
      <c r="AK34" s="7">
        <f>AJ34/AQ34</f>
        <v>91.603200000000015</v>
      </c>
      <c r="AL34" s="7">
        <f>AH34/0.47</f>
        <v>53.10638297872341</v>
      </c>
      <c r="AM34" s="7">
        <f>AI34/0.47</f>
        <v>165.1608510638298</v>
      </c>
      <c r="AN34" s="3">
        <f>AH34/1.24</f>
        <v>20.129032258064516</v>
      </c>
      <c r="AO34" s="3">
        <f>AN34*0.24</f>
        <v>4.830967741935484</v>
      </c>
      <c r="AP34" s="8">
        <v>3.11</v>
      </c>
      <c r="AQ34" s="8">
        <v>3.11</v>
      </c>
      <c r="AR34" s="7" t="s">
        <v>763</v>
      </c>
      <c r="AS34" s="7" t="s">
        <v>2013</v>
      </c>
      <c r="AT34" s="7" t="s">
        <v>763</v>
      </c>
      <c r="AU34" s="7" t="s">
        <v>763</v>
      </c>
      <c r="AV34">
        <f t="shared" si="0"/>
        <v>918.40890008396309</v>
      </c>
    </row>
    <row r="35" spans="1:48" x14ac:dyDescent="0.35">
      <c r="A35">
        <v>34</v>
      </c>
      <c r="B35" s="4">
        <v>28</v>
      </c>
      <c r="C35" t="s">
        <v>210</v>
      </c>
      <c r="D35" t="s">
        <v>212</v>
      </c>
      <c r="E35" s="3" t="s">
        <v>751</v>
      </c>
      <c r="F35" s="4">
        <v>2024</v>
      </c>
      <c r="G35" s="3" t="s">
        <v>2150</v>
      </c>
      <c r="H35" s="3" t="s">
        <v>753</v>
      </c>
      <c r="I35" s="3" t="s">
        <v>754</v>
      </c>
      <c r="J35" s="3">
        <v>11.266667</v>
      </c>
      <c r="K35" s="3">
        <v>36.833333000000003</v>
      </c>
      <c r="L35" t="s">
        <v>1193</v>
      </c>
      <c r="M35" s="11">
        <v>218765</v>
      </c>
      <c r="N35">
        <v>238.2</v>
      </c>
      <c r="O35" t="s">
        <v>2326</v>
      </c>
      <c r="P35" s="3" t="s">
        <v>1102</v>
      </c>
      <c r="Q35" s="3" t="s">
        <v>2340</v>
      </c>
      <c r="R35" s="3">
        <v>1578</v>
      </c>
      <c r="S35" s="3">
        <v>17</v>
      </c>
      <c r="T35" s="3" t="s">
        <v>1016</v>
      </c>
      <c r="U35" t="s">
        <v>2306</v>
      </c>
      <c r="V35" s="19" t="s">
        <v>2354</v>
      </c>
      <c r="W35" s="3" t="s">
        <v>787</v>
      </c>
      <c r="X35" s="3" t="s">
        <v>2346</v>
      </c>
      <c r="Y35" s="3" t="s">
        <v>764</v>
      </c>
      <c r="Z35" s="3" t="s">
        <v>2026</v>
      </c>
      <c r="AA35" s="3" t="s">
        <v>2374</v>
      </c>
      <c r="AB35" s="3" t="s">
        <v>787</v>
      </c>
      <c r="AC35" s="3" t="s">
        <v>763</v>
      </c>
      <c r="AD35" s="3" t="s">
        <v>763</v>
      </c>
      <c r="AE35" s="3" t="s">
        <v>763</v>
      </c>
      <c r="AF35" s="3" t="s">
        <v>763</v>
      </c>
      <c r="AG35" s="3" t="s">
        <v>2377</v>
      </c>
      <c r="AH35" s="7">
        <v>77.38</v>
      </c>
      <c r="AI35" s="3">
        <f>AH35*AQ35</f>
        <v>223.62819999999999</v>
      </c>
      <c r="AJ35" s="3">
        <f>AI35*3.67</f>
        <v>820.71549399999992</v>
      </c>
      <c r="AK35" s="7">
        <f>AJ35/AQ35</f>
        <v>283.98459999999994</v>
      </c>
      <c r="AL35" s="7">
        <f t="shared" ref="AL35:AL41" si="10">AH35/0.47</f>
        <v>164.63829787234042</v>
      </c>
      <c r="AM35" s="7">
        <f t="shared" ref="AM35:AM41" si="11">AI35/0.47</f>
        <v>475.80468085106384</v>
      </c>
      <c r="AN35" s="3">
        <f t="shared" ref="AN35:AN41" si="12">AH35/1.24</f>
        <v>62.403225806451609</v>
      </c>
      <c r="AO35" s="3">
        <f t="shared" ref="AO35:AO41" si="13">AN35*0.24</f>
        <v>14.976774193548385</v>
      </c>
      <c r="AP35" s="8">
        <v>2.89</v>
      </c>
      <c r="AQ35" s="8">
        <v>2.89</v>
      </c>
      <c r="AR35" s="7" t="s">
        <v>763</v>
      </c>
      <c r="AS35" s="7" t="s">
        <v>2013</v>
      </c>
      <c r="AT35" s="7" t="s">
        <v>763</v>
      </c>
      <c r="AU35" s="7" t="s">
        <v>763</v>
      </c>
      <c r="AV35">
        <f t="shared" si="0"/>
        <v>918.40890008396309</v>
      </c>
    </row>
    <row r="36" spans="1:48" x14ac:dyDescent="0.35">
      <c r="A36">
        <v>35</v>
      </c>
      <c r="B36" s="4">
        <v>28</v>
      </c>
      <c r="C36" t="s">
        <v>210</v>
      </c>
      <c r="D36" t="s">
        <v>212</v>
      </c>
      <c r="E36" s="3" t="s">
        <v>751</v>
      </c>
      <c r="F36" s="4">
        <v>2024</v>
      </c>
      <c r="G36" s="3" t="s">
        <v>2151</v>
      </c>
      <c r="H36" s="3" t="s">
        <v>753</v>
      </c>
      <c r="I36" s="3" t="s">
        <v>754</v>
      </c>
      <c r="J36" s="3">
        <v>11.266667</v>
      </c>
      <c r="K36" s="3">
        <v>36.833333000000003</v>
      </c>
      <c r="L36" t="s">
        <v>1193</v>
      </c>
      <c r="M36" s="11">
        <v>218765</v>
      </c>
      <c r="N36">
        <v>238.2</v>
      </c>
      <c r="O36" t="s">
        <v>2326</v>
      </c>
      <c r="P36" s="3" t="s">
        <v>1102</v>
      </c>
      <c r="Q36" s="3" t="s">
        <v>2340</v>
      </c>
      <c r="R36" s="3">
        <v>1578</v>
      </c>
      <c r="S36" s="3">
        <v>17</v>
      </c>
      <c r="T36" s="3" t="s">
        <v>1016</v>
      </c>
      <c r="U36" t="s">
        <v>2306</v>
      </c>
      <c r="V36" s="19" t="s">
        <v>2354</v>
      </c>
      <c r="W36" s="3" t="s">
        <v>787</v>
      </c>
      <c r="X36" s="19" t="s">
        <v>2347</v>
      </c>
      <c r="Y36" s="3" t="s">
        <v>764</v>
      </c>
      <c r="Z36" s="3" t="s">
        <v>2026</v>
      </c>
      <c r="AA36" s="3" t="s">
        <v>2374</v>
      </c>
      <c r="AB36" s="3" t="s">
        <v>787</v>
      </c>
      <c r="AC36" s="3" t="s">
        <v>763</v>
      </c>
      <c r="AD36" s="3" t="s">
        <v>763</v>
      </c>
      <c r="AE36" s="3" t="s">
        <v>763</v>
      </c>
      <c r="AF36" s="3" t="s">
        <v>763</v>
      </c>
      <c r="AG36" s="3" t="s">
        <v>2377</v>
      </c>
      <c r="AH36" s="7">
        <v>46.13</v>
      </c>
      <c r="AI36" s="3">
        <f>AH36*AQ36</f>
        <v>178.06180000000001</v>
      </c>
      <c r="AJ36" s="3">
        <f>AI36*3.67</f>
        <v>653.486806</v>
      </c>
      <c r="AK36" s="7">
        <f>AJ36/AQ36</f>
        <v>169.2971</v>
      </c>
      <c r="AL36" s="7">
        <f t="shared" si="10"/>
        <v>98.148936170212778</v>
      </c>
      <c r="AM36" s="7">
        <f t="shared" si="11"/>
        <v>378.85489361702133</v>
      </c>
      <c r="AN36" s="3">
        <f t="shared" si="12"/>
        <v>37.201612903225808</v>
      </c>
      <c r="AO36" s="3">
        <f t="shared" si="13"/>
        <v>8.928387096774193</v>
      </c>
      <c r="AP36" s="8">
        <v>3.86</v>
      </c>
      <c r="AQ36" s="8">
        <v>3.86</v>
      </c>
      <c r="AR36" s="7" t="s">
        <v>763</v>
      </c>
      <c r="AS36" s="7" t="s">
        <v>2013</v>
      </c>
      <c r="AT36" s="7" t="s">
        <v>763</v>
      </c>
      <c r="AU36" s="7" t="s">
        <v>763</v>
      </c>
      <c r="AV36">
        <f t="shared" si="0"/>
        <v>918.40890008396309</v>
      </c>
    </row>
    <row r="37" spans="1:48" s="3" customFormat="1" x14ac:dyDescent="0.35">
      <c r="A37" s="3">
        <v>36</v>
      </c>
      <c r="B37" s="3">
        <v>29</v>
      </c>
      <c r="C37" s="15" t="s">
        <v>235</v>
      </c>
      <c r="D37" s="3" t="s">
        <v>237</v>
      </c>
      <c r="E37" s="3" t="s">
        <v>751</v>
      </c>
      <c r="F37" s="3">
        <v>2021</v>
      </c>
      <c r="G37" s="27">
        <v>42401</v>
      </c>
      <c r="H37" s="3" t="s">
        <v>753</v>
      </c>
      <c r="I37" s="3" t="s">
        <v>754</v>
      </c>
      <c r="J37" s="3">
        <v>10.775556</v>
      </c>
      <c r="K37" s="3">
        <v>106.701944</v>
      </c>
      <c r="L37" s="3" t="s">
        <v>1204</v>
      </c>
      <c r="M37" s="11">
        <v>8993082</v>
      </c>
      <c r="N37" s="11">
        <v>4363</v>
      </c>
      <c r="O37" s="3" t="s">
        <v>2327</v>
      </c>
      <c r="P37" s="3" t="s">
        <v>1202</v>
      </c>
      <c r="Q37" s="3" t="s">
        <v>2335</v>
      </c>
      <c r="R37" s="3">
        <v>1909</v>
      </c>
      <c r="S37" s="3">
        <v>27</v>
      </c>
      <c r="T37" s="3" t="s">
        <v>1016</v>
      </c>
      <c r="U37" s="3" t="s">
        <v>2303</v>
      </c>
      <c r="V37" s="3" t="s">
        <v>2370</v>
      </c>
      <c r="W37" s="3" t="s">
        <v>787</v>
      </c>
      <c r="X37" s="3" t="s">
        <v>2350</v>
      </c>
      <c r="Y37" s="3" t="s">
        <v>1205</v>
      </c>
      <c r="Z37" s="3" t="s">
        <v>1744</v>
      </c>
      <c r="AA37" s="3" t="s">
        <v>2372</v>
      </c>
      <c r="AB37" s="3" t="s">
        <v>787</v>
      </c>
      <c r="AC37" s="3">
        <f>AE37/3.67</f>
        <v>8427101.1035422347</v>
      </c>
      <c r="AD37" s="3">
        <f>AF37/3.67</f>
        <v>1.1690929093142215</v>
      </c>
      <c r="AE37" s="3">
        <f>84732.77*365</f>
        <v>30927461.050000001</v>
      </c>
      <c r="AF37" s="3">
        <f>AE37/AQ37</f>
        <v>4.2905709771831928</v>
      </c>
      <c r="AG37" s="3" t="s">
        <v>2376</v>
      </c>
      <c r="AH37" s="7" t="s">
        <v>763</v>
      </c>
      <c r="AI37" s="7" t="s">
        <v>763</v>
      </c>
      <c r="AJ37" s="7" t="s">
        <v>763</v>
      </c>
      <c r="AK37" s="7" t="s">
        <v>763</v>
      </c>
      <c r="AL37" s="7" t="s">
        <v>763</v>
      </c>
      <c r="AM37" s="7" t="s">
        <v>763</v>
      </c>
      <c r="AN37" s="3" t="s">
        <v>763</v>
      </c>
      <c r="AO37" s="3" t="s">
        <v>763</v>
      </c>
      <c r="AP37" s="33">
        <f>577.197+71044.486+460.707</f>
        <v>72082.39</v>
      </c>
      <c r="AQ37" s="30">
        <v>7208239</v>
      </c>
      <c r="AR37" s="7" t="s">
        <v>763</v>
      </c>
      <c r="AS37" s="7" t="s">
        <v>763</v>
      </c>
      <c r="AT37" s="7" t="s">
        <v>763</v>
      </c>
      <c r="AU37" s="7" t="s">
        <v>763</v>
      </c>
      <c r="AV37">
        <f t="shared" si="0"/>
        <v>2061.2152188860878</v>
      </c>
    </row>
    <row r="38" spans="1:48" x14ac:dyDescent="0.35">
      <c r="A38">
        <v>37</v>
      </c>
      <c r="B38" s="3">
        <v>30</v>
      </c>
      <c r="C38" t="s">
        <v>254</v>
      </c>
      <c r="D38" t="s">
        <v>256</v>
      </c>
      <c r="E38" s="3" t="s">
        <v>751</v>
      </c>
      <c r="F38" s="3">
        <v>2017</v>
      </c>
      <c r="G38" s="3">
        <v>2007</v>
      </c>
      <c r="H38" s="3" t="s">
        <v>753</v>
      </c>
      <c r="I38" s="3" t="s">
        <v>754</v>
      </c>
      <c r="J38" s="3">
        <v>6.2319440000000004</v>
      </c>
      <c r="K38" s="3">
        <v>-75.568055999999999</v>
      </c>
      <c r="L38" t="s">
        <v>1214</v>
      </c>
      <c r="M38" s="11">
        <v>2427129</v>
      </c>
      <c r="N38" s="11">
        <v>6475</v>
      </c>
      <c r="O38" s="3" t="s">
        <v>2325</v>
      </c>
      <c r="P38" s="3" t="s">
        <v>1213</v>
      </c>
      <c r="Q38" s="3" t="s">
        <v>2338</v>
      </c>
      <c r="R38">
        <v>1687</v>
      </c>
      <c r="S38">
        <v>22.5</v>
      </c>
      <c r="T38" s="3" t="s">
        <v>763</v>
      </c>
      <c r="U38" t="s">
        <v>2300</v>
      </c>
      <c r="V38" s="3" t="s">
        <v>2371</v>
      </c>
      <c r="W38" s="3" t="s">
        <v>787</v>
      </c>
      <c r="X38" s="3" t="s">
        <v>2348</v>
      </c>
      <c r="Y38" s="8" t="s">
        <v>1222</v>
      </c>
      <c r="Z38" s="29" t="s">
        <v>2032</v>
      </c>
      <c r="AA38" s="3" t="s">
        <v>2374</v>
      </c>
      <c r="AB38" s="3" t="s">
        <v>787</v>
      </c>
      <c r="AC38" s="3">
        <f>AE38/3.67</f>
        <v>565.94005449591282</v>
      </c>
      <c r="AD38" s="3">
        <f>AF38/3.67</f>
        <v>0.26286114932462279</v>
      </c>
      <c r="AE38">
        <v>2077</v>
      </c>
      <c r="AF38" s="3">
        <f>AE38/AQ38</f>
        <v>0.96470041802136552</v>
      </c>
      <c r="AG38" s="3" t="s">
        <v>2377</v>
      </c>
      <c r="AH38" s="7">
        <f>AI38/AQ38</f>
        <v>13.139260723583215</v>
      </c>
      <c r="AI38" s="7">
        <f>AJ38/3.67</f>
        <v>28288.82833787466</v>
      </c>
      <c r="AJ38" s="7">
        <v>103820</v>
      </c>
      <c r="AK38" s="7">
        <f>AJ38/AQ38</f>
        <v>48.221086855550396</v>
      </c>
      <c r="AL38" s="7">
        <f t="shared" si="10"/>
        <v>27.955873879964287</v>
      </c>
      <c r="AM38" s="7">
        <f t="shared" si="11"/>
        <v>60188.996463563111</v>
      </c>
      <c r="AN38" s="3">
        <f t="shared" si="12"/>
        <v>10.596178002889689</v>
      </c>
      <c r="AO38" s="3">
        <f t="shared" si="13"/>
        <v>2.5430827206935254</v>
      </c>
      <c r="AP38">
        <v>2153</v>
      </c>
      <c r="AQ38">
        <v>2153</v>
      </c>
      <c r="AR38" s="7" t="s">
        <v>763</v>
      </c>
      <c r="AS38" s="7" t="s">
        <v>2014</v>
      </c>
      <c r="AT38">
        <f>182044/AQ38</f>
        <v>84.553646075243847</v>
      </c>
      <c r="AU38" s="7" t="s">
        <v>763</v>
      </c>
      <c r="AV38">
        <f t="shared" si="0"/>
        <v>374.8461776061776</v>
      </c>
    </row>
    <row r="39" spans="1:48" s="8" customFormat="1" x14ac:dyDescent="0.35">
      <c r="A39">
        <v>38</v>
      </c>
      <c r="B39" s="7">
        <v>31</v>
      </c>
      <c r="C39" s="8" t="s">
        <v>259</v>
      </c>
      <c r="D39" s="8" t="s">
        <v>261</v>
      </c>
      <c r="E39" s="7" t="s">
        <v>751</v>
      </c>
      <c r="F39" s="7">
        <v>2021</v>
      </c>
      <c r="G39" s="33" t="s">
        <v>1264</v>
      </c>
      <c r="H39" s="7" t="s">
        <v>795</v>
      </c>
      <c r="I39" s="7" t="s">
        <v>754</v>
      </c>
      <c r="J39" s="7">
        <v>22.574999999999999</v>
      </c>
      <c r="K39" s="7">
        <v>90.775000000000006</v>
      </c>
      <c r="L39" s="30" t="s">
        <v>1770</v>
      </c>
      <c r="M39" s="11">
        <v>203451</v>
      </c>
      <c r="N39" s="11">
        <v>9547</v>
      </c>
      <c r="O39" s="30" t="s">
        <v>2327</v>
      </c>
      <c r="P39" s="7" t="s">
        <v>985</v>
      </c>
      <c r="Q39" s="3" t="s">
        <v>2339</v>
      </c>
      <c r="R39" s="8">
        <v>3207</v>
      </c>
      <c r="S39" s="8">
        <v>26.2</v>
      </c>
      <c r="T39" s="7" t="s">
        <v>763</v>
      </c>
      <c r="U39" t="s">
        <v>2303</v>
      </c>
      <c r="V39" s="19" t="s">
        <v>2354</v>
      </c>
      <c r="W39" s="7" t="s">
        <v>787</v>
      </c>
      <c r="X39" s="19" t="s">
        <v>2347</v>
      </c>
      <c r="Y39" s="8" t="s">
        <v>1995</v>
      </c>
      <c r="Z39" s="8" t="s">
        <v>1744</v>
      </c>
      <c r="AA39" s="3" t="s">
        <v>2372</v>
      </c>
      <c r="AB39" s="7" t="s">
        <v>787</v>
      </c>
      <c r="AC39" s="7" t="s">
        <v>763</v>
      </c>
      <c r="AD39" s="7" t="s">
        <v>763</v>
      </c>
      <c r="AE39" s="7" t="s">
        <v>763</v>
      </c>
      <c r="AF39" s="7" t="s">
        <v>763</v>
      </c>
      <c r="AG39" s="3" t="s">
        <v>2377</v>
      </c>
      <c r="AH39" s="7">
        <f>AI39/AQ39</f>
        <v>135.75913172250333</v>
      </c>
      <c r="AI39" s="8">
        <f>(((1988*23.85)+(1998*25.23)+(2008*25.01)+(2018*27.15))/(1988+1998+2008+2018))*1000000</f>
        <v>25316040.93859211</v>
      </c>
      <c r="AJ39" s="7">
        <f t="shared" ref="AJ39:AJ53" si="14">AI39*3.67</f>
        <v>92909870.244633034</v>
      </c>
      <c r="AK39" s="7">
        <f>AJ39/AQ39</f>
        <v>498.23601342158719</v>
      </c>
      <c r="AL39" s="7">
        <f t="shared" si="10"/>
        <v>288.84921643085818</v>
      </c>
      <c r="AM39" s="7">
        <f t="shared" si="11"/>
        <v>53863916.890621513</v>
      </c>
      <c r="AN39" s="3">
        <f t="shared" si="12"/>
        <v>109.48317074395429</v>
      </c>
      <c r="AO39" s="3">
        <f t="shared" si="13"/>
        <v>26.27596097854903</v>
      </c>
      <c r="AP39" s="48" t="s">
        <v>2251</v>
      </c>
      <c r="AQ39" s="48">
        <f>((1988*144110)+(1998*178640)+(2008*179820)+(2018*242600))/(1988+1998+2008+2018)</f>
        <v>186477.62855716425</v>
      </c>
      <c r="AR39" s="7" t="s">
        <v>763</v>
      </c>
      <c r="AS39" s="7" t="s">
        <v>763</v>
      </c>
      <c r="AT39" s="8" t="s">
        <v>763</v>
      </c>
      <c r="AU39" s="7" t="s">
        <v>763</v>
      </c>
      <c r="AV39">
        <f t="shared" si="0"/>
        <v>21.310464020111031</v>
      </c>
    </row>
    <row r="40" spans="1:48" x14ac:dyDescent="0.35">
      <c r="A40">
        <v>39</v>
      </c>
      <c r="B40" s="3">
        <v>32</v>
      </c>
      <c r="C40" t="s">
        <v>263</v>
      </c>
      <c r="D40" t="s">
        <v>265</v>
      </c>
      <c r="E40" s="3" t="s">
        <v>751</v>
      </c>
      <c r="F40" s="3">
        <v>2009</v>
      </c>
      <c r="G40" s="3" t="s">
        <v>1901</v>
      </c>
      <c r="H40" s="3" t="s">
        <v>753</v>
      </c>
      <c r="I40" s="3" t="s">
        <v>754</v>
      </c>
      <c r="J40" s="3">
        <v>23.155556000000001</v>
      </c>
      <c r="K40" s="3">
        <v>77.366944000000004</v>
      </c>
      <c r="L40" t="s">
        <v>1012</v>
      </c>
      <c r="M40" s="11">
        <v>1798218</v>
      </c>
      <c r="N40" s="11">
        <v>6290</v>
      </c>
      <c r="O40" s="30" t="s">
        <v>2327</v>
      </c>
      <c r="P40" s="3" t="s">
        <v>756</v>
      </c>
      <c r="Q40" s="3" t="s">
        <v>2333</v>
      </c>
      <c r="R40" s="3">
        <v>1074</v>
      </c>
      <c r="S40" s="3">
        <v>25.3</v>
      </c>
      <c r="T40" s="3" t="s">
        <v>948</v>
      </c>
      <c r="U40" t="s">
        <v>2297</v>
      </c>
      <c r="V40" s="19" t="s">
        <v>2354</v>
      </c>
      <c r="W40" s="3" t="s">
        <v>787</v>
      </c>
      <c r="X40" s="19" t="s">
        <v>2347</v>
      </c>
      <c r="Y40" s="7" t="s">
        <v>764</v>
      </c>
      <c r="Z40" s="8" t="s">
        <v>2026</v>
      </c>
      <c r="AA40" s="3" t="s">
        <v>2374</v>
      </c>
      <c r="AB40" s="3" t="s">
        <v>787</v>
      </c>
      <c r="AC40" s="3" t="s">
        <v>763</v>
      </c>
      <c r="AD40" s="3" t="s">
        <v>763</v>
      </c>
      <c r="AE40" s="3" t="s">
        <v>763</v>
      </c>
      <c r="AF40" s="3" t="s">
        <v>763</v>
      </c>
      <c r="AG40" s="3" t="s">
        <v>2376</v>
      </c>
      <c r="AH40">
        <v>12.544</v>
      </c>
      <c r="AI40">
        <v>6.6020000000000003</v>
      </c>
      <c r="AJ40" s="7">
        <f t="shared" si="14"/>
        <v>24.229340000000001</v>
      </c>
      <c r="AK40" s="7">
        <f>AJ40/AQ40</f>
        <v>1.5541590763309814E-2</v>
      </c>
      <c r="AL40" s="7">
        <f t="shared" si="10"/>
        <v>26.689361702127663</v>
      </c>
      <c r="AM40" s="7">
        <f t="shared" si="11"/>
        <v>14.0468085106383</v>
      </c>
      <c r="AN40" s="3">
        <f t="shared" si="12"/>
        <v>10.116129032258065</v>
      </c>
      <c r="AO40" s="3">
        <f t="shared" si="13"/>
        <v>2.4278709677419354</v>
      </c>
      <c r="AP40">
        <v>1559</v>
      </c>
      <c r="AQ40">
        <v>1559</v>
      </c>
      <c r="AR40" s="7" t="s">
        <v>763</v>
      </c>
      <c r="AS40" s="8" t="s">
        <v>2271</v>
      </c>
      <c r="AT40">
        <f>308/AQ40</f>
        <v>0.19756254008980115</v>
      </c>
      <c r="AU40" s="7" t="s">
        <v>763</v>
      </c>
      <c r="AV40">
        <f t="shared" si="0"/>
        <v>285.88521462639108</v>
      </c>
    </row>
    <row r="41" spans="1:48" x14ac:dyDescent="0.35">
      <c r="A41">
        <v>40</v>
      </c>
      <c r="B41" s="3">
        <v>33</v>
      </c>
      <c r="C41" t="s">
        <v>268</v>
      </c>
      <c r="D41" t="s">
        <v>270</v>
      </c>
      <c r="E41" s="3" t="s">
        <v>751</v>
      </c>
      <c r="F41" s="3">
        <v>2024</v>
      </c>
      <c r="G41" s="3" t="s">
        <v>763</v>
      </c>
      <c r="H41" s="3" t="s">
        <v>753</v>
      </c>
      <c r="I41" s="3" t="s">
        <v>754</v>
      </c>
      <c r="J41" s="3">
        <v>16.478860999999998</v>
      </c>
      <c r="K41" s="3">
        <v>120.586167</v>
      </c>
      <c r="L41" t="s">
        <v>1250</v>
      </c>
      <c r="M41" s="11">
        <v>137404</v>
      </c>
      <c r="N41" s="11">
        <v>1951</v>
      </c>
      <c r="O41" s="30" t="s">
        <v>2327</v>
      </c>
      <c r="P41" s="3" t="s">
        <v>1112</v>
      </c>
      <c r="Q41" s="3" t="s">
        <v>2339</v>
      </c>
      <c r="R41" s="3">
        <v>3463</v>
      </c>
      <c r="S41" s="3">
        <v>21.1</v>
      </c>
      <c r="T41" s="3" t="s">
        <v>763</v>
      </c>
      <c r="U41" t="s">
        <v>2304</v>
      </c>
      <c r="V41" s="19" t="s">
        <v>2354</v>
      </c>
      <c r="W41" s="3" t="s">
        <v>787</v>
      </c>
      <c r="X41" s="19" t="s">
        <v>2347</v>
      </c>
      <c r="Y41" s="7" t="s">
        <v>1996</v>
      </c>
      <c r="Z41" t="s">
        <v>2031</v>
      </c>
      <c r="AA41" s="3" t="s">
        <v>2374</v>
      </c>
      <c r="AB41" s="3" t="s">
        <v>787</v>
      </c>
      <c r="AC41" s="3" t="s">
        <v>763</v>
      </c>
      <c r="AD41" s="3" t="s">
        <v>763</v>
      </c>
      <c r="AE41" s="3" t="s">
        <v>763</v>
      </c>
      <c r="AF41" s="3" t="s">
        <v>763</v>
      </c>
      <c r="AG41" s="3" t="s">
        <v>2377</v>
      </c>
      <c r="AH41">
        <v>192.54</v>
      </c>
      <c r="AI41">
        <v>6931.44</v>
      </c>
      <c r="AJ41" s="7">
        <f t="shared" si="14"/>
        <v>25438.3848</v>
      </c>
      <c r="AK41" s="7">
        <f>AJ41/AQ41</f>
        <v>706.62180000000001</v>
      </c>
      <c r="AL41" s="7">
        <f t="shared" si="10"/>
        <v>409.65957446808511</v>
      </c>
      <c r="AM41" s="7">
        <f t="shared" si="11"/>
        <v>14747.744680851063</v>
      </c>
      <c r="AN41" s="3">
        <f t="shared" si="12"/>
        <v>155.2741935483871</v>
      </c>
      <c r="AO41" s="3">
        <f t="shared" si="13"/>
        <v>37.265806451612903</v>
      </c>
      <c r="AP41">
        <v>36</v>
      </c>
      <c r="AQ41">
        <v>36</v>
      </c>
      <c r="AR41">
        <v>102</v>
      </c>
      <c r="AS41" t="s">
        <v>2015</v>
      </c>
      <c r="AT41" t="s">
        <v>763</v>
      </c>
      <c r="AU41" s="7" t="s">
        <v>763</v>
      </c>
      <c r="AV41">
        <f t="shared" si="0"/>
        <v>70.4274730907227</v>
      </c>
    </row>
    <row r="42" spans="1:48" x14ac:dyDescent="0.35">
      <c r="A42">
        <v>41</v>
      </c>
      <c r="B42" s="3">
        <v>34</v>
      </c>
      <c r="C42" t="s">
        <v>273</v>
      </c>
      <c r="D42" t="s">
        <v>275</v>
      </c>
      <c r="E42" s="3" t="s">
        <v>751</v>
      </c>
      <c r="F42" s="3">
        <v>2023</v>
      </c>
      <c r="G42" s="3">
        <v>2017</v>
      </c>
      <c r="H42" s="3" t="s">
        <v>753</v>
      </c>
      <c r="I42" s="3" t="s">
        <v>754</v>
      </c>
      <c r="J42" s="3">
        <v>23.2</v>
      </c>
      <c r="K42" s="3">
        <v>83.033332999999999</v>
      </c>
      <c r="L42" t="s">
        <v>1358</v>
      </c>
      <c r="M42" s="11">
        <v>121071</v>
      </c>
      <c r="N42" s="11">
        <v>3014</v>
      </c>
      <c r="O42" s="30" t="s">
        <v>2327</v>
      </c>
      <c r="P42" s="3" t="s">
        <v>756</v>
      </c>
      <c r="Q42" s="3" t="s">
        <v>2333</v>
      </c>
      <c r="R42">
        <v>1200</v>
      </c>
      <c r="S42">
        <v>24</v>
      </c>
      <c r="T42" s="3" t="s">
        <v>763</v>
      </c>
      <c r="U42" t="s">
        <v>2300</v>
      </c>
      <c r="V42" s="3" t="s">
        <v>2371</v>
      </c>
      <c r="W42" s="3" t="s">
        <v>787</v>
      </c>
      <c r="X42" s="3" t="s">
        <v>2348</v>
      </c>
      <c r="Y42" s="7" t="s">
        <v>764</v>
      </c>
      <c r="Z42" s="7" t="s">
        <v>2031</v>
      </c>
      <c r="AA42" s="3" t="s">
        <v>2374</v>
      </c>
      <c r="AB42" s="3" t="s">
        <v>787</v>
      </c>
      <c r="AC42" s="3" t="s">
        <v>763</v>
      </c>
      <c r="AD42" s="3" t="s">
        <v>763</v>
      </c>
      <c r="AE42" s="3" t="s">
        <v>763</v>
      </c>
      <c r="AF42" s="3" t="s">
        <v>763</v>
      </c>
      <c r="AG42" s="3" t="s">
        <v>2376</v>
      </c>
      <c r="AH42">
        <v>189.85</v>
      </c>
      <c r="AI42">
        <f>AH42*AQ42</f>
        <v>422169445</v>
      </c>
      <c r="AJ42" s="7">
        <f t="shared" si="14"/>
        <v>1549361863.1499999</v>
      </c>
      <c r="AK42">
        <v>696.77</v>
      </c>
      <c r="AL42" s="4">
        <f>AN42+AO42</f>
        <v>390.27760000000001</v>
      </c>
      <c r="AM42" s="4">
        <f>AL42*AQ42</f>
        <v>867860299.12</v>
      </c>
      <c r="AN42" s="3">
        <v>314.74</v>
      </c>
      <c r="AO42" s="4">
        <f>AN42*0.24</f>
        <v>75.537599999999998</v>
      </c>
      <c r="AP42">
        <v>2223700</v>
      </c>
      <c r="AQ42">
        <v>2223700</v>
      </c>
      <c r="AR42" t="s">
        <v>763</v>
      </c>
      <c r="AS42" s="8" t="s">
        <v>2272</v>
      </c>
      <c r="AT42" s="7">
        <v>205</v>
      </c>
      <c r="AU42" s="7" t="s">
        <v>763</v>
      </c>
      <c r="AV42">
        <f t="shared" si="0"/>
        <v>40.169542136695419</v>
      </c>
    </row>
    <row r="43" spans="1:48" x14ac:dyDescent="0.35">
      <c r="A43">
        <v>42</v>
      </c>
      <c r="B43" s="3">
        <v>35</v>
      </c>
      <c r="C43" t="s">
        <v>283</v>
      </c>
      <c r="D43" t="s">
        <v>1158</v>
      </c>
      <c r="E43" s="3" t="s">
        <v>751</v>
      </c>
      <c r="F43" s="3">
        <v>2017</v>
      </c>
      <c r="G43" s="3" t="s">
        <v>763</v>
      </c>
      <c r="H43" s="3" t="s">
        <v>753</v>
      </c>
      <c r="I43" s="3" t="s">
        <v>754</v>
      </c>
      <c r="J43" s="3">
        <v>8.75</v>
      </c>
      <c r="K43" s="3">
        <v>38.65</v>
      </c>
      <c r="L43" t="s">
        <v>1104</v>
      </c>
      <c r="M43" s="11">
        <v>3860000</v>
      </c>
      <c r="N43" s="11">
        <v>7324</v>
      </c>
      <c r="O43" t="s">
        <v>2326</v>
      </c>
      <c r="P43" s="3" t="s">
        <v>1102</v>
      </c>
      <c r="Q43" s="3" t="s">
        <v>2334</v>
      </c>
      <c r="R43" s="3">
        <v>1874</v>
      </c>
      <c r="S43" s="3">
        <v>15.6</v>
      </c>
      <c r="T43" s="3" t="s">
        <v>763</v>
      </c>
      <c r="U43" t="s">
        <v>2306</v>
      </c>
      <c r="V43" s="19" t="s">
        <v>2354</v>
      </c>
      <c r="W43" s="3" t="s">
        <v>787</v>
      </c>
      <c r="X43" s="19" t="s">
        <v>2347</v>
      </c>
      <c r="Y43" s="7" t="s">
        <v>764</v>
      </c>
      <c r="Z43" s="7" t="s">
        <v>2031</v>
      </c>
      <c r="AA43" s="3" t="s">
        <v>2374</v>
      </c>
      <c r="AB43" s="3" t="s">
        <v>787</v>
      </c>
      <c r="AC43" s="3" t="s">
        <v>763</v>
      </c>
      <c r="AD43" s="3" t="s">
        <v>763</v>
      </c>
      <c r="AE43" s="3" t="s">
        <v>763</v>
      </c>
      <c r="AF43" s="3" t="s">
        <v>763</v>
      </c>
      <c r="AG43" s="3" t="s">
        <v>2377</v>
      </c>
      <c r="AH43">
        <v>171</v>
      </c>
      <c r="AI43">
        <v>552415</v>
      </c>
      <c r="AJ43" s="7">
        <f t="shared" si="14"/>
        <v>2027363.05</v>
      </c>
      <c r="AK43">
        <f>AJ43/AQ43</f>
        <v>628.25009296560279</v>
      </c>
      <c r="AL43" s="3">
        <f>AM43/AQ43</f>
        <v>342.37682057638676</v>
      </c>
      <c r="AM43" s="3">
        <v>1104850</v>
      </c>
      <c r="AN43" s="3">
        <f>905615/AQ43</f>
        <v>280.6368143786799</v>
      </c>
      <c r="AO43" s="3">
        <f>199235/AQ43</f>
        <v>61.740006197706848</v>
      </c>
      <c r="AP43">
        <v>3227</v>
      </c>
      <c r="AQ43">
        <v>3227</v>
      </c>
      <c r="AR43" t="s">
        <v>763</v>
      </c>
      <c r="AS43" s="8" t="s">
        <v>2278</v>
      </c>
      <c r="AT43">
        <f>2420/AQ43</f>
        <v>0.74992252866439413</v>
      </c>
      <c r="AU43" s="7" t="s">
        <v>763</v>
      </c>
      <c r="AV43">
        <f t="shared" si="0"/>
        <v>527.03440742763519</v>
      </c>
    </row>
    <row r="44" spans="1:48" x14ac:dyDescent="0.35">
      <c r="A44">
        <v>43</v>
      </c>
      <c r="B44" s="3">
        <v>36</v>
      </c>
      <c r="C44" t="s">
        <v>292</v>
      </c>
      <c r="D44" t="s">
        <v>294</v>
      </c>
      <c r="E44" s="3" t="s">
        <v>751</v>
      </c>
      <c r="F44" s="3">
        <v>2023</v>
      </c>
      <c r="G44" s="3" t="s">
        <v>1282</v>
      </c>
      <c r="H44" s="3" t="s">
        <v>795</v>
      </c>
      <c r="I44" s="3" t="s">
        <v>754</v>
      </c>
      <c r="J44" s="3">
        <v>6.6678009999999999</v>
      </c>
      <c r="K44" s="3">
        <v>2.1480250000000001</v>
      </c>
      <c r="L44" t="s">
        <v>1788</v>
      </c>
      <c r="M44" s="11">
        <v>127512</v>
      </c>
      <c r="N44">
        <v>334.7</v>
      </c>
      <c r="O44" t="s">
        <v>2326</v>
      </c>
      <c r="P44" s="3" t="s">
        <v>1280</v>
      </c>
      <c r="Q44" s="3" t="s">
        <v>2335</v>
      </c>
      <c r="R44" s="3">
        <v>1353</v>
      </c>
      <c r="S44" s="3">
        <v>26.3</v>
      </c>
      <c r="T44" s="3" t="s">
        <v>763</v>
      </c>
      <c r="U44" t="s">
        <v>2298</v>
      </c>
      <c r="V44" s="19" t="s">
        <v>2354</v>
      </c>
      <c r="W44" s="3" t="s">
        <v>787</v>
      </c>
      <c r="X44" s="3" t="s">
        <v>2350</v>
      </c>
      <c r="Y44" s="7" t="s">
        <v>1281</v>
      </c>
      <c r="Z44" t="s">
        <v>1744</v>
      </c>
      <c r="AA44" s="3" t="s">
        <v>2372</v>
      </c>
      <c r="AB44" s="3" t="s">
        <v>787</v>
      </c>
      <c r="AC44" s="3" t="s">
        <v>763</v>
      </c>
      <c r="AD44" s="3" t="s">
        <v>763</v>
      </c>
      <c r="AE44" s="3" t="s">
        <v>763</v>
      </c>
      <c r="AF44" s="3" t="s">
        <v>763</v>
      </c>
      <c r="AG44" s="3" t="s">
        <v>2377</v>
      </c>
      <c r="AH44" s="8">
        <f>AI44/AQ44</f>
        <v>48.628631487168207</v>
      </c>
      <c r="AI44" s="8">
        <f>(((1752*12511)+(1491*19106)+(171*612))/(12511+19106+612))*1000</f>
        <v>1567252.1641999441</v>
      </c>
      <c r="AJ44" s="7">
        <f t="shared" si="14"/>
        <v>5751815.4426137945</v>
      </c>
      <c r="AK44">
        <f>AJ44/AQ44</f>
        <v>178.46707755790732</v>
      </c>
      <c r="AL44" s="7">
        <f>AN44+AO44</f>
        <v>105.88463805889106</v>
      </c>
      <c r="AM44" s="7">
        <f>AL44*AQ44</f>
        <v>3412556</v>
      </c>
      <c r="AN44" s="7">
        <f>((113*12511)+(63*19106)+(225*612))/(12511+19106+612)</f>
        <v>85.485773682087554</v>
      </c>
      <c r="AO44" s="7">
        <f>((27*12511)+(15*19106)+(54*612))/(12511+19106+612)</f>
        <v>20.398864376803498</v>
      </c>
      <c r="AP44" s="8">
        <v>612</v>
      </c>
      <c r="AQ44" s="8">
        <f>12511+19106+612</f>
        <v>32229</v>
      </c>
      <c r="AR44" t="s">
        <v>763</v>
      </c>
      <c r="AS44" s="8" t="s">
        <v>2016</v>
      </c>
      <c r="AT44" t="s">
        <v>763</v>
      </c>
      <c r="AU44" s="7" t="s">
        <v>763</v>
      </c>
      <c r="AV44">
        <f t="shared" si="0"/>
        <v>380.97400657305053</v>
      </c>
    </row>
    <row r="45" spans="1:48" x14ac:dyDescent="0.35">
      <c r="A45">
        <v>44</v>
      </c>
      <c r="B45" s="3">
        <v>36</v>
      </c>
      <c r="C45" t="s">
        <v>292</v>
      </c>
      <c r="D45" t="s">
        <v>294</v>
      </c>
      <c r="E45" s="3" t="s">
        <v>751</v>
      </c>
      <c r="F45" s="3">
        <v>2023</v>
      </c>
      <c r="G45" s="4" t="s">
        <v>1282</v>
      </c>
      <c r="H45" s="3" t="s">
        <v>795</v>
      </c>
      <c r="I45" s="3" t="s">
        <v>754</v>
      </c>
      <c r="J45" s="3">
        <v>6.6678009999999999</v>
      </c>
      <c r="K45" s="3">
        <v>2.1480250000000001</v>
      </c>
      <c r="L45" t="s">
        <v>1788</v>
      </c>
      <c r="M45" s="11">
        <v>127512</v>
      </c>
      <c r="N45">
        <v>334.7</v>
      </c>
      <c r="O45" t="s">
        <v>2326</v>
      </c>
      <c r="P45" s="3" t="s">
        <v>1280</v>
      </c>
      <c r="Q45" s="3" t="s">
        <v>2335</v>
      </c>
      <c r="R45" s="3">
        <v>1353</v>
      </c>
      <c r="S45" s="3">
        <v>26.3</v>
      </c>
      <c r="T45" s="3" t="s">
        <v>763</v>
      </c>
      <c r="U45" t="s">
        <v>2298</v>
      </c>
      <c r="V45" s="19" t="s">
        <v>2369</v>
      </c>
      <c r="W45" s="3" t="s">
        <v>787</v>
      </c>
      <c r="X45" s="3" t="s">
        <v>2350</v>
      </c>
      <c r="Y45" s="7" t="s">
        <v>1281</v>
      </c>
      <c r="Z45" t="s">
        <v>1744</v>
      </c>
      <c r="AA45" s="3" t="s">
        <v>2372</v>
      </c>
      <c r="AB45" s="3" t="s">
        <v>787</v>
      </c>
      <c r="AC45" s="3" t="s">
        <v>763</v>
      </c>
      <c r="AD45" s="3" t="s">
        <v>763</v>
      </c>
      <c r="AE45" s="3" t="s">
        <v>763</v>
      </c>
      <c r="AF45" s="3" t="s">
        <v>763</v>
      </c>
      <c r="AG45" s="3" t="s">
        <v>2377</v>
      </c>
      <c r="AH45" s="8">
        <f>AI45/AQ45</f>
        <v>48.008077841013403</v>
      </c>
      <c r="AI45" s="8">
        <v>523000</v>
      </c>
      <c r="AJ45" s="7">
        <f t="shared" si="14"/>
        <v>1919410</v>
      </c>
      <c r="AK45">
        <f>AJ45/AQ45</f>
        <v>176.18964567651918</v>
      </c>
      <c r="AL45" s="7">
        <v>48</v>
      </c>
      <c r="AM45" s="7">
        <f>AL45*AQ45</f>
        <v>522912</v>
      </c>
      <c r="AN45" s="7">
        <v>39</v>
      </c>
      <c r="AO45" s="7">
        <v>9</v>
      </c>
      <c r="AP45" s="8" t="s">
        <v>2198</v>
      </c>
      <c r="AQ45" s="8">
        <v>10894</v>
      </c>
      <c r="AR45" t="s">
        <v>763</v>
      </c>
      <c r="AS45" s="8" t="s">
        <v>2016</v>
      </c>
      <c r="AT45" t="s">
        <v>763</v>
      </c>
      <c r="AU45" s="7" t="s">
        <v>763</v>
      </c>
      <c r="AV45">
        <f t="shared" si="0"/>
        <v>380.97400657305053</v>
      </c>
    </row>
    <row r="46" spans="1:48" x14ac:dyDescent="0.35">
      <c r="A46">
        <v>45</v>
      </c>
      <c r="B46" s="3">
        <v>37</v>
      </c>
      <c r="C46" t="s">
        <v>330</v>
      </c>
      <c r="D46" t="s">
        <v>332</v>
      </c>
      <c r="E46" s="3" t="s">
        <v>751</v>
      </c>
      <c r="F46" s="3">
        <v>2016</v>
      </c>
      <c r="G46" s="3">
        <v>2013</v>
      </c>
      <c r="H46" s="3" t="s">
        <v>753</v>
      </c>
      <c r="I46" s="3" t="s">
        <v>754</v>
      </c>
      <c r="J46" s="3">
        <v>4.8714199999999996</v>
      </c>
      <c r="K46" s="3">
        <v>-73.986396999999997</v>
      </c>
      <c r="L46" t="s">
        <v>1292</v>
      </c>
      <c r="M46" s="11">
        <v>7412566</v>
      </c>
      <c r="N46" s="11">
        <v>4567</v>
      </c>
      <c r="O46" t="s">
        <v>2325</v>
      </c>
      <c r="P46" s="3" t="s">
        <v>1213</v>
      </c>
      <c r="Q46" s="3" t="s">
        <v>2341</v>
      </c>
      <c r="R46">
        <v>600</v>
      </c>
      <c r="S46">
        <v>14</v>
      </c>
      <c r="T46" s="3" t="s">
        <v>763</v>
      </c>
      <c r="U46" t="s">
        <v>2304</v>
      </c>
      <c r="V46" s="19" t="s">
        <v>2354</v>
      </c>
      <c r="W46" s="3" t="s">
        <v>787</v>
      </c>
      <c r="X46" s="3" t="s">
        <v>2346</v>
      </c>
      <c r="Y46" s="7" t="s">
        <v>764</v>
      </c>
      <c r="Z46" s="7" t="s">
        <v>2031</v>
      </c>
      <c r="AA46" s="3" t="s">
        <v>2374</v>
      </c>
      <c r="AB46" s="3" t="s">
        <v>787</v>
      </c>
      <c r="AC46" s="3" t="s">
        <v>763</v>
      </c>
      <c r="AD46" s="3" t="s">
        <v>763</v>
      </c>
      <c r="AE46" s="3" t="s">
        <v>763</v>
      </c>
      <c r="AF46" s="3" t="s">
        <v>763</v>
      </c>
      <c r="AG46" s="3" t="s">
        <v>2376</v>
      </c>
      <c r="AH46" s="33">
        <f>AN46*0.47</f>
        <v>37.256899999999995</v>
      </c>
      <c r="AI46" s="33">
        <f>AH46*AQ46</f>
        <v>11.922207999999998</v>
      </c>
      <c r="AJ46" s="33">
        <f t="shared" si="14"/>
        <v>43.754503359999994</v>
      </c>
      <c r="AK46" s="33">
        <f t="shared" ref="AK46:AK51" si="15">AH46*3.67</f>
        <v>136.73282299999997</v>
      </c>
      <c r="AL46" s="4">
        <f>AN46+AO46</f>
        <v>98.294799999999995</v>
      </c>
      <c r="AM46" s="4">
        <f>AL46*AQ46</f>
        <v>31.454335999999998</v>
      </c>
      <c r="AN46" s="7">
        <v>79.27</v>
      </c>
      <c r="AO46" s="4">
        <f>AN46*0.24</f>
        <v>19.024799999999999</v>
      </c>
      <c r="AP46" s="8">
        <v>0.32</v>
      </c>
      <c r="AQ46" s="8">
        <v>0.32</v>
      </c>
      <c r="AR46" s="8" t="s">
        <v>763</v>
      </c>
      <c r="AS46" s="8" t="s">
        <v>2279</v>
      </c>
      <c r="AT46">
        <f>1354/AQ46</f>
        <v>4231.25</v>
      </c>
      <c r="AU46" t="s">
        <v>763</v>
      </c>
      <c r="AV46">
        <f t="shared" si="0"/>
        <v>1623.0711626888549</v>
      </c>
    </row>
    <row r="47" spans="1:48" ht="15.5" x14ac:dyDescent="0.35">
      <c r="A47">
        <v>46</v>
      </c>
      <c r="B47" s="3">
        <v>38</v>
      </c>
      <c r="C47" t="s">
        <v>335</v>
      </c>
      <c r="D47" t="s">
        <v>337</v>
      </c>
      <c r="E47" s="3" t="s">
        <v>751</v>
      </c>
      <c r="F47" s="3">
        <v>2022</v>
      </c>
      <c r="G47" s="4" t="s">
        <v>1304</v>
      </c>
      <c r="H47" s="3" t="s">
        <v>795</v>
      </c>
      <c r="I47" s="3" t="s">
        <v>754</v>
      </c>
      <c r="J47" s="3">
        <v>18.159199999999998</v>
      </c>
      <c r="K47" s="3">
        <v>42.397908000000001</v>
      </c>
      <c r="L47" t="s">
        <v>1301</v>
      </c>
      <c r="M47" s="11">
        <v>334290</v>
      </c>
      <c r="N47">
        <v>61.84</v>
      </c>
      <c r="O47" t="s">
        <v>2327</v>
      </c>
      <c r="P47" s="3" t="s">
        <v>1300</v>
      </c>
      <c r="Q47" s="3" t="s">
        <v>2333</v>
      </c>
      <c r="R47">
        <v>245</v>
      </c>
      <c r="S47">
        <v>20.100000000000001</v>
      </c>
      <c r="T47" s="3" t="s">
        <v>763</v>
      </c>
      <c r="U47" t="s">
        <v>2308</v>
      </c>
      <c r="V47" s="3" t="s">
        <v>2371</v>
      </c>
      <c r="W47" s="4" t="s">
        <v>787</v>
      </c>
      <c r="X47" s="3" t="s">
        <v>2348</v>
      </c>
      <c r="Y47" s="8" t="s">
        <v>1997</v>
      </c>
      <c r="Z47" t="s">
        <v>1744</v>
      </c>
      <c r="AA47" s="3" t="s">
        <v>2372</v>
      </c>
      <c r="AB47" s="3" t="s">
        <v>787</v>
      </c>
      <c r="AC47" s="3" t="s">
        <v>763</v>
      </c>
      <c r="AD47" s="3" t="s">
        <v>763</v>
      </c>
      <c r="AE47" s="3" t="s">
        <v>763</v>
      </c>
      <c r="AF47" s="3" t="s">
        <v>763</v>
      </c>
      <c r="AG47" s="3" t="s">
        <v>2377</v>
      </c>
      <c r="AH47" s="43">
        <f>AI47/AQ47</f>
        <v>2.9708386341410913</v>
      </c>
      <c r="AI47" s="9">
        <f>((1990*18524.96)+(2000*31195.78)+(2020*80561.01))/(1990+2000+2020)</f>
        <v>43592.258003327785</v>
      </c>
      <c r="AJ47" s="43">
        <f t="shared" si="14"/>
        <v>159983.58687221297</v>
      </c>
      <c r="AK47" s="33">
        <f t="shared" si="15"/>
        <v>10.902977787297806</v>
      </c>
      <c r="AL47" s="7">
        <f>AH47/0.47</f>
        <v>6.320933264129982</v>
      </c>
      <c r="AM47" s="7">
        <f>AI47/0.47</f>
        <v>92749.485113463379</v>
      </c>
      <c r="AN47" s="3">
        <f t="shared" ref="AN47" si="16">AH47/1.24</f>
        <v>2.3958376081782995</v>
      </c>
      <c r="AO47" s="3">
        <f t="shared" ref="AO47:AO50" si="17">AN47*0.24</f>
        <v>0.5750010259627919</v>
      </c>
      <c r="AP47" t="s">
        <v>2252</v>
      </c>
      <c r="AQ47">
        <f>((1990*6237.36)+(2000*10503.63)+(2018*27124.92))/(1990+2000+2018)</f>
        <v>14673.384647137149</v>
      </c>
      <c r="AR47" s="8" t="s">
        <v>763</v>
      </c>
      <c r="AS47" s="8" t="s">
        <v>2280</v>
      </c>
      <c r="AT47" s="8" t="s">
        <v>763</v>
      </c>
      <c r="AU47" s="8">
        <v>14621.97</v>
      </c>
      <c r="AV47">
        <f t="shared" si="0"/>
        <v>5405.7244501940486</v>
      </c>
    </row>
    <row r="48" spans="1:48" ht="15.5" x14ac:dyDescent="0.35">
      <c r="A48">
        <v>47</v>
      </c>
      <c r="B48" s="3">
        <v>38</v>
      </c>
      <c r="C48" t="s">
        <v>335</v>
      </c>
      <c r="D48" t="s">
        <v>337</v>
      </c>
      <c r="E48" s="3" t="s">
        <v>751</v>
      </c>
      <c r="F48" s="3">
        <v>2022</v>
      </c>
      <c r="G48" s="4" t="s">
        <v>1304</v>
      </c>
      <c r="H48" s="3" t="s">
        <v>795</v>
      </c>
      <c r="I48" s="3" t="s">
        <v>754</v>
      </c>
      <c r="J48" s="3">
        <v>18.159199999999998</v>
      </c>
      <c r="K48" s="3">
        <v>42.397908000000001</v>
      </c>
      <c r="L48" t="s">
        <v>1301</v>
      </c>
      <c r="M48" s="11">
        <v>334290</v>
      </c>
      <c r="N48">
        <v>61.84</v>
      </c>
      <c r="O48" t="s">
        <v>2327</v>
      </c>
      <c r="P48" s="3" t="s">
        <v>1300</v>
      </c>
      <c r="Q48" s="3" t="s">
        <v>2333</v>
      </c>
      <c r="R48">
        <v>245</v>
      </c>
      <c r="S48">
        <v>20.100000000000001</v>
      </c>
      <c r="T48" s="3" t="s">
        <v>763</v>
      </c>
      <c r="U48" t="s">
        <v>2308</v>
      </c>
      <c r="V48" s="19" t="s">
        <v>2354</v>
      </c>
      <c r="W48" s="4" t="s">
        <v>787</v>
      </c>
      <c r="X48" s="3" t="s">
        <v>2346</v>
      </c>
      <c r="Y48" s="8" t="s">
        <v>1997</v>
      </c>
      <c r="Z48" t="s">
        <v>1744</v>
      </c>
      <c r="AA48" s="3" t="s">
        <v>2372</v>
      </c>
      <c r="AB48" s="3" t="s">
        <v>787</v>
      </c>
      <c r="AC48" s="3" t="s">
        <v>763</v>
      </c>
      <c r="AD48" s="3" t="s">
        <v>763</v>
      </c>
      <c r="AE48" s="3" t="s">
        <v>763</v>
      </c>
      <c r="AF48" s="3" t="s">
        <v>763</v>
      </c>
      <c r="AG48" s="3" t="s">
        <v>2377</v>
      </c>
      <c r="AH48" s="43">
        <f>AI48/AQ48</f>
        <v>12.68956725362745</v>
      </c>
      <c r="AI48" s="9">
        <f>((1990*710425)+(2000*525119.3)+(2020*527012.9))/(1990+2000+2020)</f>
        <v>587113.21264559065</v>
      </c>
      <c r="AJ48" s="43">
        <f t="shared" si="14"/>
        <v>2154705.4904093179</v>
      </c>
      <c r="AK48" s="33">
        <f t="shared" si="15"/>
        <v>46.57071182081274</v>
      </c>
      <c r="AL48" s="7">
        <f t="shared" ref="AL48:AL50" si="18">AH48/0.47</f>
        <v>26.999079263037128</v>
      </c>
      <c r="AM48" s="7">
        <f t="shared" ref="AM48:AM50" si="19">AI48/0.47</f>
        <v>1249177.0481821077</v>
      </c>
      <c r="AN48" s="3">
        <f t="shared" ref="AN48:AN50" si="20">AH48/1.24</f>
        <v>10.233521978731815</v>
      </c>
      <c r="AO48" s="3">
        <f t="shared" si="17"/>
        <v>2.4560452748956356</v>
      </c>
      <c r="AP48" t="s">
        <v>2253</v>
      </c>
      <c r="AQ48">
        <f>((1990*55983.06)+(2000*41380.56)+(2018*41529.78))/(1990+2000+2018)</f>
        <v>46267.394380825557</v>
      </c>
      <c r="AR48" s="8" t="s">
        <v>763</v>
      </c>
      <c r="AS48" s="8" t="s">
        <v>2280</v>
      </c>
      <c r="AT48" s="8" t="s">
        <v>763</v>
      </c>
      <c r="AU48" s="8">
        <v>29631.13</v>
      </c>
      <c r="AV48">
        <f t="shared" si="0"/>
        <v>5405.7244501940486</v>
      </c>
    </row>
    <row r="49" spans="1:48" x14ac:dyDescent="0.35">
      <c r="A49">
        <v>48</v>
      </c>
      <c r="B49" s="3">
        <v>39</v>
      </c>
      <c r="C49" s="8" t="s">
        <v>360</v>
      </c>
      <c r="D49" s="8" t="s">
        <v>362</v>
      </c>
      <c r="E49" s="7" t="s">
        <v>751</v>
      </c>
      <c r="F49" s="7">
        <v>2018</v>
      </c>
      <c r="G49" s="33" t="s">
        <v>1312</v>
      </c>
      <c r="H49" s="7" t="s">
        <v>795</v>
      </c>
      <c r="I49" s="7" t="s">
        <v>776</v>
      </c>
      <c r="J49" s="3">
        <v>4.5980559999999997</v>
      </c>
      <c r="K49" s="3">
        <v>-74.075833000000003</v>
      </c>
      <c r="L49" s="8" t="s">
        <v>1292</v>
      </c>
      <c r="M49" s="11">
        <v>7412566</v>
      </c>
      <c r="N49" s="11">
        <v>4567</v>
      </c>
      <c r="O49" s="8" t="s">
        <v>2325</v>
      </c>
      <c r="P49" s="7" t="s">
        <v>1213</v>
      </c>
      <c r="Q49" s="3" t="s">
        <v>2341</v>
      </c>
      <c r="R49" s="8">
        <v>1400</v>
      </c>
      <c r="S49" s="8">
        <v>12.5</v>
      </c>
      <c r="T49" s="7" t="s">
        <v>763</v>
      </c>
      <c r="U49" t="s">
        <v>2300</v>
      </c>
      <c r="V49" s="3" t="s">
        <v>2370</v>
      </c>
      <c r="W49" s="7" t="s">
        <v>787</v>
      </c>
      <c r="X49" s="3" t="s">
        <v>2350</v>
      </c>
      <c r="Y49" s="8" t="s">
        <v>1995</v>
      </c>
      <c r="Z49" t="s">
        <v>1744</v>
      </c>
      <c r="AA49" s="3" t="s">
        <v>2372</v>
      </c>
      <c r="AB49" s="7" t="s">
        <v>787</v>
      </c>
      <c r="AC49" s="7" t="s">
        <v>763</v>
      </c>
      <c r="AD49" s="7" t="s">
        <v>763</v>
      </c>
      <c r="AE49" s="7" t="s">
        <v>763</v>
      </c>
      <c r="AF49" s="7" t="s">
        <v>763</v>
      </c>
      <c r="AG49" s="3" t="s">
        <v>2377</v>
      </c>
      <c r="AH49" s="8">
        <v>22.33</v>
      </c>
      <c r="AI49" s="8">
        <v>23210000</v>
      </c>
      <c r="AJ49" s="43">
        <f t="shared" si="14"/>
        <v>85180700</v>
      </c>
      <c r="AK49" s="8">
        <f t="shared" si="15"/>
        <v>81.951099999999997</v>
      </c>
      <c r="AL49" s="7">
        <f t="shared" si="18"/>
        <v>47.51063829787234</v>
      </c>
      <c r="AM49" s="7">
        <f t="shared" si="19"/>
        <v>49382978.723404258</v>
      </c>
      <c r="AN49" s="3">
        <f t="shared" si="20"/>
        <v>18.008064516129032</v>
      </c>
      <c r="AO49" s="3">
        <f t="shared" si="17"/>
        <v>4.3219354838709672</v>
      </c>
      <c r="AP49" s="8">
        <v>38500</v>
      </c>
      <c r="AQ49" s="8">
        <v>38500</v>
      </c>
      <c r="AR49" s="8" t="s">
        <v>763</v>
      </c>
      <c r="AS49" s="8" t="s">
        <v>763</v>
      </c>
      <c r="AT49" s="8" t="s">
        <v>763</v>
      </c>
      <c r="AU49" s="8">
        <f>AQ49*0.659</f>
        <v>25371.5</v>
      </c>
      <c r="AV49">
        <f t="shared" si="0"/>
        <v>1623.0711626888549</v>
      </c>
    </row>
    <row r="50" spans="1:48" x14ac:dyDescent="0.35">
      <c r="A50">
        <v>49</v>
      </c>
      <c r="B50" s="3">
        <v>40</v>
      </c>
      <c r="C50" t="s">
        <v>364</v>
      </c>
      <c r="D50" t="s">
        <v>366</v>
      </c>
      <c r="E50" s="7" t="s">
        <v>751</v>
      </c>
      <c r="F50" s="7">
        <v>2021</v>
      </c>
      <c r="G50" s="3">
        <v>2018</v>
      </c>
      <c r="H50" s="7" t="s">
        <v>753</v>
      </c>
      <c r="I50" s="7" t="s">
        <v>754</v>
      </c>
      <c r="J50" s="3">
        <v>5.55</v>
      </c>
      <c r="K50" s="3">
        <v>-0.2</v>
      </c>
      <c r="L50" s="8" t="s">
        <v>1326</v>
      </c>
      <c r="M50">
        <v>1665086</v>
      </c>
      <c r="N50">
        <v>9816</v>
      </c>
      <c r="O50" s="8" t="s">
        <v>2326</v>
      </c>
      <c r="P50" s="7" t="s">
        <v>1325</v>
      </c>
      <c r="Q50" s="7" t="s">
        <v>2337</v>
      </c>
      <c r="R50" s="7">
        <v>809</v>
      </c>
      <c r="S50" s="7">
        <v>26.6</v>
      </c>
      <c r="T50" s="7" t="s">
        <v>763</v>
      </c>
      <c r="U50" t="s">
        <v>2298</v>
      </c>
      <c r="V50" s="3" t="s">
        <v>2371</v>
      </c>
      <c r="W50" s="7" t="s">
        <v>787</v>
      </c>
      <c r="X50" s="3" t="s">
        <v>2348</v>
      </c>
      <c r="Y50" s="8" t="s">
        <v>1998</v>
      </c>
      <c r="Z50" s="7" t="s">
        <v>1032</v>
      </c>
      <c r="AA50" s="3" t="s">
        <v>2374</v>
      </c>
      <c r="AB50" s="7" t="s">
        <v>787</v>
      </c>
      <c r="AC50" s="7">
        <v>8440</v>
      </c>
      <c r="AD50" s="7">
        <f>AC50/AQ50</f>
        <v>0.72006893550946582</v>
      </c>
      <c r="AE50" s="7">
        <f>AC50*3.67</f>
        <v>30974.799999999999</v>
      </c>
      <c r="AF50" s="7">
        <f>AD50*3.67</f>
        <v>2.6426529933197394</v>
      </c>
      <c r="AG50" s="3" t="s">
        <v>2376</v>
      </c>
      <c r="AH50" s="7">
        <f>AI50/AQ50</f>
        <v>18.093864910289991</v>
      </c>
      <c r="AI50" s="7">
        <v>212080</v>
      </c>
      <c r="AJ50" s="43">
        <f t="shared" si="14"/>
        <v>778333.6</v>
      </c>
      <c r="AK50" s="8">
        <f t="shared" si="15"/>
        <v>66.40448422076426</v>
      </c>
      <c r="AL50" s="7">
        <f t="shared" si="18"/>
        <v>38.497584915510622</v>
      </c>
      <c r="AM50" s="7">
        <f t="shared" si="19"/>
        <v>451234.04255319154</v>
      </c>
      <c r="AN50" s="3">
        <f t="shared" si="20"/>
        <v>14.591826540556445</v>
      </c>
      <c r="AO50" s="3">
        <f t="shared" si="17"/>
        <v>3.5020383697335467</v>
      </c>
      <c r="AP50" s="8">
        <v>11721.1</v>
      </c>
      <c r="AQ50" s="8">
        <v>11721.1</v>
      </c>
      <c r="AR50" s="8" t="s">
        <v>763</v>
      </c>
      <c r="AS50" s="8" t="s">
        <v>763</v>
      </c>
      <c r="AT50" s="8" t="s">
        <v>763</v>
      </c>
      <c r="AU50" s="8" t="s">
        <v>763</v>
      </c>
      <c r="AV50">
        <f t="shared" si="0"/>
        <v>169.62978810105949</v>
      </c>
    </row>
    <row r="51" spans="1:48" x14ac:dyDescent="0.35">
      <c r="A51">
        <v>50</v>
      </c>
      <c r="B51" s="3">
        <v>41</v>
      </c>
      <c r="C51" t="s">
        <v>374</v>
      </c>
      <c r="D51" t="s">
        <v>376</v>
      </c>
      <c r="E51" s="7" t="s">
        <v>751</v>
      </c>
      <c r="F51" s="7">
        <v>2010</v>
      </c>
      <c r="G51" s="3">
        <v>2009</v>
      </c>
      <c r="H51" s="7" t="s">
        <v>753</v>
      </c>
      <c r="I51" s="7" t="s">
        <v>776</v>
      </c>
      <c r="J51" s="3">
        <v>-23.15</v>
      </c>
      <c r="K51" s="3">
        <v>-46.333333000000003</v>
      </c>
      <c r="L51" s="8" t="s">
        <v>1349</v>
      </c>
      <c r="M51" s="11">
        <v>18217</v>
      </c>
      <c r="N51">
        <v>55.84</v>
      </c>
      <c r="O51" s="8" t="s">
        <v>2325</v>
      </c>
      <c r="P51" s="7" t="s">
        <v>846</v>
      </c>
      <c r="Q51" s="3" t="s">
        <v>2338</v>
      </c>
      <c r="R51" s="3">
        <v>1421</v>
      </c>
      <c r="S51" s="3">
        <v>18.899999999999999</v>
      </c>
      <c r="T51" s="3" t="s">
        <v>763</v>
      </c>
      <c r="U51" t="s">
        <v>2300</v>
      </c>
      <c r="V51" s="19" t="s">
        <v>2354</v>
      </c>
      <c r="W51" s="3" t="s">
        <v>787</v>
      </c>
      <c r="X51" s="19" t="s">
        <v>2347</v>
      </c>
      <c r="Y51" s="7" t="s">
        <v>764</v>
      </c>
      <c r="Z51" t="s">
        <v>2031</v>
      </c>
      <c r="AA51" s="3" t="s">
        <v>2374</v>
      </c>
      <c r="AB51" s="7" t="s">
        <v>787</v>
      </c>
      <c r="AC51" s="7" t="s">
        <v>763</v>
      </c>
      <c r="AD51" s="7" t="s">
        <v>763</v>
      </c>
      <c r="AE51" s="7" t="s">
        <v>763</v>
      </c>
      <c r="AF51" s="7" t="s">
        <v>763</v>
      </c>
      <c r="AG51" s="3" t="s">
        <v>2377</v>
      </c>
      <c r="AH51" s="8">
        <v>68.27</v>
      </c>
      <c r="AI51" s="8">
        <v>380984</v>
      </c>
      <c r="AJ51" s="43">
        <f t="shared" si="14"/>
        <v>1398211.28</v>
      </c>
      <c r="AK51" s="8">
        <f t="shared" si="15"/>
        <v>250.55089999999998</v>
      </c>
      <c r="AL51" s="46">
        <v>136.55000000000001</v>
      </c>
      <c r="AM51" s="7">
        <f>AL51*AQ51</f>
        <v>1041057.2000000001</v>
      </c>
      <c r="AN51" s="46">
        <v>136.55000000000001</v>
      </c>
      <c r="AO51" s="7">
        <f>AN51*0.24</f>
        <v>32.771999999999998</v>
      </c>
      <c r="AP51">
        <v>7624</v>
      </c>
      <c r="AQ51">
        <v>7624</v>
      </c>
      <c r="AR51" s="8">
        <v>10.5</v>
      </c>
      <c r="AS51" s="8" t="s">
        <v>763</v>
      </c>
      <c r="AT51" s="8">
        <v>1323.03</v>
      </c>
      <c r="AU51" s="8" t="s">
        <v>763</v>
      </c>
      <c r="AV51">
        <f t="shared" si="0"/>
        <v>326.23567335243553</v>
      </c>
    </row>
    <row r="52" spans="1:48" x14ac:dyDescent="0.35">
      <c r="A52">
        <v>51</v>
      </c>
      <c r="B52" s="3">
        <v>42</v>
      </c>
      <c r="C52" s="8" t="s">
        <v>394</v>
      </c>
      <c r="D52" s="8" t="s">
        <v>396</v>
      </c>
      <c r="E52" s="7" t="s">
        <v>751</v>
      </c>
      <c r="F52" s="7">
        <v>2019</v>
      </c>
      <c r="G52" s="7" t="s">
        <v>1357</v>
      </c>
      <c r="H52" s="7" t="s">
        <v>753</v>
      </c>
      <c r="I52" s="7" t="s">
        <v>754</v>
      </c>
      <c r="J52" s="3">
        <v>23.2</v>
      </c>
      <c r="K52" s="3">
        <v>83.033332999999999</v>
      </c>
      <c r="L52" s="8" t="s">
        <v>1358</v>
      </c>
      <c r="M52" s="11">
        <v>121071</v>
      </c>
      <c r="N52" s="11">
        <v>3014</v>
      </c>
      <c r="O52" s="8" t="s">
        <v>2327</v>
      </c>
      <c r="P52" s="7" t="s">
        <v>756</v>
      </c>
      <c r="Q52" s="3" t="s">
        <v>2333</v>
      </c>
      <c r="R52" s="7">
        <v>1383</v>
      </c>
      <c r="S52" s="7">
        <v>23.9</v>
      </c>
      <c r="T52" s="7" t="s">
        <v>2078</v>
      </c>
      <c r="U52" t="s">
        <v>2300</v>
      </c>
      <c r="V52" s="3" t="s">
        <v>2371</v>
      </c>
      <c r="W52" s="7" t="s">
        <v>787</v>
      </c>
      <c r="X52" s="3" t="s">
        <v>2348</v>
      </c>
      <c r="Y52" s="7" t="s">
        <v>925</v>
      </c>
      <c r="Z52" s="8" t="s">
        <v>2033</v>
      </c>
      <c r="AA52" s="7" t="s">
        <v>2373</v>
      </c>
      <c r="AB52" s="7" t="s">
        <v>787</v>
      </c>
      <c r="AC52" s="7" t="s">
        <v>763</v>
      </c>
      <c r="AD52" s="7" t="s">
        <v>763</v>
      </c>
      <c r="AE52" s="7" t="s">
        <v>763</v>
      </c>
      <c r="AF52" s="7" t="s">
        <v>763</v>
      </c>
      <c r="AG52" s="3" t="s">
        <v>2377</v>
      </c>
      <c r="AH52" s="8">
        <v>187.08</v>
      </c>
      <c r="AI52" s="8">
        <f>AH52*AQ52</f>
        <v>37097964</v>
      </c>
      <c r="AJ52" s="43">
        <f t="shared" si="14"/>
        <v>136149527.88</v>
      </c>
      <c r="AK52" s="8">
        <v>686.58</v>
      </c>
      <c r="AL52" s="7">
        <v>0.45662999999999998</v>
      </c>
      <c r="AM52" s="7">
        <f>AL52*AQ52</f>
        <v>90549.728999999992</v>
      </c>
      <c r="AN52" s="7">
        <v>0.37075000000000002</v>
      </c>
      <c r="AO52" s="7">
        <v>8.5542999999999994E-2</v>
      </c>
      <c r="AP52" s="8">
        <v>198300</v>
      </c>
      <c r="AQ52" s="8">
        <v>198300</v>
      </c>
      <c r="AR52" s="8" t="s">
        <v>763</v>
      </c>
      <c r="AS52" s="8" t="s">
        <v>2281</v>
      </c>
      <c r="AT52" s="8">
        <v>447333.33</v>
      </c>
      <c r="AU52" s="8" t="s">
        <v>763</v>
      </c>
      <c r="AV52">
        <f t="shared" si="0"/>
        <v>40.169542136695419</v>
      </c>
    </row>
    <row r="53" spans="1:48" x14ac:dyDescent="0.35">
      <c r="A53">
        <v>52</v>
      </c>
      <c r="B53" s="3">
        <v>43</v>
      </c>
      <c r="C53" s="8" t="s">
        <v>399</v>
      </c>
      <c r="D53" s="8" t="s">
        <v>401</v>
      </c>
      <c r="E53" s="7" t="s">
        <v>751</v>
      </c>
      <c r="F53" s="7">
        <v>2023</v>
      </c>
      <c r="G53" s="7" t="s">
        <v>1902</v>
      </c>
      <c r="H53" s="7" t="s">
        <v>753</v>
      </c>
      <c r="I53" s="7" t="s">
        <v>754</v>
      </c>
      <c r="J53" s="3">
        <v>11.183332999999999</v>
      </c>
      <c r="K53" s="3">
        <v>-4.2833329999999998</v>
      </c>
      <c r="L53" s="30" t="s">
        <v>1374</v>
      </c>
      <c r="M53" s="11">
        <v>984603</v>
      </c>
      <c r="N53">
        <v>545.20000000000005</v>
      </c>
      <c r="O53" s="30" t="s">
        <v>2326</v>
      </c>
      <c r="P53" s="7" t="s">
        <v>1373</v>
      </c>
      <c r="Q53" s="3" t="s">
        <v>2335</v>
      </c>
      <c r="R53" s="7">
        <v>1000</v>
      </c>
      <c r="S53" s="7">
        <v>27.9</v>
      </c>
      <c r="T53" s="7" t="s">
        <v>881</v>
      </c>
      <c r="U53" t="s">
        <v>2298</v>
      </c>
      <c r="V53" s="19" t="s">
        <v>2369</v>
      </c>
      <c r="W53" s="7" t="s">
        <v>787</v>
      </c>
      <c r="X53" s="3" t="s">
        <v>2346</v>
      </c>
      <c r="Y53" s="7" t="s">
        <v>764</v>
      </c>
      <c r="Z53" s="8" t="s">
        <v>2026</v>
      </c>
      <c r="AA53" s="3" t="s">
        <v>2374</v>
      </c>
      <c r="AB53" s="7" t="s">
        <v>787</v>
      </c>
      <c r="AC53" s="7" t="s">
        <v>763</v>
      </c>
      <c r="AD53" s="7" t="s">
        <v>763</v>
      </c>
      <c r="AE53" s="7" t="s">
        <v>763</v>
      </c>
      <c r="AF53" s="7" t="s">
        <v>763</v>
      </c>
      <c r="AG53" s="3" t="s">
        <v>2376</v>
      </c>
      <c r="AH53" s="7">
        <v>3.91</v>
      </c>
      <c r="AI53" s="8">
        <f>AH53*AQ53</f>
        <v>0.97750000000000004</v>
      </c>
      <c r="AJ53" s="43">
        <f t="shared" si="14"/>
        <v>3.5874250000000001</v>
      </c>
      <c r="AK53" s="7">
        <f>AH53*3.67</f>
        <v>14.3497</v>
      </c>
      <c r="AL53" s="4">
        <f t="shared" ref="AL53:AL54" si="21">AN53+AO53</f>
        <v>9.6980399999999989</v>
      </c>
      <c r="AM53" s="4">
        <f>AL53*AQ53</f>
        <v>2.4245099999999997</v>
      </c>
      <c r="AN53" s="7">
        <v>7.8209999999999997</v>
      </c>
      <c r="AO53" s="4">
        <f t="shared" ref="AO53:AO54" si="22">AN53*0.24</f>
        <v>1.8770399999999998</v>
      </c>
      <c r="AP53" s="8">
        <v>0.25</v>
      </c>
      <c r="AQ53" s="8">
        <v>0.25</v>
      </c>
      <c r="AR53" s="8" t="s">
        <v>763</v>
      </c>
      <c r="AS53" t="s">
        <v>2282</v>
      </c>
      <c r="AT53" s="8">
        <v>43.082000000000001</v>
      </c>
      <c r="AU53" s="8" t="s">
        <v>763</v>
      </c>
      <c r="AV53">
        <f t="shared" si="0"/>
        <v>1805.9482758620688</v>
      </c>
    </row>
    <row r="54" spans="1:48" x14ac:dyDescent="0.35">
      <c r="A54">
        <v>53</v>
      </c>
      <c r="B54" s="3">
        <v>43</v>
      </c>
      <c r="C54" s="8" t="s">
        <v>399</v>
      </c>
      <c r="D54" s="8" t="s">
        <v>401</v>
      </c>
      <c r="E54" s="7" t="s">
        <v>751</v>
      </c>
      <c r="F54" s="7">
        <v>2023</v>
      </c>
      <c r="G54" s="7" t="s">
        <v>1902</v>
      </c>
      <c r="H54" s="7" t="s">
        <v>753</v>
      </c>
      <c r="I54" s="7" t="s">
        <v>754</v>
      </c>
      <c r="J54" s="3">
        <v>11.183332999999999</v>
      </c>
      <c r="K54" s="3">
        <v>-4.2833329999999998</v>
      </c>
      <c r="L54" s="30" t="s">
        <v>1374</v>
      </c>
      <c r="M54" s="11">
        <v>984603</v>
      </c>
      <c r="N54">
        <v>545.20000000000005</v>
      </c>
      <c r="O54" s="30" t="s">
        <v>2326</v>
      </c>
      <c r="P54" s="7" t="s">
        <v>1373</v>
      </c>
      <c r="Q54" s="3" t="s">
        <v>2335</v>
      </c>
      <c r="R54" s="7">
        <v>1000</v>
      </c>
      <c r="S54" s="7">
        <v>27.9</v>
      </c>
      <c r="T54" s="7" t="s">
        <v>881</v>
      </c>
      <c r="U54" t="s">
        <v>2298</v>
      </c>
      <c r="V54" s="19" t="s">
        <v>2354</v>
      </c>
      <c r="W54" s="7" t="s">
        <v>787</v>
      </c>
      <c r="X54" s="3" t="s">
        <v>2346</v>
      </c>
      <c r="Y54" s="7" t="s">
        <v>764</v>
      </c>
      <c r="Z54" s="8" t="s">
        <v>2026</v>
      </c>
      <c r="AA54" s="3" t="s">
        <v>2374</v>
      </c>
      <c r="AB54" s="7" t="s">
        <v>787</v>
      </c>
      <c r="AC54" s="7" t="s">
        <v>763</v>
      </c>
      <c r="AD54" s="7" t="s">
        <v>763</v>
      </c>
      <c r="AE54" s="7" t="s">
        <v>763</v>
      </c>
      <c r="AF54" s="7" t="s">
        <v>763</v>
      </c>
      <c r="AG54" s="3" t="s">
        <v>2376</v>
      </c>
      <c r="AH54" s="7">
        <v>9.0990000000000002</v>
      </c>
      <c r="AI54" s="8" t="s">
        <v>763</v>
      </c>
      <c r="AJ54" s="43" t="s">
        <v>763</v>
      </c>
      <c r="AK54" s="7">
        <f>AH54*3.67</f>
        <v>33.393329999999999</v>
      </c>
      <c r="AL54" s="4">
        <f t="shared" si="21"/>
        <v>22.565519999999999</v>
      </c>
      <c r="AM54" s="4" t="s">
        <v>763</v>
      </c>
      <c r="AN54" s="7">
        <v>18.198</v>
      </c>
      <c r="AO54" s="4">
        <f t="shared" si="22"/>
        <v>4.3675199999999998</v>
      </c>
      <c r="AP54" s="8" t="s">
        <v>763</v>
      </c>
      <c r="AQ54" s="8" t="s">
        <v>763</v>
      </c>
      <c r="AR54" s="8" t="s">
        <v>763</v>
      </c>
      <c r="AS54" t="s">
        <v>2282</v>
      </c>
      <c r="AT54" s="8">
        <v>317.30700000000002</v>
      </c>
      <c r="AU54" s="8" t="s">
        <v>763</v>
      </c>
      <c r="AV54">
        <f t="shared" si="0"/>
        <v>1805.9482758620688</v>
      </c>
    </row>
    <row r="55" spans="1:48" x14ac:dyDescent="0.35">
      <c r="A55">
        <v>54</v>
      </c>
      <c r="B55" s="3">
        <v>44</v>
      </c>
      <c r="C55" t="s">
        <v>414</v>
      </c>
      <c r="D55" t="s">
        <v>416</v>
      </c>
      <c r="E55" s="7" t="s">
        <v>873</v>
      </c>
      <c r="F55" s="7">
        <v>2018</v>
      </c>
      <c r="G55" s="27">
        <v>41913</v>
      </c>
      <c r="H55" s="7" t="s">
        <v>753</v>
      </c>
      <c r="I55" s="7" t="s">
        <v>754</v>
      </c>
      <c r="J55" s="3">
        <v>7.0998609999999998</v>
      </c>
      <c r="K55" s="3">
        <v>-73.111500000000007</v>
      </c>
      <c r="L55" s="30" t="s">
        <v>1384</v>
      </c>
      <c r="M55" s="11">
        <v>581130</v>
      </c>
      <c r="N55" s="11">
        <v>3800</v>
      </c>
      <c r="O55" s="30" t="s">
        <v>2325</v>
      </c>
      <c r="P55" s="7" t="s">
        <v>1213</v>
      </c>
      <c r="Q55" s="3" t="s">
        <v>2340</v>
      </c>
      <c r="R55" s="3">
        <v>4426</v>
      </c>
      <c r="S55" s="3">
        <v>19.7</v>
      </c>
      <c r="T55" s="7" t="s">
        <v>881</v>
      </c>
      <c r="U55" t="s">
        <v>2300</v>
      </c>
      <c r="V55" s="3" t="s">
        <v>2371</v>
      </c>
      <c r="W55" s="7" t="s">
        <v>762</v>
      </c>
      <c r="X55" s="3" t="s">
        <v>2348</v>
      </c>
      <c r="Y55" s="7" t="s">
        <v>1386</v>
      </c>
      <c r="Z55" s="7" t="s">
        <v>2026</v>
      </c>
      <c r="AA55" s="3" t="s">
        <v>2374</v>
      </c>
      <c r="AB55" s="7" t="s">
        <v>762</v>
      </c>
      <c r="AC55" s="7" t="s">
        <v>763</v>
      </c>
      <c r="AD55" s="7" t="s">
        <v>763</v>
      </c>
      <c r="AE55" s="7" t="s">
        <v>763</v>
      </c>
      <c r="AF55" s="7" t="s">
        <v>763</v>
      </c>
      <c r="AG55" s="3" t="s">
        <v>2377</v>
      </c>
      <c r="AH55" s="7" t="s">
        <v>763</v>
      </c>
      <c r="AI55" s="7">
        <f>AJ55/3.67</f>
        <v>38.27438692098093</v>
      </c>
      <c r="AJ55" s="7">
        <v>140.46700000000001</v>
      </c>
      <c r="AK55" s="7" t="s">
        <v>763</v>
      </c>
      <c r="AL55" s="7" t="s">
        <v>763</v>
      </c>
      <c r="AM55" s="7">
        <v>1139.5419999999999</v>
      </c>
      <c r="AN55" s="7" t="s">
        <v>763</v>
      </c>
      <c r="AO55" s="7" t="s">
        <v>763</v>
      </c>
      <c r="AP55" s="35" t="s">
        <v>1389</v>
      </c>
      <c r="AQ55" s="35" t="s">
        <v>763</v>
      </c>
      <c r="AR55" s="8" t="s">
        <v>763</v>
      </c>
      <c r="AS55" s="8" t="s">
        <v>2283</v>
      </c>
      <c r="AT55" t="s">
        <v>763</v>
      </c>
      <c r="AU55" s="8" t="s">
        <v>763</v>
      </c>
      <c r="AV55">
        <f t="shared" si="0"/>
        <v>152.92894736842106</v>
      </c>
    </row>
    <row r="56" spans="1:48" x14ac:dyDescent="0.35">
      <c r="A56">
        <v>55</v>
      </c>
      <c r="B56" s="3">
        <v>45</v>
      </c>
      <c r="C56" t="s">
        <v>434</v>
      </c>
      <c r="D56" t="s">
        <v>436</v>
      </c>
      <c r="E56" s="7" t="s">
        <v>751</v>
      </c>
      <c r="F56" s="7">
        <v>2019</v>
      </c>
      <c r="G56" s="3" t="s">
        <v>1903</v>
      </c>
      <c r="H56" s="7" t="s">
        <v>753</v>
      </c>
      <c r="I56" s="7" t="s">
        <v>754</v>
      </c>
      <c r="J56" s="3">
        <v>22.033332999999999</v>
      </c>
      <c r="K56" s="3">
        <v>96.458736000000002</v>
      </c>
      <c r="L56" s="19" t="s">
        <v>1395</v>
      </c>
      <c r="M56" s="11">
        <v>361096</v>
      </c>
      <c r="N56">
        <v>181.4</v>
      </c>
      <c r="O56" s="19" t="s">
        <v>2327</v>
      </c>
      <c r="P56" s="7" t="s">
        <v>1396</v>
      </c>
      <c r="Q56" s="3" t="s">
        <v>2335</v>
      </c>
      <c r="R56">
        <v>1450</v>
      </c>
      <c r="S56">
        <v>20.5</v>
      </c>
      <c r="T56" s="3" t="s">
        <v>1016</v>
      </c>
      <c r="U56" t="s">
        <v>2300</v>
      </c>
      <c r="V56" s="19" t="s">
        <v>2354</v>
      </c>
      <c r="W56" s="7" t="s">
        <v>787</v>
      </c>
      <c r="X56" s="3" t="s">
        <v>2350</v>
      </c>
      <c r="Y56" s="7" t="s">
        <v>764</v>
      </c>
      <c r="Z56" s="7" t="s">
        <v>2026</v>
      </c>
      <c r="AA56" s="3" t="s">
        <v>2372</v>
      </c>
      <c r="AB56" s="7" t="s">
        <v>787</v>
      </c>
      <c r="AC56" s="7" t="s">
        <v>763</v>
      </c>
      <c r="AD56" s="7" t="s">
        <v>763</v>
      </c>
      <c r="AE56" s="7" t="s">
        <v>763</v>
      </c>
      <c r="AF56" s="7" t="s">
        <v>763</v>
      </c>
      <c r="AG56" s="3" t="s">
        <v>2377</v>
      </c>
      <c r="AH56" s="8">
        <f>((177.07*177)+(71.94*104.59))/(177+104.59)</f>
        <v>138.02192762527076</v>
      </c>
      <c r="AI56" s="8">
        <f>AH56*AQ56</f>
        <v>38865.594599999997</v>
      </c>
      <c r="AJ56" s="8">
        <f t="shared" ref="AJ56:AJ64" si="23">AI56*3.67</f>
        <v>142636.73218199998</v>
      </c>
      <c r="AK56" s="8">
        <f>AH56*3.67</f>
        <v>506.54047438474367</v>
      </c>
      <c r="AL56" s="33">
        <f>AH56/0.47</f>
        <v>293.66367579844842</v>
      </c>
      <c r="AM56" s="7">
        <v>1139.5419999999999</v>
      </c>
      <c r="AN56" s="33">
        <f>(((142.9*177.07)+( 71.94*104.59))/(177+104.59))/0.47</f>
        <v>248.04062946505138</v>
      </c>
      <c r="AO56" s="33">
        <f>(((34.17*177.07)+(13.71*104.59))/(177+104.59))/0.47</f>
        <v>56.551291941732089</v>
      </c>
      <c r="AP56" s="30" t="s">
        <v>2244</v>
      </c>
      <c r="AQ56" s="30">
        <f>177+104.59</f>
        <v>281.59000000000003</v>
      </c>
      <c r="AR56" s="8" t="s">
        <v>763</v>
      </c>
      <c r="AS56" s="8" t="s">
        <v>2284</v>
      </c>
      <c r="AT56" s="8" t="s">
        <v>763</v>
      </c>
      <c r="AU56" s="8" t="s">
        <v>763</v>
      </c>
      <c r="AV56">
        <f t="shared" si="0"/>
        <v>1990.606394707828</v>
      </c>
    </row>
    <row r="57" spans="1:48" x14ac:dyDescent="0.35">
      <c r="A57">
        <v>56</v>
      </c>
      <c r="B57" s="3">
        <v>45</v>
      </c>
      <c r="C57" t="s">
        <v>434</v>
      </c>
      <c r="D57" t="s">
        <v>436</v>
      </c>
      <c r="E57" s="7" t="s">
        <v>751</v>
      </c>
      <c r="F57" s="7">
        <v>2019</v>
      </c>
      <c r="G57" s="3" t="s">
        <v>1903</v>
      </c>
      <c r="H57" s="7" t="s">
        <v>753</v>
      </c>
      <c r="I57" s="7" t="s">
        <v>754</v>
      </c>
      <c r="J57" s="3">
        <v>22.033332999999999</v>
      </c>
      <c r="K57" s="3">
        <v>96.458736000000002</v>
      </c>
      <c r="L57" s="19" t="s">
        <v>1395</v>
      </c>
      <c r="M57" s="11">
        <v>361096</v>
      </c>
      <c r="N57">
        <v>181.4</v>
      </c>
      <c r="O57" s="19" t="s">
        <v>2327</v>
      </c>
      <c r="P57" s="7" t="s">
        <v>1396</v>
      </c>
      <c r="Q57" s="3" t="s">
        <v>2335</v>
      </c>
      <c r="R57">
        <v>1450</v>
      </c>
      <c r="S57">
        <v>20.5</v>
      </c>
      <c r="T57" s="3" t="s">
        <v>1016</v>
      </c>
      <c r="U57" t="s">
        <v>2300</v>
      </c>
      <c r="V57" s="19" t="s">
        <v>2369</v>
      </c>
      <c r="W57" s="7" t="s">
        <v>787</v>
      </c>
      <c r="X57" s="3" t="s">
        <v>2350</v>
      </c>
      <c r="Y57" s="7" t="s">
        <v>764</v>
      </c>
      <c r="Z57" s="7" t="s">
        <v>2026</v>
      </c>
      <c r="AA57" s="3" t="s">
        <v>2372</v>
      </c>
      <c r="AB57" s="7" t="s">
        <v>787</v>
      </c>
      <c r="AC57" s="7" t="s">
        <v>763</v>
      </c>
      <c r="AD57" s="7" t="s">
        <v>763</v>
      </c>
      <c r="AE57" s="7" t="s">
        <v>763</v>
      </c>
      <c r="AF57" s="7" t="s">
        <v>763</v>
      </c>
      <c r="AG57" s="3" t="s">
        <v>2377</v>
      </c>
      <c r="AH57" s="8">
        <f>((225.51*244.72)+(6.2*7.83))/(244.72+7.83)</f>
        <v>218.71056503662641</v>
      </c>
      <c r="AI57" s="8">
        <f>AH57*AQ57</f>
        <v>55235.353199999998</v>
      </c>
      <c r="AJ57" s="8">
        <f t="shared" si="23"/>
        <v>202713.74624399998</v>
      </c>
      <c r="AK57" s="8">
        <f>AH57*3.67</f>
        <v>802.66777368441888</v>
      </c>
      <c r="AL57" s="33">
        <f>AH57/0.47</f>
        <v>465.34162773750302</v>
      </c>
      <c r="AM57" s="7">
        <v>1139.5419999999999</v>
      </c>
      <c r="AN57" s="33">
        <f>(((181.98*244.72)+(5*7.83))/(244.72+7.83))/0.47</f>
        <v>375.51692397123804</v>
      </c>
      <c r="AO57" s="33">
        <f>(((43.53*244.72)+(1.2*7.83))/(244.72+7.83))/0.47</f>
        <v>89.824703766264946</v>
      </c>
      <c r="AP57" s="30" t="s">
        <v>2245</v>
      </c>
      <c r="AQ57" s="30">
        <f>244.72+7.83</f>
        <v>252.55</v>
      </c>
      <c r="AR57" s="8" t="s">
        <v>763</v>
      </c>
      <c r="AS57" s="8" t="s">
        <v>2284</v>
      </c>
      <c r="AT57" s="8" t="s">
        <v>763</v>
      </c>
      <c r="AU57" s="8" t="s">
        <v>763</v>
      </c>
      <c r="AV57">
        <f t="shared" si="0"/>
        <v>1990.606394707828</v>
      </c>
    </row>
    <row r="58" spans="1:48" x14ac:dyDescent="0.35">
      <c r="A58">
        <v>57</v>
      </c>
      <c r="B58" s="3">
        <v>46</v>
      </c>
      <c r="C58" t="s">
        <v>457</v>
      </c>
      <c r="D58" t="s">
        <v>459</v>
      </c>
      <c r="E58" s="7" t="s">
        <v>751</v>
      </c>
      <c r="F58" s="7">
        <v>2021</v>
      </c>
      <c r="G58" s="33" t="s">
        <v>1414</v>
      </c>
      <c r="H58" s="7" t="s">
        <v>795</v>
      </c>
      <c r="I58" s="7" t="s">
        <v>754</v>
      </c>
      <c r="J58" s="3">
        <v>9.0875000000000004</v>
      </c>
      <c r="K58" s="3">
        <v>38.905833000000001</v>
      </c>
      <c r="L58" s="19" t="s">
        <v>1104</v>
      </c>
      <c r="M58" s="11">
        <v>3860000</v>
      </c>
      <c r="N58" s="11">
        <v>7324</v>
      </c>
      <c r="O58" s="19" t="s">
        <v>2326</v>
      </c>
      <c r="P58" s="7" t="s">
        <v>1102</v>
      </c>
      <c r="Q58" s="3" t="s">
        <v>2334</v>
      </c>
      <c r="R58">
        <v>1200</v>
      </c>
      <c r="S58">
        <v>16.5</v>
      </c>
      <c r="T58" s="3" t="s">
        <v>763</v>
      </c>
      <c r="U58" t="s">
        <v>2306</v>
      </c>
      <c r="V58" s="19" t="s">
        <v>2354</v>
      </c>
      <c r="W58" s="7" t="s">
        <v>787</v>
      </c>
      <c r="X58" s="3" t="s">
        <v>2350</v>
      </c>
      <c r="Y58" s="7" t="s">
        <v>1999</v>
      </c>
      <c r="Z58" t="s">
        <v>1744</v>
      </c>
      <c r="AA58" s="3" t="s">
        <v>2372</v>
      </c>
      <c r="AB58" s="7" t="s">
        <v>787</v>
      </c>
      <c r="AC58" s="7" t="s">
        <v>763</v>
      </c>
      <c r="AD58" s="7" t="s">
        <v>763</v>
      </c>
      <c r="AE58" s="7" t="s">
        <v>763</v>
      </c>
      <c r="AF58" s="7" t="s">
        <v>763</v>
      </c>
      <c r="AG58" s="3" t="s">
        <v>2377</v>
      </c>
      <c r="AH58" s="8">
        <f>AI58/AQ58</f>
        <v>184.60674368655543</v>
      </c>
      <c r="AI58" s="8">
        <f>((1988*968310.07)+(1998*803563.8)+(2008*1128011.22)+(2018*1104781.17))/(1988+1998+2008+2018)</f>
        <v>1001624.5409860208</v>
      </c>
      <c r="AJ58" s="8">
        <f t="shared" si="23"/>
        <v>3675962.0654186965</v>
      </c>
      <c r="AK58" s="8">
        <f t="shared" ref="AK58:AK64" si="24">AJ58/AQ58</f>
        <v>677.50674932965842</v>
      </c>
      <c r="AL58" s="7">
        <f>AH58/0.47</f>
        <v>392.78030571607542</v>
      </c>
      <c r="AM58" s="7">
        <f>AI58/0.47</f>
        <v>2131116.0446511083</v>
      </c>
      <c r="AN58" s="3">
        <f>AH58/1.24</f>
        <v>148.87640619883501</v>
      </c>
      <c r="AO58" s="3">
        <f t="shared" ref="AO58:AO60" si="25">AN58*0.24</f>
        <v>35.730337487720405</v>
      </c>
      <c r="AP58" t="s">
        <v>2254</v>
      </c>
      <c r="AQ58">
        <f>((1988*5245.47)+(1998*4353)+(2008*6111.9)+(2018*5982.6))/(1988+1998+2008+2018)</f>
        <v>5425.7202146779828</v>
      </c>
      <c r="AR58" s="8" t="s">
        <v>763</v>
      </c>
      <c r="AS58" s="8" t="s">
        <v>763</v>
      </c>
      <c r="AT58" s="8" t="s">
        <v>763</v>
      </c>
      <c r="AU58" s="8" t="s">
        <v>763</v>
      </c>
      <c r="AV58">
        <f t="shared" si="0"/>
        <v>527.03440742763519</v>
      </c>
    </row>
    <row r="59" spans="1:48" x14ac:dyDescent="0.35">
      <c r="A59">
        <v>58</v>
      </c>
      <c r="B59" s="3">
        <v>46</v>
      </c>
      <c r="C59" t="s">
        <v>457</v>
      </c>
      <c r="D59" t="s">
        <v>459</v>
      </c>
      <c r="E59" s="7" t="s">
        <v>751</v>
      </c>
      <c r="F59" s="7">
        <v>2021</v>
      </c>
      <c r="G59" s="33" t="s">
        <v>1414</v>
      </c>
      <c r="H59" s="7" t="s">
        <v>795</v>
      </c>
      <c r="I59" s="7" t="s">
        <v>754</v>
      </c>
      <c r="J59" s="3">
        <v>9.0875000000000004</v>
      </c>
      <c r="K59" s="3">
        <v>38.905833000000001</v>
      </c>
      <c r="L59" s="19" t="s">
        <v>1104</v>
      </c>
      <c r="M59" s="11">
        <v>3860000</v>
      </c>
      <c r="N59" s="11">
        <v>7324</v>
      </c>
      <c r="O59" s="19" t="s">
        <v>2326</v>
      </c>
      <c r="P59" s="7" t="s">
        <v>1102</v>
      </c>
      <c r="Q59" s="3" t="s">
        <v>2334</v>
      </c>
      <c r="R59">
        <v>1200</v>
      </c>
      <c r="S59">
        <v>16.5</v>
      </c>
      <c r="T59" s="3" t="s">
        <v>763</v>
      </c>
      <c r="U59" t="s">
        <v>2306</v>
      </c>
      <c r="V59" s="19" t="s">
        <v>2369</v>
      </c>
      <c r="W59" s="7" t="s">
        <v>787</v>
      </c>
      <c r="X59" s="3" t="s">
        <v>2350</v>
      </c>
      <c r="Y59" s="7" t="s">
        <v>1999</v>
      </c>
      <c r="Z59" t="s">
        <v>1744</v>
      </c>
      <c r="AA59" s="3" t="s">
        <v>2372</v>
      </c>
      <c r="AB59" s="7" t="s">
        <v>787</v>
      </c>
      <c r="AC59" s="7" t="s">
        <v>763</v>
      </c>
      <c r="AD59" s="7" t="s">
        <v>763</v>
      </c>
      <c r="AE59" s="7" t="s">
        <v>763</v>
      </c>
      <c r="AF59" s="7" t="s">
        <v>763</v>
      </c>
      <c r="AG59" s="3" t="s">
        <v>2377</v>
      </c>
      <c r="AH59" s="8">
        <f>AI59/AQ59</f>
        <v>108.75000000050559</v>
      </c>
      <c r="AI59" s="8">
        <f>((1988*3577255.12)+(1998*3060333.75)+(2008*2395742.93)+(2018*1720751.25))/(1988+1998+2008+2018)</f>
        <v>2684630.2841987018</v>
      </c>
      <c r="AJ59" s="8">
        <f t="shared" si="23"/>
        <v>9852593.1430092361</v>
      </c>
      <c r="AK59" s="8">
        <f t="shared" si="24"/>
        <v>399.11250000185555</v>
      </c>
      <c r="AL59" s="7">
        <f t="shared" ref="AL59:AL60" si="26">AH59/0.47</f>
        <v>231.38297872448001</v>
      </c>
      <c r="AM59" s="7">
        <f t="shared" ref="AM59:AM60" si="27">AI59/0.47</f>
        <v>5711979.3280823445</v>
      </c>
      <c r="AN59" s="3">
        <f t="shared" ref="AN59:AN60" si="28">AH59/1.24</f>
        <v>87.701612903633546</v>
      </c>
      <c r="AO59" s="3">
        <f>AN59*0.24</f>
        <v>21.048387096872052</v>
      </c>
      <c r="AP59" t="s">
        <v>2255</v>
      </c>
      <c r="AQ59">
        <f>((1988*32894.3)+(1998* 28141)+(2008*22029.82)+(2018*15823))/(1988+1998+2008+2018)</f>
        <v>24686.255486769845</v>
      </c>
      <c r="AR59" s="8" t="s">
        <v>763</v>
      </c>
      <c r="AS59" s="8" t="s">
        <v>763</v>
      </c>
      <c r="AT59" s="8" t="s">
        <v>763</v>
      </c>
      <c r="AU59" s="8" t="s">
        <v>763</v>
      </c>
      <c r="AV59">
        <f t="shared" si="0"/>
        <v>527.03440742763519</v>
      </c>
    </row>
    <row r="60" spans="1:48" x14ac:dyDescent="0.35">
      <c r="A60">
        <v>59</v>
      </c>
      <c r="B60" s="3">
        <v>46</v>
      </c>
      <c r="C60" t="s">
        <v>457</v>
      </c>
      <c r="D60" t="s">
        <v>459</v>
      </c>
      <c r="E60" s="7" t="s">
        <v>751</v>
      </c>
      <c r="F60" s="7">
        <v>2021</v>
      </c>
      <c r="G60" s="33" t="s">
        <v>1414</v>
      </c>
      <c r="H60" s="7" t="s">
        <v>795</v>
      </c>
      <c r="I60" s="7" t="s">
        <v>754</v>
      </c>
      <c r="J60" s="3">
        <v>9.0875000000000004</v>
      </c>
      <c r="K60" s="3">
        <v>38.905833000000001</v>
      </c>
      <c r="L60" s="19" t="s">
        <v>1104</v>
      </c>
      <c r="M60" s="11">
        <v>3860000</v>
      </c>
      <c r="N60" s="11">
        <v>7324</v>
      </c>
      <c r="O60" s="19" t="s">
        <v>2326</v>
      </c>
      <c r="P60" s="7" t="s">
        <v>1102</v>
      </c>
      <c r="Q60" s="3" t="s">
        <v>2334</v>
      </c>
      <c r="R60">
        <v>1200</v>
      </c>
      <c r="S60">
        <v>16.5</v>
      </c>
      <c r="T60" s="3" t="s">
        <v>763</v>
      </c>
      <c r="U60" t="s">
        <v>2306</v>
      </c>
      <c r="V60" s="3" t="s">
        <v>2371</v>
      </c>
      <c r="W60" s="7" t="s">
        <v>787</v>
      </c>
      <c r="X60" s="3" t="s">
        <v>2350</v>
      </c>
      <c r="Y60" s="7" t="s">
        <v>1999</v>
      </c>
      <c r="Z60" t="s">
        <v>1744</v>
      </c>
      <c r="AA60" s="3" t="s">
        <v>2372</v>
      </c>
      <c r="AB60" s="7" t="s">
        <v>787</v>
      </c>
      <c r="AC60" s="7" t="s">
        <v>763</v>
      </c>
      <c r="AD60" s="7" t="s">
        <v>763</v>
      </c>
      <c r="AE60" s="7" t="s">
        <v>763</v>
      </c>
      <c r="AF60" s="7" t="s">
        <v>763</v>
      </c>
      <c r="AG60" s="3" t="s">
        <v>2377</v>
      </c>
      <c r="AH60" s="8">
        <f>AI60/AQ60</f>
        <v>12.621754435737538</v>
      </c>
      <c r="AI60" s="8">
        <v>226206.69627883099</v>
      </c>
      <c r="AJ60" s="8">
        <f t="shared" si="23"/>
        <v>830178.57534330967</v>
      </c>
      <c r="AK60" s="8">
        <f t="shared" si="24"/>
        <v>46.321838779156764</v>
      </c>
      <c r="AL60" s="7">
        <f t="shared" si="26"/>
        <v>26.854796671781997</v>
      </c>
      <c r="AM60" s="7">
        <f t="shared" si="27"/>
        <v>481290.84314644895</v>
      </c>
      <c r="AN60" s="3">
        <f t="shared" si="28"/>
        <v>10.178834222368982</v>
      </c>
      <c r="AO60" s="3">
        <f t="shared" si="25"/>
        <v>2.4429202133685557</v>
      </c>
      <c r="AP60" s="8" t="s">
        <v>2263</v>
      </c>
      <c r="AQ60">
        <v>17921.969360958563</v>
      </c>
      <c r="AR60" s="8" t="s">
        <v>763</v>
      </c>
      <c r="AS60" s="8" t="s">
        <v>763</v>
      </c>
      <c r="AT60" s="8" t="s">
        <v>763</v>
      </c>
      <c r="AU60" s="8" t="s">
        <v>763</v>
      </c>
      <c r="AV60">
        <f t="shared" si="0"/>
        <v>527.03440742763519</v>
      </c>
    </row>
    <row r="61" spans="1:48" x14ac:dyDescent="0.35">
      <c r="A61">
        <v>60</v>
      </c>
      <c r="B61" s="3">
        <v>47</v>
      </c>
      <c r="C61" t="s">
        <v>466</v>
      </c>
      <c r="D61" t="s">
        <v>468</v>
      </c>
      <c r="E61" s="7" t="s">
        <v>751</v>
      </c>
      <c r="F61" s="7">
        <v>2016</v>
      </c>
      <c r="G61" s="3" t="s">
        <v>1904</v>
      </c>
      <c r="H61" s="7" t="s">
        <v>753</v>
      </c>
      <c r="I61" s="7" t="s">
        <v>776</v>
      </c>
      <c r="J61" s="3">
        <v>1.517139</v>
      </c>
      <c r="K61" s="3">
        <v>103.667556</v>
      </c>
      <c r="L61" s="19" t="s">
        <v>1778</v>
      </c>
      <c r="M61" s="11">
        <v>1711191</v>
      </c>
      <c r="N61" s="11">
        <v>1608</v>
      </c>
      <c r="O61" s="19" t="s">
        <v>2327</v>
      </c>
      <c r="P61" s="7" t="s">
        <v>799</v>
      </c>
      <c r="Q61" s="3" t="s">
        <v>2340</v>
      </c>
      <c r="R61" s="3">
        <v>2662</v>
      </c>
      <c r="S61" s="3">
        <v>26.3</v>
      </c>
      <c r="T61" s="7" t="s">
        <v>2078</v>
      </c>
      <c r="U61" t="s">
        <v>2300</v>
      </c>
      <c r="V61" s="19" t="s">
        <v>2354</v>
      </c>
      <c r="W61" s="7" t="s">
        <v>787</v>
      </c>
      <c r="X61" s="3" t="s">
        <v>2350</v>
      </c>
      <c r="Y61" s="7" t="s">
        <v>2000</v>
      </c>
      <c r="Z61" s="8" t="s">
        <v>2027</v>
      </c>
      <c r="AA61" s="3" t="s">
        <v>2374</v>
      </c>
      <c r="AB61" s="7" t="s">
        <v>787</v>
      </c>
      <c r="AC61" s="7" t="s">
        <v>763</v>
      </c>
      <c r="AD61" s="7" t="s">
        <v>763</v>
      </c>
      <c r="AE61" s="7" t="s">
        <v>763</v>
      </c>
      <c r="AF61" s="7" t="s">
        <v>763</v>
      </c>
      <c r="AG61" s="3" t="s">
        <v>2376</v>
      </c>
      <c r="AH61" s="8">
        <f>((161.7*1114)+(48.81*17.47)+(43.06*15.17)+(34.03*26.16))/(1144+26.16+17.47+15.17)</f>
        <v>151.75420327569003</v>
      </c>
      <c r="AI61" s="7">
        <f>AH61*AQ61</f>
        <v>182529.95569999999</v>
      </c>
      <c r="AJ61" s="8">
        <f t="shared" si="23"/>
        <v>669884.93741899997</v>
      </c>
      <c r="AK61" s="8">
        <f t="shared" si="24"/>
        <v>556.93792602178235</v>
      </c>
      <c r="AL61" s="33">
        <f>AN61+AO61</f>
        <v>88.442349669072144</v>
      </c>
      <c r="AM61" s="33">
        <f>AL61*AQ61</f>
        <v>106378.45818195998</v>
      </c>
      <c r="AN61" s="33">
        <f>AH61*0.47</f>
        <v>71.324475539574308</v>
      </c>
      <c r="AO61" s="33">
        <f>AN61*0.24</f>
        <v>17.117874129497835</v>
      </c>
      <c r="AP61" s="8" t="s">
        <v>2126</v>
      </c>
      <c r="AQ61" s="8">
        <f>1144+ 26.16+17.47+15.17</f>
        <v>1202.8000000000002</v>
      </c>
      <c r="AR61" s="33" t="s">
        <v>763</v>
      </c>
      <c r="AS61" s="8" t="s">
        <v>763</v>
      </c>
      <c r="AT61" s="8" t="s">
        <v>763</v>
      </c>
      <c r="AU61" s="8" t="s">
        <v>763</v>
      </c>
      <c r="AV61">
        <f t="shared" si="0"/>
        <v>1064.1735074626865</v>
      </c>
    </row>
    <row r="62" spans="1:48" x14ac:dyDescent="0.35">
      <c r="A62">
        <v>61</v>
      </c>
      <c r="B62" s="3">
        <v>47</v>
      </c>
      <c r="C62" t="s">
        <v>466</v>
      </c>
      <c r="D62" t="s">
        <v>468</v>
      </c>
      <c r="E62" s="7" t="s">
        <v>751</v>
      </c>
      <c r="F62" s="7">
        <v>2016</v>
      </c>
      <c r="G62" s="3" t="s">
        <v>1904</v>
      </c>
      <c r="H62" s="7" t="s">
        <v>753</v>
      </c>
      <c r="I62" s="7" t="s">
        <v>776</v>
      </c>
      <c r="J62" s="3">
        <v>1.517139</v>
      </c>
      <c r="K62" s="3">
        <v>103.667556</v>
      </c>
      <c r="L62" s="19" t="s">
        <v>1778</v>
      </c>
      <c r="M62" s="11">
        <v>1711191</v>
      </c>
      <c r="N62" s="11">
        <v>1608</v>
      </c>
      <c r="O62" s="19" t="s">
        <v>2327</v>
      </c>
      <c r="P62" s="7" t="s">
        <v>799</v>
      </c>
      <c r="Q62" s="3" t="s">
        <v>2340</v>
      </c>
      <c r="R62" s="3">
        <v>2662</v>
      </c>
      <c r="S62" s="3">
        <v>26.3</v>
      </c>
      <c r="T62" s="7" t="s">
        <v>2078</v>
      </c>
      <c r="U62" t="s">
        <v>2300</v>
      </c>
      <c r="V62" s="3" t="s">
        <v>2353</v>
      </c>
      <c r="W62" s="7" t="s">
        <v>787</v>
      </c>
      <c r="X62" s="3" t="s">
        <v>2350</v>
      </c>
      <c r="Y62" s="7" t="s">
        <v>2000</v>
      </c>
      <c r="Z62" s="8" t="s">
        <v>2027</v>
      </c>
      <c r="AA62" s="3" t="s">
        <v>2374</v>
      </c>
      <c r="AB62" s="7" t="s">
        <v>787</v>
      </c>
      <c r="AC62" s="7" t="s">
        <v>763</v>
      </c>
      <c r="AD62" s="7" t="s">
        <v>763</v>
      </c>
      <c r="AE62" s="7" t="s">
        <v>763</v>
      </c>
      <c r="AF62" s="7" t="s">
        <v>763</v>
      </c>
      <c r="AG62" s="3" t="s">
        <v>2376</v>
      </c>
      <c r="AH62" s="8">
        <v>52.1</v>
      </c>
      <c r="AI62" s="7">
        <v>437000</v>
      </c>
      <c r="AJ62" s="8">
        <f t="shared" si="23"/>
        <v>1603790</v>
      </c>
      <c r="AK62" s="8">
        <f t="shared" si="24"/>
        <v>191.33738964447625</v>
      </c>
      <c r="AL62" s="33">
        <f t="shared" ref="AL62:AL63" si="29">AN62+AO62</f>
        <v>30.363879999999998</v>
      </c>
      <c r="AM62" s="33">
        <f>AL62*AQ62</f>
        <v>254510.04215999998</v>
      </c>
      <c r="AN62" s="33">
        <f>AH62*0.47</f>
        <v>24.486999999999998</v>
      </c>
      <c r="AO62" s="33">
        <f t="shared" ref="AO62:AO63" si="30">AN62*0.24</f>
        <v>5.876879999999999</v>
      </c>
      <c r="AP62" s="8" t="s">
        <v>2124</v>
      </c>
      <c r="AQ62" s="49">
        <v>8382</v>
      </c>
      <c r="AR62" s="8" t="s">
        <v>763</v>
      </c>
      <c r="AS62" s="8" t="s">
        <v>763</v>
      </c>
      <c r="AT62" s="8" t="s">
        <v>763</v>
      </c>
      <c r="AU62" s="8" t="s">
        <v>763</v>
      </c>
      <c r="AV62">
        <f t="shared" si="0"/>
        <v>1064.1735074626865</v>
      </c>
    </row>
    <row r="63" spans="1:48" x14ac:dyDescent="0.35">
      <c r="A63">
        <v>62</v>
      </c>
      <c r="B63" s="3">
        <v>47</v>
      </c>
      <c r="C63" t="s">
        <v>466</v>
      </c>
      <c r="D63" t="s">
        <v>468</v>
      </c>
      <c r="E63" s="7" t="s">
        <v>751</v>
      </c>
      <c r="F63" s="7">
        <v>2016</v>
      </c>
      <c r="G63" s="3" t="s">
        <v>1904</v>
      </c>
      <c r="H63" s="7" t="s">
        <v>753</v>
      </c>
      <c r="I63" s="7" t="s">
        <v>776</v>
      </c>
      <c r="J63" s="3">
        <v>1.517139</v>
      </c>
      <c r="K63" s="3">
        <v>103.667556</v>
      </c>
      <c r="L63" s="19" t="s">
        <v>1778</v>
      </c>
      <c r="M63" s="11">
        <v>1711191</v>
      </c>
      <c r="N63" s="11">
        <v>1608</v>
      </c>
      <c r="O63" s="19" t="s">
        <v>2327</v>
      </c>
      <c r="P63" s="7" t="s">
        <v>799</v>
      </c>
      <c r="Q63" s="3" t="s">
        <v>2340</v>
      </c>
      <c r="R63" s="3">
        <v>2662</v>
      </c>
      <c r="S63" s="3">
        <v>26.3</v>
      </c>
      <c r="T63" s="7" t="s">
        <v>2078</v>
      </c>
      <c r="U63" t="s">
        <v>2300</v>
      </c>
      <c r="V63" s="3" t="s">
        <v>2356</v>
      </c>
      <c r="W63" s="7" t="s">
        <v>787</v>
      </c>
      <c r="X63" s="3" t="s">
        <v>2350</v>
      </c>
      <c r="Y63" s="7" t="s">
        <v>2000</v>
      </c>
      <c r="Z63" s="8" t="s">
        <v>2027</v>
      </c>
      <c r="AA63" s="3" t="s">
        <v>2374</v>
      </c>
      <c r="AB63" s="7" t="s">
        <v>787</v>
      </c>
      <c r="AC63" s="7" t="s">
        <v>763</v>
      </c>
      <c r="AD63" s="7" t="s">
        <v>763</v>
      </c>
      <c r="AE63" s="7" t="s">
        <v>763</v>
      </c>
      <c r="AF63" s="7" t="s">
        <v>763</v>
      </c>
      <c r="AG63" s="3" t="s">
        <v>2376</v>
      </c>
      <c r="AH63" s="8">
        <v>32.630000000000003</v>
      </c>
      <c r="AI63" s="8">
        <f>AH63*AQ63</f>
        <v>1458.2347</v>
      </c>
      <c r="AJ63" s="8">
        <f t="shared" si="23"/>
        <v>5351.7213489999995</v>
      </c>
      <c r="AK63" s="8">
        <f t="shared" si="24"/>
        <v>119.7521</v>
      </c>
      <c r="AL63" s="33">
        <f t="shared" si="29"/>
        <v>19.016763999999998</v>
      </c>
      <c r="AM63" s="33">
        <f>AL63*AQ63</f>
        <v>849.85918315999993</v>
      </c>
      <c r="AN63" s="33">
        <f>AH63*0.47</f>
        <v>15.3361</v>
      </c>
      <c r="AO63" s="33">
        <f t="shared" si="30"/>
        <v>3.6806639999999997</v>
      </c>
      <c r="AP63" s="8" t="s">
        <v>2125</v>
      </c>
      <c r="AQ63" s="8">
        <v>44.69</v>
      </c>
      <c r="AR63" s="8" t="s">
        <v>763</v>
      </c>
      <c r="AS63" s="8" t="s">
        <v>763</v>
      </c>
      <c r="AT63" s="8" t="s">
        <v>763</v>
      </c>
      <c r="AU63" s="8" t="s">
        <v>763</v>
      </c>
      <c r="AV63">
        <f t="shared" si="0"/>
        <v>1064.1735074626865</v>
      </c>
    </row>
    <row r="64" spans="1:48" s="3" customFormat="1" x14ac:dyDescent="0.35">
      <c r="A64" s="3">
        <v>63</v>
      </c>
      <c r="B64" s="3">
        <v>48</v>
      </c>
      <c r="C64" s="15" t="s">
        <v>476</v>
      </c>
      <c r="D64" s="3" t="s">
        <v>478</v>
      </c>
      <c r="E64" s="7" t="s">
        <v>751</v>
      </c>
      <c r="F64" s="7">
        <v>2023</v>
      </c>
      <c r="G64" s="3">
        <v>2021</v>
      </c>
      <c r="H64" s="7" t="s">
        <v>753</v>
      </c>
      <c r="I64" s="7" t="s">
        <v>754</v>
      </c>
      <c r="J64" s="3">
        <v>19.997499999999999</v>
      </c>
      <c r="K64" s="3">
        <v>73.789805999999999</v>
      </c>
      <c r="L64" s="33" t="s">
        <v>1431</v>
      </c>
      <c r="M64" s="11">
        <v>1486053</v>
      </c>
      <c r="N64" s="11">
        <v>5735</v>
      </c>
      <c r="O64" s="19" t="s">
        <v>2327</v>
      </c>
      <c r="P64" s="7" t="s">
        <v>756</v>
      </c>
      <c r="Q64" s="3" t="s">
        <v>2335</v>
      </c>
      <c r="R64" s="3">
        <v>1134</v>
      </c>
      <c r="S64" s="3">
        <v>24.1</v>
      </c>
      <c r="T64" s="3" t="s">
        <v>763</v>
      </c>
      <c r="U64" s="3" t="s">
        <v>2297</v>
      </c>
      <c r="V64" s="3" t="s">
        <v>2370</v>
      </c>
      <c r="W64" s="7" t="s">
        <v>787</v>
      </c>
      <c r="X64" s="3" t="s">
        <v>2348</v>
      </c>
      <c r="Y64" s="7" t="s">
        <v>764</v>
      </c>
      <c r="Z64" s="7" t="s">
        <v>2026</v>
      </c>
      <c r="AA64" s="3" t="s">
        <v>2374</v>
      </c>
      <c r="AB64" s="7" t="s">
        <v>787</v>
      </c>
      <c r="AC64" s="7">
        <v>223.32</v>
      </c>
      <c r="AD64" s="7">
        <f>AC64/AQ64</f>
        <v>16.077753779697623</v>
      </c>
      <c r="AE64" s="7">
        <f>AC64*3.67</f>
        <v>819.58439999999996</v>
      </c>
      <c r="AF64" s="7">
        <f>AD64*3.67</f>
        <v>59.005356371490279</v>
      </c>
      <c r="AG64" s="3" t="s">
        <v>2377</v>
      </c>
      <c r="AH64" s="7">
        <f>AI64/AQ64</f>
        <v>16.825773938084954</v>
      </c>
      <c r="AI64" s="7">
        <v>233.71</v>
      </c>
      <c r="AJ64" s="7">
        <f t="shared" si="23"/>
        <v>857.71569999999997</v>
      </c>
      <c r="AK64" s="7">
        <f t="shared" si="24"/>
        <v>61.750590352771773</v>
      </c>
      <c r="AL64" s="7">
        <f>AM64/AQ64</f>
        <v>33.651979841612672</v>
      </c>
      <c r="AM64" s="7">
        <v>467.42599999999999</v>
      </c>
      <c r="AN64" s="7">
        <v>431.47649999999999</v>
      </c>
      <c r="AO64" s="7">
        <v>35.950299999999999</v>
      </c>
      <c r="AP64" s="3" t="s">
        <v>1438</v>
      </c>
      <c r="AQ64" s="3">
        <v>13.89</v>
      </c>
      <c r="AR64" s="7" t="s">
        <v>763</v>
      </c>
      <c r="AS64" s="7" t="s">
        <v>763</v>
      </c>
      <c r="AT64" s="3">
        <f>765/AQ64</f>
        <v>55.0755939524838</v>
      </c>
      <c r="AU64" s="7" t="s">
        <v>763</v>
      </c>
      <c r="AV64">
        <f t="shared" si="0"/>
        <v>259.11996512641673</v>
      </c>
    </row>
    <row r="65" spans="1:48" x14ac:dyDescent="0.35">
      <c r="A65">
        <v>64</v>
      </c>
      <c r="B65" s="3">
        <v>49</v>
      </c>
      <c r="C65" t="s">
        <v>481</v>
      </c>
      <c r="D65" t="s">
        <v>483</v>
      </c>
      <c r="E65" s="7" t="s">
        <v>751</v>
      </c>
      <c r="F65" s="7">
        <v>2022</v>
      </c>
      <c r="G65" s="3" t="s">
        <v>763</v>
      </c>
      <c r="H65" s="7" t="s">
        <v>753</v>
      </c>
      <c r="I65" s="7" t="s">
        <v>754</v>
      </c>
      <c r="J65" s="3">
        <v>11.016667</v>
      </c>
      <c r="K65" s="3">
        <v>76.966667000000001</v>
      </c>
      <c r="L65" s="33" t="s">
        <v>1441</v>
      </c>
      <c r="M65" s="11">
        <v>3458045</v>
      </c>
      <c r="N65">
        <v>730.8</v>
      </c>
      <c r="O65" s="19" t="s">
        <v>2327</v>
      </c>
      <c r="P65" s="7" t="s">
        <v>756</v>
      </c>
      <c r="Q65" s="3" t="s">
        <v>2335</v>
      </c>
      <c r="R65">
        <v>618</v>
      </c>
      <c r="S65">
        <v>29.5</v>
      </c>
      <c r="T65" s="3" t="s">
        <v>763</v>
      </c>
      <c r="U65" t="s">
        <v>2300</v>
      </c>
      <c r="V65" s="3" t="s">
        <v>2356</v>
      </c>
      <c r="W65" s="7" t="s">
        <v>787</v>
      </c>
      <c r="X65" s="3" t="s">
        <v>2348</v>
      </c>
      <c r="Y65" s="7" t="s">
        <v>2005</v>
      </c>
      <c r="Z65" s="7" t="s">
        <v>2027</v>
      </c>
      <c r="AA65" s="3" t="s">
        <v>2374</v>
      </c>
      <c r="AB65" s="7" t="s">
        <v>787</v>
      </c>
      <c r="AC65" s="7">
        <v>8.0894899999999996</v>
      </c>
      <c r="AD65" s="7" t="s">
        <v>763</v>
      </c>
      <c r="AE65" s="7">
        <f>AC65*3.67</f>
        <v>29.688428299999998</v>
      </c>
      <c r="AF65" s="7" t="s">
        <v>763</v>
      </c>
      <c r="AG65" s="3" t="s">
        <v>2377</v>
      </c>
      <c r="AH65" s="7" t="s">
        <v>763</v>
      </c>
      <c r="AI65" s="7">
        <v>81.273880000000005</v>
      </c>
      <c r="AJ65" s="7">
        <v>297.89400000000001</v>
      </c>
      <c r="AK65" s="7" t="s">
        <v>763</v>
      </c>
      <c r="AL65" s="7" t="s">
        <v>763</v>
      </c>
      <c r="AM65" s="7">
        <v>162.54776000000001</v>
      </c>
      <c r="AN65" s="35" t="s">
        <v>2240</v>
      </c>
      <c r="AO65" s="35" t="s">
        <v>2241</v>
      </c>
      <c r="AP65" s="32" t="s">
        <v>763</v>
      </c>
      <c r="AQ65" s="32" t="s">
        <v>763</v>
      </c>
      <c r="AR65" s="8" t="s">
        <v>763</v>
      </c>
      <c r="AS65" s="8" t="s">
        <v>2287</v>
      </c>
      <c r="AT65" s="3" t="s">
        <v>763</v>
      </c>
      <c r="AU65" s="8" t="s">
        <v>763</v>
      </c>
      <c r="AV65">
        <f t="shared" si="0"/>
        <v>4731.8623426382046</v>
      </c>
    </row>
    <row r="66" spans="1:48" x14ac:dyDescent="0.35">
      <c r="A66">
        <v>65</v>
      </c>
      <c r="B66" s="3">
        <v>50</v>
      </c>
      <c r="C66" t="s">
        <v>486</v>
      </c>
      <c r="D66" t="s">
        <v>488</v>
      </c>
      <c r="E66" s="7" t="s">
        <v>751</v>
      </c>
      <c r="F66" s="7">
        <v>2018</v>
      </c>
      <c r="G66" s="3" t="s">
        <v>1905</v>
      </c>
      <c r="H66" s="7" t="s">
        <v>753</v>
      </c>
      <c r="I66" s="7" t="s">
        <v>754</v>
      </c>
      <c r="J66" s="3">
        <v>4.6626940000000001</v>
      </c>
      <c r="K66" s="3">
        <v>9.3976749999999996</v>
      </c>
      <c r="L66" s="33" t="s">
        <v>1456</v>
      </c>
      <c r="M66" s="11">
        <v>144268</v>
      </c>
      <c r="N66" s="52">
        <f>(158+271.5)/2</f>
        <v>214.75</v>
      </c>
      <c r="O66" s="33" t="s">
        <v>2326</v>
      </c>
      <c r="P66" s="7" t="s">
        <v>1457</v>
      </c>
      <c r="Q66" s="3" t="s">
        <v>2339</v>
      </c>
      <c r="R66">
        <v>3500</v>
      </c>
      <c r="S66">
        <v>29.5</v>
      </c>
      <c r="T66" s="7" t="s">
        <v>2078</v>
      </c>
      <c r="U66" t="s">
        <v>2300</v>
      </c>
      <c r="V66" s="19" t="s">
        <v>2354</v>
      </c>
      <c r="W66" s="7" t="s">
        <v>787</v>
      </c>
      <c r="X66" s="3" t="s">
        <v>2346</v>
      </c>
      <c r="Y66" s="7" t="s">
        <v>764</v>
      </c>
      <c r="Z66" s="7" t="s">
        <v>2031</v>
      </c>
      <c r="AA66" s="3" t="s">
        <v>2374</v>
      </c>
      <c r="AB66" s="7" t="s">
        <v>787</v>
      </c>
      <c r="AC66" s="7" t="s">
        <v>763</v>
      </c>
      <c r="AD66" s="7" t="s">
        <v>763</v>
      </c>
      <c r="AE66" s="7" t="s">
        <v>763</v>
      </c>
      <c r="AF66" s="7" t="s">
        <v>763</v>
      </c>
      <c r="AG66" s="3" t="s">
        <v>2376</v>
      </c>
      <c r="AH66" s="7">
        <v>79.48</v>
      </c>
      <c r="AI66" s="7">
        <f>AH66*AQ66</f>
        <v>253064.32000000001</v>
      </c>
      <c r="AJ66" s="7">
        <f>AI66*3.67</f>
        <v>928746.05440000002</v>
      </c>
      <c r="AK66" s="7">
        <f t="shared" ref="AK66:AK74" si="31">AH66*3.67</f>
        <v>291.69159999999999</v>
      </c>
      <c r="AL66" s="33">
        <f t="shared" ref="AL66:AL67" si="32">AN66+AO66</f>
        <v>197.37079999999997</v>
      </c>
      <c r="AM66" s="33">
        <f>AL66*AQ66</f>
        <v>628428.62719999987</v>
      </c>
      <c r="AN66" s="7">
        <v>159.16999999999999</v>
      </c>
      <c r="AO66" s="33">
        <f>AN66*0.24</f>
        <v>38.200799999999994</v>
      </c>
      <c r="AP66">
        <v>3184</v>
      </c>
      <c r="AQ66">
        <v>3184</v>
      </c>
      <c r="AR66" s="8" t="s">
        <v>763</v>
      </c>
      <c r="AS66" s="8" t="s">
        <v>2288</v>
      </c>
      <c r="AT66">
        <f>277/AQ66</f>
        <v>8.6997487437185925E-2</v>
      </c>
      <c r="AU66" s="8" t="s">
        <v>763</v>
      </c>
      <c r="AV66">
        <f t="shared" si="0"/>
        <v>671.79511059371362</v>
      </c>
    </row>
    <row r="67" spans="1:48" x14ac:dyDescent="0.35">
      <c r="A67">
        <v>66</v>
      </c>
      <c r="B67" s="3">
        <v>51</v>
      </c>
      <c r="C67" t="s">
        <v>516</v>
      </c>
      <c r="D67" t="s">
        <v>518</v>
      </c>
      <c r="E67" s="7" t="s">
        <v>751</v>
      </c>
      <c r="F67" s="7">
        <v>2021</v>
      </c>
      <c r="G67" s="3">
        <v>2017</v>
      </c>
      <c r="H67" s="7" t="s">
        <v>753</v>
      </c>
      <c r="I67" s="7" t="s">
        <v>754</v>
      </c>
      <c r="J67" s="3">
        <v>18.428277999999999</v>
      </c>
      <c r="K67" s="3">
        <v>-66.037861000000007</v>
      </c>
      <c r="L67" s="33" t="s">
        <v>1858</v>
      </c>
      <c r="M67" s="11">
        <v>342259</v>
      </c>
      <c r="N67" s="11">
        <v>1850</v>
      </c>
      <c r="O67" s="33" t="s">
        <v>2328</v>
      </c>
      <c r="P67" s="7" t="s">
        <v>1502</v>
      </c>
      <c r="Q67" s="3" t="s">
        <v>2339</v>
      </c>
      <c r="R67" s="3">
        <v>1431.3</v>
      </c>
      <c r="S67" s="3">
        <v>27.2</v>
      </c>
      <c r="T67" s="3" t="s">
        <v>763</v>
      </c>
      <c r="U67" t="s">
        <v>2303</v>
      </c>
      <c r="V67" s="19" t="s">
        <v>2354</v>
      </c>
      <c r="W67" s="7" t="s">
        <v>787</v>
      </c>
      <c r="X67" s="3" t="s">
        <v>2346</v>
      </c>
      <c r="Y67" s="7" t="s">
        <v>764</v>
      </c>
      <c r="Z67" s="7" t="s">
        <v>2031</v>
      </c>
      <c r="AA67" s="3" t="s">
        <v>2374</v>
      </c>
      <c r="AB67" s="7" t="s">
        <v>787</v>
      </c>
      <c r="AC67" s="7">
        <f>AD67*AQ67</f>
        <v>7727.2</v>
      </c>
      <c r="AD67" s="7">
        <v>5.2</v>
      </c>
      <c r="AE67" s="7">
        <f>AC67*3.67</f>
        <v>28358.824000000001</v>
      </c>
      <c r="AF67" s="7">
        <f>AD67*3.67</f>
        <v>19.084</v>
      </c>
      <c r="AG67" s="3" t="s">
        <v>2376</v>
      </c>
      <c r="AH67" s="7">
        <v>90.1</v>
      </c>
      <c r="AI67" s="7">
        <v>208308</v>
      </c>
      <c r="AJ67" s="7">
        <f>AI67*3.67</f>
        <v>764490.36</v>
      </c>
      <c r="AK67" s="7">
        <f t="shared" si="31"/>
        <v>330.66699999999997</v>
      </c>
      <c r="AL67" s="33">
        <f t="shared" si="32"/>
        <v>237.71063829787235</v>
      </c>
      <c r="AM67" s="33">
        <f>AL67*AQ67</f>
        <v>353238.00851063832</v>
      </c>
      <c r="AN67" s="33">
        <f>AH67/0.47</f>
        <v>191.70212765957447</v>
      </c>
      <c r="AO67" s="33">
        <f>AN67*0.24</f>
        <v>46.008510638297871</v>
      </c>
      <c r="AP67" s="8">
        <v>1486</v>
      </c>
      <c r="AQ67" s="8">
        <v>1486</v>
      </c>
      <c r="AR67" s="8">
        <v>47</v>
      </c>
      <c r="AS67" s="8" t="s">
        <v>2289</v>
      </c>
      <c r="AT67">
        <f>5000000/AQ67</f>
        <v>3364.7375504710631</v>
      </c>
      <c r="AU67" s="8" t="s">
        <v>763</v>
      </c>
      <c r="AV67">
        <f t="shared" ref="AV67:AV116" si="33">M67/N67</f>
        <v>185.00486486486486</v>
      </c>
    </row>
    <row r="68" spans="1:48" x14ac:dyDescent="0.35">
      <c r="A68">
        <v>67</v>
      </c>
      <c r="B68" s="3">
        <v>52</v>
      </c>
      <c r="C68" t="s">
        <v>521</v>
      </c>
      <c r="D68" t="s">
        <v>523</v>
      </c>
      <c r="E68" s="7" t="s">
        <v>751</v>
      </c>
      <c r="F68" s="7">
        <v>2014</v>
      </c>
      <c r="G68" s="3">
        <v>2010</v>
      </c>
      <c r="H68" s="7" t="s">
        <v>753</v>
      </c>
      <c r="I68" s="7" t="s">
        <v>754</v>
      </c>
      <c r="J68" s="3">
        <v>1.5100750000000001</v>
      </c>
      <c r="K68" s="3">
        <v>103.632458</v>
      </c>
      <c r="L68" s="33" t="s">
        <v>1778</v>
      </c>
      <c r="M68" s="11">
        <v>1711191</v>
      </c>
      <c r="N68" s="11">
        <v>1608</v>
      </c>
      <c r="O68" s="33" t="s">
        <v>2327</v>
      </c>
      <c r="P68" s="8" t="s">
        <v>799</v>
      </c>
      <c r="Q68" s="3" t="s">
        <v>2340</v>
      </c>
      <c r="R68" s="3">
        <v>2662</v>
      </c>
      <c r="S68" s="3">
        <v>28</v>
      </c>
      <c r="T68" s="3" t="s">
        <v>763</v>
      </c>
      <c r="U68" t="s">
        <v>2300</v>
      </c>
      <c r="V68" s="19" t="s">
        <v>2354</v>
      </c>
      <c r="W68" s="7" t="s">
        <v>762</v>
      </c>
      <c r="X68" s="3" t="s">
        <v>2348</v>
      </c>
      <c r="Y68" s="7" t="s">
        <v>2002</v>
      </c>
      <c r="Z68" t="s">
        <v>2031</v>
      </c>
      <c r="AA68" s="3" t="s">
        <v>2374</v>
      </c>
      <c r="AB68" s="7" t="s">
        <v>787</v>
      </c>
      <c r="AC68" s="7" t="s">
        <v>763</v>
      </c>
      <c r="AD68" s="7" t="s">
        <v>763</v>
      </c>
      <c r="AE68" s="7" t="s">
        <v>763</v>
      </c>
      <c r="AF68" s="7" t="s">
        <v>763</v>
      </c>
      <c r="AG68" s="3" t="s">
        <v>2376</v>
      </c>
      <c r="AH68" s="7">
        <v>70</v>
      </c>
      <c r="AI68" s="7">
        <f>AH68*AQ68</f>
        <v>1750</v>
      </c>
      <c r="AJ68" s="7">
        <f>AI68*3.67</f>
        <v>6422.5</v>
      </c>
      <c r="AK68" s="7">
        <f t="shared" si="31"/>
        <v>256.89999999999998</v>
      </c>
      <c r="AL68" s="7">
        <f>AH68/0.47</f>
        <v>148.93617021276597</v>
      </c>
      <c r="AM68" s="7">
        <f>AI68/0.47</f>
        <v>3723.4042553191493</v>
      </c>
      <c r="AN68" s="3">
        <f>AH68/1.24</f>
        <v>56.451612903225808</v>
      </c>
      <c r="AO68" s="3">
        <f t="shared" ref="AO68:AO69" si="34">AN68*0.24</f>
        <v>13.548387096774194</v>
      </c>
      <c r="AP68" t="s">
        <v>1518</v>
      </c>
      <c r="AQ68">
        <v>25</v>
      </c>
      <c r="AR68" s="8" t="s">
        <v>763</v>
      </c>
      <c r="AS68" s="8" t="s">
        <v>2021</v>
      </c>
      <c r="AT68" t="s">
        <v>763</v>
      </c>
      <c r="AU68" s="8" t="s">
        <v>763</v>
      </c>
      <c r="AV68">
        <f t="shared" si="33"/>
        <v>1064.1735074626865</v>
      </c>
    </row>
    <row r="69" spans="1:48" x14ac:dyDescent="0.35">
      <c r="A69">
        <v>68</v>
      </c>
      <c r="B69" s="3">
        <v>53</v>
      </c>
      <c r="C69" t="s">
        <v>535</v>
      </c>
      <c r="D69" t="s">
        <v>537</v>
      </c>
      <c r="E69" s="7" t="s">
        <v>751</v>
      </c>
      <c r="F69" s="7">
        <v>2025</v>
      </c>
      <c r="G69" s="4" t="s">
        <v>1534</v>
      </c>
      <c r="H69" s="7" t="s">
        <v>795</v>
      </c>
      <c r="I69" s="7" t="s">
        <v>754</v>
      </c>
      <c r="J69" s="3">
        <v>22.410833</v>
      </c>
      <c r="K69" s="3">
        <v>88.188610999999995</v>
      </c>
      <c r="L69" s="19" t="s">
        <v>1538</v>
      </c>
      <c r="M69" s="11">
        <v>4496694</v>
      </c>
      <c r="N69" s="11">
        <v>24306</v>
      </c>
      <c r="O69" s="19" t="s">
        <v>2327</v>
      </c>
      <c r="P69" s="8" t="s">
        <v>756</v>
      </c>
      <c r="Q69" s="3" t="s">
        <v>2335</v>
      </c>
      <c r="R69" s="3">
        <v>1656</v>
      </c>
      <c r="S69" s="3">
        <v>26</v>
      </c>
      <c r="T69" s="3" t="s">
        <v>1016</v>
      </c>
      <c r="U69" t="s">
        <v>2300</v>
      </c>
      <c r="V69" s="19" t="s">
        <v>2354</v>
      </c>
      <c r="W69" s="7" t="s">
        <v>762</v>
      </c>
      <c r="X69" s="3" t="s">
        <v>2350</v>
      </c>
      <c r="Y69" s="7" t="s">
        <v>1541</v>
      </c>
      <c r="Z69" t="s">
        <v>1744</v>
      </c>
      <c r="AA69" s="3" t="s">
        <v>2372</v>
      </c>
      <c r="AB69" s="7" t="s">
        <v>762</v>
      </c>
      <c r="AC69" s="7">
        <f>AD69*AQ69</f>
        <v>7654.0708446866483</v>
      </c>
      <c r="AD69" s="7">
        <f>AF69/3.67</f>
        <v>6.0940054495912804E-2</v>
      </c>
      <c r="AE69" s="7">
        <f>AF69*AQ69</f>
        <v>28090.44</v>
      </c>
      <c r="AF69" s="7">
        <v>0.22364999999999999</v>
      </c>
      <c r="AG69" s="3" t="s">
        <v>2377</v>
      </c>
      <c r="AH69" s="7">
        <f>AI69/AQ69</f>
        <v>39.933443501090132</v>
      </c>
      <c r="AI69" s="7">
        <f>((1992*6039109)+(2022*4007357))/(1992+2022)</f>
        <v>5015640.5037369207</v>
      </c>
      <c r="AJ69" s="7">
        <f>AI69*3.67</f>
        <v>18407400.648714498</v>
      </c>
      <c r="AK69" s="7">
        <f t="shared" si="31"/>
        <v>146.55573764900078</v>
      </c>
      <c r="AL69" s="7">
        <f>AH69/0.47</f>
        <v>84.96477340657475</v>
      </c>
      <c r="AM69" s="7">
        <f>AI69/0.47</f>
        <v>10671575.53986579</v>
      </c>
      <c r="AN69" s="3">
        <f t="shared" ref="AN69" si="35">AH69/1.24</f>
        <v>32.204389920233979</v>
      </c>
      <c r="AO69" s="3">
        <f t="shared" si="34"/>
        <v>7.7290535808561547</v>
      </c>
      <c r="AP69" t="s">
        <v>2199</v>
      </c>
      <c r="AQ69">
        <v>125600</v>
      </c>
      <c r="AR69" s="8" t="s">
        <v>763</v>
      </c>
      <c r="AS69" s="8" t="s">
        <v>763</v>
      </c>
      <c r="AT69" s="8" t="s">
        <v>763</v>
      </c>
      <c r="AU69" s="8">
        <f>AQ69*0.455</f>
        <v>57148</v>
      </c>
      <c r="AV69">
        <f t="shared" si="33"/>
        <v>185.00345593680572</v>
      </c>
    </row>
    <row r="70" spans="1:48" x14ac:dyDescent="0.35">
      <c r="A70">
        <v>69</v>
      </c>
      <c r="B70" s="3">
        <v>54</v>
      </c>
      <c r="C70" t="s">
        <v>544</v>
      </c>
      <c r="D70" t="s">
        <v>546</v>
      </c>
      <c r="E70" s="7" t="s">
        <v>751</v>
      </c>
      <c r="F70" s="7">
        <v>2014</v>
      </c>
      <c r="G70" s="3" t="s">
        <v>763</v>
      </c>
      <c r="H70" s="7" t="s">
        <v>753</v>
      </c>
      <c r="I70" s="7" t="s">
        <v>754</v>
      </c>
      <c r="J70" s="3">
        <v>22.866667</v>
      </c>
      <c r="K70" s="3">
        <v>113.841667</v>
      </c>
      <c r="L70" s="19" t="s">
        <v>1550</v>
      </c>
      <c r="M70" s="11">
        <v>10466625</v>
      </c>
      <c r="N70" s="11">
        <v>4246</v>
      </c>
      <c r="O70" s="19" t="s">
        <v>2327</v>
      </c>
      <c r="P70" s="8" t="s">
        <v>1546</v>
      </c>
      <c r="Q70" s="3" t="s">
        <v>2333</v>
      </c>
      <c r="R70" s="3">
        <v>1956</v>
      </c>
      <c r="S70" s="3">
        <v>20.3</v>
      </c>
      <c r="T70" s="3" t="s">
        <v>763</v>
      </c>
      <c r="U70" t="s">
        <v>2300</v>
      </c>
      <c r="V70" s="3" t="s">
        <v>2356</v>
      </c>
      <c r="W70" s="7" t="s">
        <v>787</v>
      </c>
      <c r="X70" s="3" t="s">
        <v>2348</v>
      </c>
      <c r="Y70" s="7" t="s">
        <v>764</v>
      </c>
      <c r="Z70" s="7" t="s">
        <v>2026</v>
      </c>
      <c r="AA70" s="3" t="s">
        <v>2374</v>
      </c>
      <c r="AB70" s="7" t="s">
        <v>787</v>
      </c>
      <c r="AC70" s="7" t="s">
        <v>763</v>
      </c>
      <c r="AD70" s="7" t="s">
        <v>763</v>
      </c>
      <c r="AE70" s="7" t="s">
        <v>763</v>
      </c>
      <c r="AF70" s="7" t="s">
        <v>763</v>
      </c>
      <c r="AG70" s="3" t="s">
        <v>2376</v>
      </c>
      <c r="AH70" s="7">
        <v>125</v>
      </c>
      <c r="AI70" s="7" t="s">
        <v>763</v>
      </c>
      <c r="AJ70" s="7" t="s">
        <v>763</v>
      </c>
      <c r="AK70" s="7">
        <f t="shared" si="31"/>
        <v>458.75</v>
      </c>
      <c r="AL70" s="33">
        <f t="shared" ref="AL70:AL73" si="36">AN70+AO70</f>
        <v>310</v>
      </c>
      <c r="AM70" s="33" t="s">
        <v>763</v>
      </c>
      <c r="AN70" s="7">
        <v>250</v>
      </c>
      <c r="AO70" s="33">
        <f t="shared" ref="AO70:AO73" si="37">AN70*0.24</f>
        <v>60</v>
      </c>
      <c r="AP70" t="s">
        <v>763</v>
      </c>
      <c r="AQ70" t="s">
        <v>763</v>
      </c>
      <c r="AR70" s="8" t="s">
        <v>763</v>
      </c>
      <c r="AS70" s="8" t="s">
        <v>2293</v>
      </c>
      <c r="AT70" s="8">
        <v>1450</v>
      </c>
      <c r="AU70" s="8" t="s">
        <v>763</v>
      </c>
      <c r="AV70">
        <f t="shared" si="33"/>
        <v>2465.0553462081962</v>
      </c>
    </row>
    <row r="71" spans="1:48" x14ac:dyDescent="0.35">
      <c r="A71">
        <v>70</v>
      </c>
      <c r="B71" s="3">
        <v>54</v>
      </c>
      <c r="C71" t="s">
        <v>544</v>
      </c>
      <c r="D71" t="s">
        <v>546</v>
      </c>
      <c r="E71" s="7" t="s">
        <v>751</v>
      </c>
      <c r="F71" s="7">
        <v>2014</v>
      </c>
      <c r="G71" s="3" t="s">
        <v>763</v>
      </c>
      <c r="H71" s="7" t="s">
        <v>753</v>
      </c>
      <c r="I71" s="7" t="s">
        <v>754</v>
      </c>
      <c r="J71" s="3">
        <v>22.866667</v>
      </c>
      <c r="K71" s="3">
        <v>113.841667</v>
      </c>
      <c r="L71" s="19" t="s">
        <v>1550</v>
      </c>
      <c r="M71" s="11">
        <v>10466625</v>
      </c>
      <c r="N71" s="11">
        <v>4246</v>
      </c>
      <c r="O71" s="19" t="s">
        <v>2327</v>
      </c>
      <c r="P71" s="8" t="s">
        <v>1546</v>
      </c>
      <c r="Q71" s="3" t="s">
        <v>2333</v>
      </c>
      <c r="R71" s="3">
        <v>1956</v>
      </c>
      <c r="S71" s="3">
        <v>20.3</v>
      </c>
      <c r="T71" s="3" t="s">
        <v>763</v>
      </c>
      <c r="U71" t="s">
        <v>2300</v>
      </c>
      <c r="V71" s="3" t="s">
        <v>2356</v>
      </c>
      <c r="W71" s="7" t="s">
        <v>787</v>
      </c>
      <c r="X71" s="3" t="s">
        <v>2346</v>
      </c>
      <c r="Y71" s="7" t="s">
        <v>764</v>
      </c>
      <c r="Z71" s="7" t="s">
        <v>2026</v>
      </c>
      <c r="AA71" s="3" t="s">
        <v>2374</v>
      </c>
      <c r="AB71" s="7" t="s">
        <v>787</v>
      </c>
      <c r="AC71" s="7" t="s">
        <v>763</v>
      </c>
      <c r="AD71" s="7" t="s">
        <v>763</v>
      </c>
      <c r="AE71" s="7" t="s">
        <v>763</v>
      </c>
      <c r="AF71" s="7" t="s">
        <v>763</v>
      </c>
      <c r="AG71" s="3" t="s">
        <v>2376</v>
      </c>
      <c r="AH71" s="7">
        <v>174.5</v>
      </c>
      <c r="AI71" s="7" t="s">
        <v>763</v>
      </c>
      <c r="AJ71" s="7" t="s">
        <v>763</v>
      </c>
      <c r="AK71" s="7">
        <f t="shared" si="31"/>
        <v>640.41499999999996</v>
      </c>
      <c r="AL71" s="33">
        <f t="shared" si="36"/>
        <v>446.4</v>
      </c>
      <c r="AM71" s="33" t="s">
        <v>763</v>
      </c>
      <c r="AN71" s="7">
        <v>360</v>
      </c>
      <c r="AO71" s="33">
        <f t="shared" si="37"/>
        <v>86.399999999999991</v>
      </c>
      <c r="AP71" t="s">
        <v>763</v>
      </c>
      <c r="AQ71" t="s">
        <v>763</v>
      </c>
      <c r="AR71" s="8" t="s">
        <v>763</v>
      </c>
      <c r="AS71" s="8" t="s">
        <v>2293</v>
      </c>
      <c r="AT71" s="7">
        <f>(2175+1500)/2</f>
        <v>1837.5</v>
      </c>
      <c r="AU71" s="8" t="s">
        <v>763</v>
      </c>
      <c r="AV71">
        <f t="shared" si="33"/>
        <v>2465.0553462081962</v>
      </c>
    </row>
    <row r="72" spans="1:48" x14ac:dyDescent="0.35">
      <c r="A72">
        <v>71</v>
      </c>
      <c r="B72" s="3">
        <v>54</v>
      </c>
      <c r="C72" t="s">
        <v>544</v>
      </c>
      <c r="D72" t="s">
        <v>546</v>
      </c>
      <c r="E72" s="7" t="s">
        <v>751</v>
      </c>
      <c r="F72" s="7">
        <v>2014</v>
      </c>
      <c r="G72" s="3" t="s">
        <v>763</v>
      </c>
      <c r="H72" s="7" t="s">
        <v>753</v>
      </c>
      <c r="I72" s="7" t="s">
        <v>754</v>
      </c>
      <c r="J72" s="3">
        <v>22.866667</v>
      </c>
      <c r="K72" s="3">
        <v>113.841667</v>
      </c>
      <c r="L72" s="19" t="s">
        <v>1550</v>
      </c>
      <c r="M72" s="11">
        <v>10466625</v>
      </c>
      <c r="N72" s="11">
        <v>4246</v>
      </c>
      <c r="O72" s="19" t="s">
        <v>2327</v>
      </c>
      <c r="P72" s="8" t="s">
        <v>1546</v>
      </c>
      <c r="Q72" s="3" t="s">
        <v>2333</v>
      </c>
      <c r="R72" s="3">
        <v>1956</v>
      </c>
      <c r="S72" s="3">
        <v>20.3</v>
      </c>
      <c r="T72" s="3" t="s">
        <v>763</v>
      </c>
      <c r="U72" t="s">
        <v>2300</v>
      </c>
      <c r="V72" s="3" t="s">
        <v>2356</v>
      </c>
      <c r="W72" s="7" t="s">
        <v>787</v>
      </c>
      <c r="X72" s="19" t="s">
        <v>2347</v>
      </c>
      <c r="Y72" s="7" t="s">
        <v>764</v>
      </c>
      <c r="Z72" s="7" t="s">
        <v>2026</v>
      </c>
      <c r="AA72" s="3" t="s">
        <v>2374</v>
      </c>
      <c r="AB72" s="7" t="s">
        <v>787</v>
      </c>
      <c r="AC72" s="7" t="s">
        <v>763</v>
      </c>
      <c r="AD72" s="7" t="s">
        <v>763</v>
      </c>
      <c r="AE72" s="7" t="s">
        <v>763</v>
      </c>
      <c r="AF72" s="7" t="s">
        <v>763</v>
      </c>
      <c r="AG72" s="3" t="s">
        <v>2376</v>
      </c>
      <c r="AH72" s="7">
        <v>90</v>
      </c>
      <c r="AI72" s="7" t="s">
        <v>763</v>
      </c>
      <c r="AJ72" s="7" t="s">
        <v>763</v>
      </c>
      <c r="AK72" s="7">
        <f t="shared" si="31"/>
        <v>330.3</v>
      </c>
      <c r="AL72" s="33">
        <f t="shared" si="36"/>
        <v>223.2</v>
      </c>
      <c r="AM72" s="33" t="s">
        <v>763</v>
      </c>
      <c r="AN72" s="7">
        <v>180</v>
      </c>
      <c r="AO72" s="33">
        <f t="shared" si="37"/>
        <v>43.199999999999996</v>
      </c>
      <c r="AP72" t="s">
        <v>763</v>
      </c>
      <c r="AQ72" t="s">
        <v>763</v>
      </c>
      <c r="AR72" s="8" t="s">
        <v>763</v>
      </c>
      <c r="AS72" s="8" t="s">
        <v>2293</v>
      </c>
      <c r="AT72" s="8">
        <v>3050</v>
      </c>
      <c r="AU72" s="8" t="s">
        <v>763</v>
      </c>
      <c r="AV72">
        <f t="shared" si="33"/>
        <v>2465.0553462081962</v>
      </c>
    </row>
    <row r="73" spans="1:48" x14ac:dyDescent="0.35">
      <c r="A73">
        <v>72</v>
      </c>
      <c r="B73" s="3">
        <v>55</v>
      </c>
      <c r="C73" t="s">
        <v>554</v>
      </c>
      <c r="D73" t="s">
        <v>556</v>
      </c>
      <c r="E73" s="7" t="s">
        <v>751</v>
      </c>
      <c r="F73" s="7">
        <v>2018</v>
      </c>
      <c r="G73" s="3">
        <v>2014</v>
      </c>
      <c r="H73" s="7" t="s">
        <v>753</v>
      </c>
      <c r="I73" s="7" t="s">
        <v>754</v>
      </c>
      <c r="J73" s="3">
        <v>6.6833330000000002</v>
      </c>
      <c r="K73" s="3">
        <v>-1.6166670000000001</v>
      </c>
      <c r="L73" s="19" t="s">
        <v>1554</v>
      </c>
      <c r="M73" s="33">
        <v>2500000</v>
      </c>
      <c r="N73" s="54">
        <v>8000</v>
      </c>
      <c r="O73" s="19" t="s">
        <v>2326</v>
      </c>
      <c r="P73" s="8" t="s">
        <v>1325</v>
      </c>
      <c r="Q73" s="3" t="s">
        <v>2335</v>
      </c>
      <c r="R73" s="8">
        <v>1250</v>
      </c>
      <c r="S73" s="28">
        <v>26.4</v>
      </c>
      <c r="T73" s="3" t="s">
        <v>763</v>
      </c>
      <c r="U73" t="s">
        <v>2300</v>
      </c>
      <c r="V73" s="3" t="s">
        <v>2370</v>
      </c>
      <c r="W73" s="7" t="s">
        <v>787</v>
      </c>
      <c r="X73" s="3" t="s">
        <v>2350</v>
      </c>
      <c r="Y73" s="7" t="s">
        <v>764</v>
      </c>
      <c r="Z73" s="7" t="s">
        <v>2026</v>
      </c>
      <c r="AA73" s="3" t="s">
        <v>2374</v>
      </c>
      <c r="AB73" s="7" t="s">
        <v>787</v>
      </c>
      <c r="AC73" s="7" t="s">
        <v>763</v>
      </c>
      <c r="AD73" s="7" t="s">
        <v>763</v>
      </c>
      <c r="AE73" s="7" t="s">
        <v>763</v>
      </c>
      <c r="AF73" s="7" t="s">
        <v>763</v>
      </c>
      <c r="AG73" s="3" t="s">
        <v>2376</v>
      </c>
      <c r="AH73" s="7">
        <v>228</v>
      </c>
      <c r="AI73" s="7">
        <v>1200000</v>
      </c>
      <c r="AJ73" s="7">
        <f>AI73*3.67</f>
        <v>4404000</v>
      </c>
      <c r="AK73" s="7">
        <f t="shared" si="31"/>
        <v>836.76</v>
      </c>
      <c r="AL73" s="52">
        <f t="shared" si="36"/>
        <v>123.51181102362204</v>
      </c>
      <c r="AM73" s="33">
        <f>AL73*AQ73</f>
        <v>3137200</v>
      </c>
      <c r="AN73" s="7">
        <f>2530000/AQ73</f>
        <v>99.606299212598429</v>
      </c>
      <c r="AO73" s="33">
        <f t="shared" si="37"/>
        <v>23.905511811023622</v>
      </c>
      <c r="AP73">
        <v>4.7</v>
      </c>
      <c r="AQ73">
        <v>25400</v>
      </c>
      <c r="AR73" s="8" t="s">
        <v>763</v>
      </c>
      <c r="AS73" s="8" t="s">
        <v>1569</v>
      </c>
      <c r="AT73">
        <f>3757/AQ73</f>
        <v>0.14791338582677166</v>
      </c>
      <c r="AU73" s="8" t="s">
        <v>763</v>
      </c>
      <c r="AV73">
        <f t="shared" si="33"/>
        <v>312.5</v>
      </c>
    </row>
    <row r="74" spans="1:48" x14ac:dyDescent="0.35">
      <c r="A74">
        <v>73</v>
      </c>
      <c r="B74" s="3">
        <v>56</v>
      </c>
      <c r="C74" t="s">
        <v>549</v>
      </c>
      <c r="D74" t="s">
        <v>551</v>
      </c>
      <c r="E74" s="7" t="s">
        <v>751</v>
      </c>
      <c r="F74" s="7">
        <v>2022</v>
      </c>
      <c r="G74" s="3">
        <v>2018</v>
      </c>
      <c r="H74" s="7" t="s">
        <v>753</v>
      </c>
      <c r="I74" s="7" t="s">
        <v>754</v>
      </c>
      <c r="J74" s="3">
        <v>13.7525</v>
      </c>
      <c r="K74" s="3">
        <v>100.494167</v>
      </c>
      <c r="L74" s="19" t="s">
        <v>1572</v>
      </c>
      <c r="M74" s="11">
        <v>9034000</v>
      </c>
      <c r="N74" s="56">
        <v>5294.2070000000003</v>
      </c>
      <c r="O74" s="19" t="s">
        <v>2327</v>
      </c>
      <c r="P74" s="8" t="s">
        <v>1068</v>
      </c>
      <c r="Q74" s="3" t="s">
        <v>2335</v>
      </c>
      <c r="R74" s="3">
        <v>1207</v>
      </c>
      <c r="S74" s="3">
        <v>27.7</v>
      </c>
      <c r="T74" s="3" t="s">
        <v>763</v>
      </c>
      <c r="U74" t="s">
        <v>2303</v>
      </c>
      <c r="V74" s="3" t="s">
        <v>2370</v>
      </c>
      <c r="W74" s="7" t="s">
        <v>787</v>
      </c>
      <c r="X74" s="3" t="s">
        <v>2350</v>
      </c>
      <c r="Y74" s="7" t="s">
        <v>764</v>
      </c>
      <c r="Z74" s="7" t="s">
        <v>2026</v>
      </c>
      <c r="AA74" s="3" t="s">
        <v>2374</v>
      </c>
      <c r="AB74" s="7" t="s">
        <v>787</v>
      </c>
      <c r="AC74" s="7" t="s">
        <v>763</v>
      </c>
      <c r="AD74" s="7" t="s">
        <v>763</v>
      </c>
      <c r="AE74" s="7" t="s">
        <v>763</v>
      </c>
      <c r="AF74" s="7" t="s">
        <v>763</v>
      </c>
      <c r="AG74" s="3" t="s">
        <v>2377</v>
      </c>
      <c r="AH74" s="7">
        <v>17.75</v>
      </c>
      <c r="AI74" s="7">
        <f>AH74*AQ74</f>
        <v>9940000</v>
      </c>
      <c r="AJ74" s="7">
        <f>AI74*3.67</f>
        <v>36479800</v>
      </c>
      <c r="AK74" s="7">
        <f t="shared" si="31"/>
        <v>65.142499999999998</v>
      </c>
      <c r="AL74" s="16">
        <f>AH74/0.48</f>
        <v>36.979166666666671</v>
      </c>
      <c r="AM74" s="7">
        <f>AL74*AQ74</f>
        <v>20708333.333333336</v>
      </c>
      <c r="AN74" s="7">
        <f>AL74/1.24</f>
        <v>29.821908602150543</v>
      </c>
      <c r="AO74" s="7">
        <f>AN74*0.24</f>
        <v>7.1572580645161299</v>
      </c>
      <c r="AP74" t="s">
        <v>2200</v>
      </c>
      <c r="AQ74">
        <v>560000</v>
      </c>
      <c r="AR74" s="8" t="s">
        <v>763</v>
      </c>
      <c r="AS74" s="8" t="s">
        <v>1570</v>
      </c>
      <c r="AT74" s="11">
        <f>7633/AQ74</f>
        <v>1.3630357142857144E-2</v>
      </c>
      <c r="AU74" s="8" t="s">
        <v>763</v>
      </c>
      <c r="AV74">
        <f t="shared" si="33"/>
        <v>1706.3934220932426</v>
      </c>
    </row>
    <row r="75" spans="1:48" x14ac:dyDescent="0.35">
      <c r="A75">
        <v>74</v>
      </c>
      <c r="B75" s="3">
        <v>57</v>
      </c>
      <c r="C75" t="s">
        <v>564</v>
      </c>
      <c r="D75" t="s">
        <v>566</v>
      </c>
      <c r="E75" s="7" t="s">
        <v>751</v>
      </c>
      <c r="F75" s="7">
        <v>2022</v>
      </c>
      <c r="G75" s="3" t="s">
        <v>1907</v>
      </c>
      <c r="H75" s="7" t="s">
        <v>753</v>
      </c>
      <c r="I75" s="7" t="s">
        <v>776</v>
      </c>
      <c r="J75" s="3">
        <v>-5.1166669999999996</v>
      </c>
      <c r="K75" s="3">
        <v>105.3</v>
      </c>
      <c r="L75" s="19" t="s">
        <v>2087</v>
      </c>
      <c r="M75" s="11">
        <v>142733</v>
      </c>
      <c r="N75" s="11">
        <v>1925</v>
      </c>
      <c r="O75" s="19" t="s">
        <v>2327</v>
      </c>
      <c r="P75" s="8" t="s">
        <v>832</v>
      </c>
      <c r="Q75" s="3" t="s">
        <v>2340</v>
      </c>
      <c r="R75" s="3">
        <v>2052</v>
      </c>
      <c r="S75" s="3">
        <v>25.9</v>
      </c>
      <c r="T75" s="3" t="s">
        <v>759</v>
      </c>
      <c r="U75" t="s">
        <v>2300</v>
      </c>
      <c r="V75" s="3" t="s">
        <v>2371</v>
      </c>
      <c r="W75" s="7" t="s">
        <v>762</v>
      </c>
      <c r="X75" s="3" t="s">
        <v>2348</v>
      </c>
      <c r="Y75" s="7" t="s">
        <v>764</v>
      </c>
      <c r="Z75" s="7" t="s">
        <v>2031</v>
      </c>
      <c r="AA75" s="3" t="s">
        <v>2374</v>
      </c>
      <c r="AB75" s="7" t="s">
        <v>762</v>
      </c>
      <c r="AC75" s="7">
        <f>AE75/3.67</f>
        <v>15.645776566757494</v>
      </c>
      <c r="AD75" s="7" t="s">
        <v>763</v>
      </c>
      <c r="AE75" s="7">
        <v>57.42</v>
      </c>
      <c r="AF75" s="7" t="s">
        <v>763</v>
      </c>
      <c r="AG75" s="3" t="s">
        <v>2376</v>
      </c>
      <c r="AH75" s="7" t="s">
        <v>763</v>
      </c>
      <c r="AI75" s="7">
        <v>15.65</v>
      </c>
      <c r="AJ75" s="7">
        <v>57.42</v>
      </c>
      <c r="AK75" s="7" t="s">
        <v>763</v>
      </c>
      <c r="AL75" s="33" t="s">
        <v>763</v>
      </c>
      <c r="AM75" s="33">
        <f>(34.02)+(34.02*0.24)</f>
        <v>42.184800000000003</v>
      </c>
      <c r="AN75" s="31" t="s">
        <v>2235</v>
      </c>
      <c r="AO75" s="33"/>
      <c r="AP75" s="32" t="s">
        <v>763</v>
      </c>
      <c r="AQ75" s="32" t="s">
        <v>763</v>
      </c>
      <c r="AR75" s="8" t="s">
        <v>763</v>
      </c>
      <c r="AS75" t="s">
        <v>1571</v>
      </c>
      <c r="AT75" t="s">
        <v>763</v>
      </c>
      <c r="AU75" s="8" t="s">
        <v>763</v>
      </c>
      <c r="AV75">
        <f t="shared" si="33"/>
        <v>74.147012987012985</v>
      </c>
    </row>
    <row r="76" spans="1:48" x14ac:dyDescent="0.35">
      <c r="A76">
        <v>75</v>
      </c>
      <c r="B76" s="3">
        <v>58</v>
      </c>
      <c r="C76" t="s">
        <v>578</v>
      </c>
      <c r="D76" t="s">
        <v>580</v>
      </c>
      <c r="E76" s="7" t="s">
        <v>751</v>
      </c>
      <c r="F76" s="7">
        <v>2024</v>
      </c>
      <c r="G76" s="3" t="s">
        <v>763</v>
      </c>
      <c r="H76" s="7" t="s">
        <v>753</v>
      </c>
      <c r="I76" s="7" t="s">
        <v>754</v>
      </c>
      <c r="J76" s="3">
        <v>11.183332999999999</v>
      </c>
      <c r="K76" s="3">
        <v>-4.2833329999999998</v>
      </c>
      <c r="L76" s="19" t="s">
        <v>1374</v>
      </c>
      <c r="M76" s="11">
        <v>984603</v>
      </c>
      <c r="N76">
        <v>545.20000000000005</v>
      </c>
      <c r="O76" s="19" t="s">
        <v>2326</v>
      </c>
      <c r="P76" s="8" t="s">
        <v>1373</v>
      </c>
      <c r="Q76" s="3" t="s">
        <v>2335</v>
      </c>
      <c r="R76" s="8">
        <v>1000</v>
      </c>
      <c r="S76" s="8">
        <v>22.5</v>
      </c>
      <c r="T76" s="3" t="s">
        <v>763</v>
      </c>
      <c r="U76" t="s">
        <v>2298</v>
      </c>
      <c r="V76" s="19" t="s">
        <v>2354</v>
      </c>
      <c r="W76" s="7" t="s">
        <v>787</v>
      </c>
      <c r="X76" s="3" t="s">
        <v>2346</v>
      </c>
      <c r="Y76" s="7" t="s">
        <v>764</v>
      </c>
      <c r="Z76" s="7" t="s">
        <v>2026</v>
      </c>
      <c r="AA76" s="3" t="s">
        <v>2374</v>
      </c>
      <c r="AB76" s="7" t="s">
        <v>787</v>
      </c>
      <c r="AC76" s="7" t="s">
        <v>763</v>
      </c>
      <c r="AD76" s="7" t="s">
        <v>763</v>
      </c>
      <c r="AE76" s="7" t="s">
        <v>763</v>
      </c>
      <c r="AF76" s="7" t="s">
        <v>763</v>
      </c>
      <c r="AG76" s="3" t="s">
        <v>2376</v>
      </c>
      <c r="AH76" s="7">
        <f>((26.21*350)+(13.39*8500))/(350+8500)</f>
        <v>13.897005649717514</v>
      </c>
      <c r="AI76" s="7">
        <f>AH76*AQ76</f>
        <v>122988.5</v>
      </c>
      <c r="AJ76" s="7">
        <f>AI76*3.67</f>
        <v>451367.79499999998</v>
      </c>
      <c r="AK76" s="7">
        <f>AH76*3.67</f>
        <v>51.002010734463276</v>
      </c>
      <c r="AL76" s="33">
        <f t="shared" ref="AL76" si="38">AN76+AO76</f>
        <v>8.6104338983050841</v>
      </c>
      <c r="AM76" s="33">
        <f>AL76*AQ76</f>
        <v>76202.34</v>
      </c>
      <c r="AN76" s="7">
        <f>((13.11*350)+(6.69*8500))/(350+8500)</f>
        <v>6.9438983050847458</v>
      </c>
      <c r="AO76" s="33">
        <f t="shared" ref="AO76:AO77" si="39">AN76*0.24</f>
        <v>1.666535593220339</v>
      </c>
      <c r="AP76" s="8" t="s">
        <v>1600</v>
      </c>
      <c r="AQ76" s="8">
        <f>350+8500</f>
        <v>8850</v>
      </c>
      <c r="AR76" s="8" t="s">
        <v>763</v>
      </c>
      <c r="AS76" s="8" t="s">
        <v>2290</v>
      </c>
      <c r="AT76">
        <f>2993/AQ76</f>
        <v>0.3381920903954802</v>
      </c>
      <c r="AU76" s="8" t="s">
        <v>763</v>
      </c>
      <c r="AV76">
        <f t="shared" si="33"/>
        <v>1805.9482758620688</v>
      </c>
    </row>
    <row r="77" spans="1:48" x14ac:dyDescent="0.35">
      <c r="A77">
        <v>76</v>
      </c>
      <c r="B77" s="3">
        <v>59</v>
      </c>
      <c r="C77" t="s">
        <v>593</v>
      </c>
      <c r="D77" t="s">
        <v>595</v>
      </c>
      <c r="E77" s="7" t="s">
        <v>751</v>
      </c>
      <c r="F77" s="7">
        <v>2025</v>
      </c>
      <c r="G77" s="3" t="s">
        <v>830</v>
      </c>
      <c r="H77" s="7" t="s">
        <v>753</v>
      </c>
      <c r="I77" s="7" t="s">
        <v>776</v>
      </c>
      <c r="J77" s="3">
        <v>-6.8848890000000003</v>
      </c>
      <c r="K77" s="3">
        <v>107.61061100000001</v>
      </c>
      <c r="L77" s="19" t="s">
        <v>831</v>
      </c>
      <c r="M77" s="11">
        <v>2394873</v>
      </c>
      <c r="N77" s="11">
        <v>14251</v>
      </c>
      <c r="O77" s="19" t="s">
        <v>2327</v>
      </c>
      <c r="P77" s="8" t="s">
        <v>832</v>
      </c>
      <c r="Q77" s="3" t="s">
        <v>2340</v>
      </c>
      <c r="R77">
        <v>3710</v>
      </c>
      <c r="S77" s="3">
        <v>22.4</v>
      </c>
      <c r="T77" s="3" t="s">
        <v>759</v>
      </c>
      <c r="U77" t="s">
        <v>2300</v>
      </c>
      <c r="V77" s="19" t="s">
        <v>2354</v>
      </c>
      <c r="W77" s="7" t="s">
        <v>762</v>
      </c>
      <c r="X77" s="3" t="s">
        <v>2348</v>
      </c>
      <c r="Y77" s="7" t="s">
        <v>2003</v>
      </c>
      <c r="Z77" s="7" t="s">
        <v>2035</v>
      </c>
      <c r="AA77" s="3" t="s">
        <v>2374</v>
      </c>
      <c r="AB77" s="7" t="s">
        <v>787</v>
      </c>
      <c r="AC77" s="7">
        <v>25.17</v>
      </c>
      <c r="AD77" s="7">
        <f>AC77/AQ77</f>
        <v>5.0340000000000007</v>
      </c>
      <c r="AE77" s="7">
        <f>AC77*3.67</f>
        <v>92.373900000000006</v>
      </c>
      <c r="AF77" s="7">
        <f>AE77/AQ77</f>
        <v>18.474780000000003</v>
      </c>
      <c r="AG77" s="3" t="s">
        <v>2377</v>
      </c>
      <c r="AH77" s="8">
        <f>AI77/AQ77</f>
        <v>76.2</v>
      </c>
      <c r="AI77" s="8">
        <v>381</v>
      </c>
      <c r="AJ77" s="7">
        <f>AI77*3.67</f>
        <v>1398.27</v>
      </c>
      <c r="AK77" s="7">
        <f>AH77*3.67</f>
        <v>279.654</v>
      </c>
      <c r="AL77" s="7">
        <f>AH77/0.47</f>
        <v>162.12765957446811</v>
      </c>
      <c r="AM77" s="7">
        <f>AI77/0.47</f>
        <v>810.63829787234044</v>
      </c>
      <c r="AN77" s="3">
        <f>AH77/1.24</f>
        <v>61.451612903225808</v>
      </c>
      <c r="AO77" s="3">
        <f t="shared" si="39"/>
        <v>14.748387096774193</v>
      </c>
      <c r="AP77" s="8" t="s">
        <v>1604</v>
      </c>
      <c r="AQ77" s="8">
        <v>5</v>
      </c>
      <c r="AR77" s="8" t="s">
        <v>763</v>
      </c>
      <c r="AS77" s="8" t="s">
        <v>2291</v>
      </c>
      <c r="AT77">
        <f>1607/AQ77</f>
        <v>321.39999999999998</v>
      </c>
      <c r="AU77" s="8" t="s">
        <v>763</v>
      </c>
      <c r="AV77">
        <f t="shared" si="33"/>
        <v>168.04947021261665</v>
      </c>
    </row>
    <row r="78" spans="1:48" x14ac:dyDescent="0.35">
      <c r="A78">
        <v>77</v>
      </c>
      <c r="B78" s="3">
        <v>60</v>
      </c>
      <c r="C78" s="15" t="s">
        <v>607</v>
      </c>
      <c r="D78" t="s">
        <v>1611</v>
      </c>
      <c r="E78" s="7" t="s">
        <v>751</v>
      </c>
      <c r="F78" s="7">
        <v>2013</v>
      </c>
      <c r="G78" s="3" t="s">
        <v>1626</v>
      </c>
      <c r="H78" s="7" t="s">
        <v>795</v>
      </c>
      <c r="I78" s="7" t="s">
        <v>754</v>
      </c>
      <c r="J78" s="3">
        <v>1.3142940000000001</v>
      </c>
      <c r="K78" s="3">
        <v>103.911197</v>
      </c>
      <c r="L78" s="19" t="s">
        <v>1159</v>
      </c>
      <c r="M78" s="11">
        <v>6111175</v>
      </c>
      <c r="N78" s="11">
        <v>8681</v>
      </c>
      <c r="O78" s="19" t="s">
        <v>2327</v>
      </c>
      <c r="P78" s="8" t="s">
        <v>1159</v>
      </c>
      <c r="Q78" s="3" t="s">
        <v>2339</v>
      </c>
      <c r="R78" s="8">
        <v>197.5</v>
      </c>
      <c r="S78">
        <v>27.5</v>
      </c>
      <c r="T78" s="7" t="s">
        <v>2078</v>
      </c>
      <c r="U78" t="s">
        <v>2300</v>
      </c>
      <c r="V78" s="3" t="s">
        <v>2370</v>
      </c>
      <c r="W78" s="7" t="s">
        <v>787</v>
      </c>
      <c r="X78" s="3" t="s">
        <v>2348</v>
      </c>
      <c r="Y78" s="7" t="s">
        <v>764</v>
      </c>
      <c r="Z78" s="7" t="s">
        <v>2027</v>
      </c>
      <c r="AA78" s="3" t="s">
        <v>2372</v>
      </c>
      <c r="AB78" s="7" t="s">
        <v>787</v>
      </c>
      <c r="AC78" s="8">
        <f>AE78/3.67</f>
        <v>1.3896457765667574</v>
      </c>
      <c r="AD78" s="8">
        <f>AC78/AQ78</f>
        <v>1.770249396900328E-2</v>
      </c>
      <c r="AE78" s="8">
        <v>5.0999999999999996</v>
      </c>
      <c r="AF78" s="8">
        <f>AE78/AQ78</f>
        <v>6.4968152866242038E-2</v>
      </c>
      <c r="AG78" s="3" t="s">
        <v>2377</v>
      </c>
      <c r="AH78" s="8">
        <f>AK78/3.67</f>
        <v>1.7267029972752044</v>
      </c>
      <c r="AI78" s="8">
        <f>AH78*AQ78</f>
        <v>135.54618528610354</v>
      </c>
      <c r="AJ78" s="8">
        <f>AK78*AQ78</f>
        <v>497.4545</v>
      </c>
      <c r="AK78" s="8">
        <v>6.3369999999999997</v>
      </c>
      <c r="AL78" s="3">
        <v>3.484</v>
      </c>
      <c r="AM78" s="7">
        <f>AL78*AQ78</f>
        <v>273.49399999999997</v>
      </c>
      <c r="AN78" s="7">
        <f>AL78/1.24</f>
        <v>2.8096774193548386</v>
      </c>
      <c r="AO78" s="7">
        <f>AN78*0.24</f>
        <v>0.67432258064516126</v>
      </c>
      <c r="AP78" s="8" t="s">
        <v>1624</v>
      </c>
      <c r="AQ78" s="8">
        <v>78.5</v>
      </c>
      <c r="AR78" s="8" t="s">
        <v>763</v>
      </c>
      <c r="AS78" s="8" t="s">
        <v>1636</v>
      </c>
      <c r="AT78">
        <f>(2789+1566+244)/AQ78</f>
        <v>58.585987261146499</v>
      </c>
      <c r="AU78" s="8" t="s">
        <v>763</v>
      </c>
      <c r="AV78">
        <f t="shared" si="33"/>
        <v>703.97131666858661</v>
      </c>
    </row>
    <row r="79" spans="1:48" x14ac:dyDescent="0.35">
      <c r="A79">
        <v>78</v>
      </c>
      <c r="B79" s="3">
        <v>61</v>
      </c>
      <c r="C79" t="s">
        <v>624</v>
      </c>
      <c r="D79" t="s">
        <v>626</v>
      </c>
      <c r="E79" s="7" t="s">
        <v>751</v>
      </c>
      <c r="F79" s="7">
        <v>2020</v>
      </c>
      <c r="G79" s="3" t="s">
        <v>763</v>
      </c>
      <c r="H79" s="7" t="s">
        <v>753</v>
      </c>
      <c r="I79" s="7" t="s">
        <v>776</v>
      </c>
      <c r="J79" s="3">
        <v>-1.4837</v>
      </c>
      <c r="K79" s="3">
        <v>-78.002600000000001</v>
      </c>
      <c r="L79" s="19" t="s">
        <v>1628</v>
      </c>
      <c r="M79" s="11">
        <v>39473</v>
      </c>
      <c r="N79">
        <v>430.8</v>
      </c>
      <c r="O79" s="19" t="s">
        <v>2325</v>
      </c>
      <c r="P79" t="s">
        <v>1627</v>
      </c>
      <c r="Q79" s="3" t="s">
        <v>2340</v>
      </c>
      <c r="R79" s="8">
        <v>2500</v>
      </c>
      <c r="S79" s="8">
        <v>21.35</v>
      </c>
      <c r="T79" s="3" t="s">
        <v>763</v>
      </c>
      <c r="U79" t="s">
        <v>2300</v>
      </c>
      <c r="V79" s="19" t="s">
        <v>2354</v>
      </c>
      <c r="W79" s="7" t="s">
        <v>787</v>
      </c>
      <c r="X79" s="3" t="s">
        <v>2346</v>
      </c>
      <c r="Y79" s="7" t="s">
        <v>764</v>
      </c>
      <c r="Z79" s="7" t="s">
        <v>2036</v>
      </c>
      <c r="AA79" s="3" t="s">
        <v>2372</v>
      </c>
      <c r="AB79" s="7" t="s">
        <v>787</v>
      </c>
      <c r="AC79" s="7" t="s">
        <v>763</v>
      </c>
      <c r="AD79" s="7" t="s">
        <v>763</v>
      </c>
      <c r="AE79" s="7" t="s">
        <v>763</v>
      </c>
      <c r="AF79" s="7" t="s">
        <v>763</v>
      </c>
      <c r="AG79" s="3" t="s">
        <v>2376</v>
      </c>
      <c r="AH79" s="8">
        <v>91.46</v>
      </c>
      <c r="AI79" s="8">
        <f>AH79*AQ79</f>
        <v>585.34399999999994</v>
      </c>
      <c r="AJ79" s="8">
        <v>1664683</v>
      </c>
      <c r="AK79" s="8">
        <f>AH79*3.67</f>
        <v>335.65819999999997</v>
      </c>
      <c r="AL79" s="33">
        <f t="shared" ref="AL79" si="40">AN79+AO79</f>
        <v>146.5804</v>
      </c>
      <c r="AM79" s="33">
        <f>AL79*AQ79</f>
        <v>938.11455999999998</v>
      </c>
      <c r="AN79" s="7">
        <v>118.21</v>
      </c>
      <c r="AO79" s="33">
        <f>AN79*0.24</f>
        <v>28.370399999999997</v>
      </c>
      <c r="AP79" s="8" t="s">
        <v>1639</v>
      </c>
      <c r="AQ79" s="8">
        <v>6.4</v>
      </c>
      <c r="AR79" s="8" t="s">
        <v>763</v>
      </c>
      <c r="AS79" s="8" t="s">
        <v>1640</v>
      </c>
      <c r="AT79">
        <f>129/AQ79</f>
        <v>20.15625</v>
      </c>
      <c r="AU79" s="8" t="s">
        <v>763</v>
      </c>
      <c r="AV79">
        <f t="shared" si="33"/>
        <v>91.627205199628591</v>
      </c>
    </row>
    <row r="80" spans="1:48" x14ac:dyDescent="0.35">
      <c r="A80">
        <v>79</v>
      </c>
      <c r="B80" s="3">
        <v>62</v>
      </c>
      <c r="C80" t="s">
        <v>640</v>
      </c>
      <c r="D80" t="s">
        <v>1656</v>
      </c>
      <c r="E80" s="7" t="s">
        <v>751</v>
      </c>
      <c r="F80" s="7">
        <v>2020</v>
      </c>
      <c r="G80" s="3" t="s">
        <v>1659</v>
      </c>
      <c r="H80" s="7" t="s">
        <v>753</v>
      </c>
      <c r="I80" s="7" t="s">
        <v>754</v>
      </c>
      <c r="J80" s="3">
        <v>22.09</v>
      </c>
      <c r="K80" s="3">
        <v>82.15</v>
      </c>
      <c r="L80" s="19" t="s">
        <v>1658</v>
      </c>
      <c r="M80" s="11">
        <v>1625502</v>
      </c>
      <c r="N80">
        <v>457.2</v>
      </c>
      <c r="O80" s="19" t="s">
        <v>2327</v>
      </c>
      <c r="P80" t="s">
        <v>756</v>
      </c>
      <c r="Q80" s="3" t="s">
        <v>2335</v>
      </c>
      <c r="R80" s="3">
        <v>1412</v>
      </c>
      <c r="S80" s="8">
        <v>28</v>
      </c>
      <c r="T80" s="3" t="s">
        <v>2080</v>
      </c>
      <c r="U80" t="s">
        <v>2300</v>
      </c>
      <c r="V80" s="3" t="s">
        <v>2371</v>
      </c>
      <c r="W80" s="7" t="s">
        <v>787</v>
      </c>
      <c r="X80" s="3" t="s">
        <v>2348</v>
      </c>
      <c r="Y80" s="7" t="s">
        <v>764</v>
      </c>
      <c r="Z80" s="7" t="s">
        <v>2026</v>
      </c>
      <c r="AA80" s="3" t="s">
        <v>2374</v>
      </c>
      <c r="AB80" s="7" t="s">
        <v>787</v>
      </c>
      <c r="AC80" s="7" t="s">
        <v>763</v>
      </c>
      <c r="AD80" s="7" t="s">
        <v>763</v>
      </c>
      <c r="AE80" s="7" t="s">
        <v>763</v>
      </c>
      <c r="AF80" s="7" t="s">
        <v>763</v>
      </c>
      <c r="AG80" s="3" t="s">
        <v>2377</v>
      </c>
      <c r="AH80" s="8">
        <f>AI80/AQ80</f>
        <v>16.059999999999999</v>
      </c>
      <c r="AI80" s="8">
        <v>48.18</v>
      </c>
      <c r="AJ80" s="8">
        <v>176.64</v>
      </c>
      <c r="AK80" s="8">
        <f>AH80*3.67</f>
        <v>58.940199999999997</v>
      </c>
      <c r="AL80" s="7">
        <v>33.81</v>
      </c>
      <c r="AM80" s="7">
        <v>101.44</v>
      </c>
      <c r="AN80" s="33">
        <f>AL80/1.24</f>
        <v>27.266129032258068</v>
      </c>
      <c r="AO80" s="33">
        <f>AN80*0.24</f>
        <v>6.5438709677419356</v>
      </c>
      <c r="AP80" s="8">
        <v>3</v>
      </c>
      <c r="AQ80" s="8">
        <v>3</v>
      </c>
      <c r="AR80" s="8" t="s">
        <v>763</v>
      </c>
      <c r="AS80" s="8" t="s">
        <v>1665</v>
      </c>
      <c r="AT80">
        <f>438/AQ80</f>
        <v>146</v>
      </c>
      <c r="AU80" s="8" t="s">
        <v>763</v>
      </c>
      <c r="AV80">
        <f t="shared" si="33"/>
        <v>3555.3412073490813</v>
      </c>
    </row>
    <row r="81" spans="1:48" x14ac:dyDescent="0.35">
      <c r="A81">
        <v>80</v>
      </c>
      <c r="B81" s="3">
        <v>63</v>
      </c>
      <c r="C81" t="s">
        <v>646</v>
      </c>
      <c r="D81" t="s">
        <v>648</v>
      </c>
      <c r="E81" s="7" t="s">
        <v>751</v>
      </c>
      <c r="F81" s="7">
        <v>2021</v>
      </c>
      <c r="G81" s="7" t="s">
        <v>1669</v>
      </c>
      <c r="H81" s="7" t="s">
        <v>753</v>
      </c>
      <c r="I81" s="7" t="s">
        <v>754</v>
      </c>
      <c r="J81" s="3">
        <v>9.8333329999999997</v>
      </c>
      <c r="K81" s="3">
        <v>76.94</v>
      </c>
      <c r="L81" s="19" t="s">
        <v>2091</v>
      </c>
      <c r="M81" s="11">
        <v>1108974</v>
      </c>
      <c r="N81">
        <v>254.6</v>
      </c>
      <c r="O81" s="19" t="s">
        <v>2327</v>
      </c>
      <c r="P81" t="s">
        <v>756</v>
      </c>
      <c r="Q81" s="3" t="s">
        <v>2339</v>
      </c>
      <c r="R81">
        <v>3713</v>
      </c>
      <c r="S81" s="8">
        <v>27.6</v>
      </c>
      <c r="T81" s="3" t="s">
        <v>763</v>
      </c>
      <c r="U81" t="s">
        <v>2300</v>
      </c>
      <c r="V81" s="8" t="s">
        <v>2355</v>
      </c>
      <c r="W81" s="7" t="s">
        <v>787</v>
      </c>
      <c r="X81" s="3" t="s">
        <v>2348</v>
      </c>
      <c r="Y81" s="7" t="s">
        <v>764</v>
      </c>
      <c r="Z81" s="7" t="s">
        <v>2026</v>
      </c>
      <c r="AA81" s="3" t="s">
        <v>2374</v>
      </c>
      <c r="AB81" s="7" t="s">
        <v>787</v>
      </c>
      <c r="AC81" s="7" t="s">
        <v>763</v>
      </c>
      <c r="AD81" s="7" t="s">
        <v>763</v>
      </c>
      <c r="AE81" s="7" t="s">
        <v>763</v>
      </c>
      <c r="AF81" s="7" t="s">
        <v>763</v>
      </c>
      <c r="AG81" s="3" t="s">
        <v>2377</v>
      </c>
      <c r="AH81" s="7">
        <v>127.4</v>
      </c>
      <c r="AI81" s="7">
        <f>AH81*AQ81</f>
        <v>509.6</v>
      </c>
      <c r="AJ81" s="7">
        <f>AI81*3.67</f>
        <v>1870.232</v>
      </c>
      <c r="AK81" s="8">
        <f>AH81*3.67</f>
        <v>467.55799999999999</v>
      </c>
      <c r="AL81" s="7">
        <v>268.20999999999998</v>
      </c>
      <c r="AM81" s="7">
        <f>AL81*AQ81</f>
        <v>1072.8399999999999</v>
      </c>
      <c r="AN81" s="7">
        <v>211.86</v>
      </c>
      <c r="AO81" s="7">
        <v>56.35</v>
      </c>
      <c r="AP81" s="8" t="s">
        <v>1670</v>
      </c>
      <c r="AQ81" s="8">
        <v>4</v>
      </c>
      <c r="AR81" s="8" t="s">
        <v>763</v>
      </c>
      <c r="AS81" s="8" t="s">
        <v>1676</v>
      </c>
      <c r="AT81">
        <f>992/AQ81</f>
        <v>248</v>
      </c>
      <c r="AU81" s="8" t="s">
        <v>763</v>
      </c>
      <c r="AV81">
        <f t="shared" si="33"/>
        <v>4355.7501963864888</v>
      </c>
    </row>
    <row r="82" spans="1:48" x14ac:dyDescent="0.35">
      <c r="A82">
        <v>81</v>
      </c>
      <c r="B82" s="15">
        <v>64</v>
      </c>
      <c r="C82" t="s">
        <v>651</v>
      </c>
      <c r="D82" t="s">
        <v>653</v>
      </c>
      <c r="E82" s="7" t="s">
        <v>751</v>
      </c>
      <c r="F82" s="7">
        <v>2021</v>
      </c>
      <c r="G82" s="3">
        <v>2016</v>
      </c>
      <c r="H82" s="7" t="s">
        <v>753</v>
      </c>
      <c r="I82" s="7" t="s">
        <v>754</v>
      </c>
      <c r="J82" s="3">
        <v>23.7</v>
      </c>
      <c r="K82" s="3">
        <v>90.366667000000007</v>
      </c>
      <c r="L82" s="19" t="s">
        <v>1679</v>
      </c>
      <c r="M82" s="11">
        <v>10295786</v>
      </c>
      <c r="N82" s="11">
        <v>33842</v>
      </c>
      <c r="O82" s="19" t="s">
        <v>2327</v>
      </c>
      <c r="P82" t="s">
        <v>985</v>
      </c>
      <c r="Q82" s="3" t="s">
        <v>2335</v>
      </c>
      <c r="R82" s="3">
        <v>2055</v>
      </c>
      <c r="S82" s="3">
        <v>25.3</v>
      </c>
      <c r="T82" s="3" t="s">
        <v>763</v>
      </c>
      <c r="U82" t="s">
        <v>2300</v>
      </c>
      <c r="V82" s="3" t="s">
        <v>2371</v>
      </c>
      <c r="W82" s="7" t="s">
        <v>787</v>
      </c>
      <c r="X82" s="3" t="s">
        <v>2348</v>
      </c>
      <c r="Y82" s="7" t="s">
        <v>764</v>
      </c>
      <c r="Z82" t="s">
        <v>2026</v>
      </c>
      <c r="AA82" s="3" t="s">
        <v>2374</v>
      </c>
      <c r="AB82" s="7" t="s">
        <v>787</v>
      </c>
      <c r="AC82" s="7" t="s">
        <v>763</v>
      </c>
      <c r="AD82" s="7" t="s">
        <v>763</v>
      </c>
      <c r="AE82" s="7" t="s">
        <v>763</v>
      </c>
      <c r="AF82" s="7" t="s">
        <v>763</v>
      </c>
      <c r="AG82" s="3" t="s">
        <v>2376</v>
      </c>
      <c r="AH82" s="8">
        <f>AI82/AQ82</f>
        <v>30.697674418604652</v>
      </c>
      <c r="AI82" s="8">
        <v>528</v>
      </c>
      <c r="AJ82" s="8">
        <v>1938</v>
      </c>
      <c r="AK82" s="8">
        <f>AH82*3.67</f>
        <v>112.66046511627907</v>
      </c>
      <c r="AL82" s="33">
        <f t="shared" ref="AL82" si="41">AN82+AO82</f>
        <v>80.960465116279067</v>
      </c>
      <c r="AM82" s="33">
        <f>AL82*AQ82</f>
        <v>1392.52</v>
      </c>
      <c r="AN82" s="7">
        <f>1123/AQ82</f>
        <v>65.29069767441861</v>
      </c>
      <c r="AO82" s="33">
        <f t="shared" ref="AO82:AO83" si="42">AN82*0.24</f>
        <v>15.669767441860465</v>
      </c>
      <c r="AP82" s="30">
        <v>8.6</v>
      </c>
      <c r="AQ82" s="30">
        <v>17.2</v>
      </c>
      <c r="AR82" s="30" t="s">
        <v>763</v>
      </c>
      <c r="AS82" s="30" t="s">
        <v>1688</v>
      </c>
      <c r="AT82" s="19" t="s">
        <v>763</v>
      </c>
      <c r="AU82" s="19">
        <v>8.6</v>
      </c>
      <c r="AV82">
        <f t="shared" si="33"/>
        <v>304.23101471544237</v>
      </c>
    </row>
    <row r="83" spans="1:48" x14ac:dyDescent="0.35">
      <c r="A83">
        <v>82</v>
      </c>
      <c r="B83" s="15">
        <v>64</v>
      </c>
      <c r="C83" t="s">
        <v>651</v>
      </c>
      <c r="D83" t="s">
        <v>653</v>
      </c>
      <c r="E83" s="7" t="s">
        <v>751</v>
      </c>
      <c r="F83" s="7">
        <v>2021</v>
      </c>
      <c r="G83" s="3">
        <v>2016</v>
      </c>
      <c r="H83" s="7" t="s">
        <v>753</v>
      </c>
      <c r="I83" s="7" t="s">
        <v>754</v>
      </c>
      <c r="J83" s="3">
        <v>23.7</v>
      </c>
      <c r="K83" s="3">
        <v>90.366667000000007</v>
      </c>
      <c r="L83" s="19" t="s">
        <v>1679</v>
      </c>
      <c r="M83" s="11">
        <v>10295786</v>
      </c>
      <c r="N83" s="11">
        <v>33842</v>
      </c>
      <c r="O83" s="19" t="s">
        <v>2327</v>
      </c>
      <c r="P83" t="s">
        <v>985</v>
      </c>
      <c r="Q83" s="3" t="s">
        <v>2335</v>
      </c>
      <c r="R83" s="3">
        <v>2055</v>
      </c>
      <c r="S83" s="3">
        <v>25.3</v>
      </c>
      <c r="T83" s="3" t="s">
        <v>763</v>
      </c>
      <c r="U83" t="s">
        <v>2300</v>
      </c>
      <c r="V83" s="30" t="s">
        <v>2356</v>
      </c>
      <c r="W83" s="7" t="s">
        <v>787</v>
      </c>
      <c r="X83" s="3" t="s">
        <v>2348</v>
      </c>
      <c r="Y83" s="7" t="s">
        <v>764</v>
      </c>
      <c r="Z83" t="s">
        <v>2026</v>
      </c>
      <c r="AA83" s="3" t="s">
        <v>2374</v>
      </c>
      <c r="AB83" s="7" t="s">
        <v>787</v>
      </c>
      <c r="AC83" s="7" t="s">
        <v>763</v>
      </c>
      <c r="AD83" s="7" t="s">
        <v>763</v>
      </c>
      <c r="AE83" s="7" t="s">
        <v>763</v>
      </c>
      <c r="AF83" s="7" t="s">
        <v>763</v>
      </c>
      <c r="AG83" s="3" t="s">
        <v>2376</v>
      </c>
      <c r="AH83" s="8">
        <f>AI83/AQ83</f>
        <v>690.5785909468932</v>
      </c>
      <c r="AI83" s="8">
        <v>58126</v>
      </c>
      <c r="AJ83" s="8">
        <v>213324</v>
      </c>
      <c r="AK83" s="8">
        <f>AH83*3.67</f>
        <v>2534.4234287750978</v>
      </c>
      <c r="AL83" s="33">
        <f>AN83+AO83</f>
        <v>1821.9470119995249</v>
      </c>
      <c r="AM83" s="33">
        <f>AL83*AQ83</f>
        <v>153353.28</v>
      </c>
      <c r="AN83" s="7">
        <f>123672/AQ83</f>
        <v>1469.3121064512297</v>
      </c>
      <c r="AO83" s="33">
        <f t="shared" si="42"/>
        <v>352.63490554829514</v>
      </c>
      <c r="AP83" s="30" t="s">
        <v>2296</v>
      </c>
      <c r="AQ83" s="30">
        <v>84.17</v>
      </c>
      <c r="AR83" s="30" t="s">
        <v>763</v>
      </c>
      <c r="AS83" s="30" t="s">
        <v>2292</v>
      </c>
      <c r="AT83" s="19" t="s">
        <v>763</v>
      </c>
      <c r="AU83" s="19" t="s">
        <v>763</v>
      </c>
      <c r="AV83">
        <f t="shared" si="33"/>
        <v>304.23101471544237</v>
      </c>
    </row>
    <row r="84" spans="1:48" x14ac:dyDescent="0.35">
      <c r="A84">
        <v>83</v>
      </c>
      <c r="B84" s="3">
        <v>65</v>
      </c>
      <c r="C84" s="15" t="s">
        <v>655</v>
      </c>
      <c r="D84" t="s">
        <v>657</v>
      </c>
      <c r="E84" s="7" t="s">
        <v>751</v>
      </c>
      <c r="F84" s="7">
        <v>2023</v>
      </c>
      <c r="G84" s="3" t="s">
        <v>1908</v>
      </c>
      <c r="H84" s="7" t="s">
        <v>795</v>
      </c>
      <c r="I84" s="7" t="s">
        <v>776</v>
      </c>
      <c r="J84" s="3">
        <v>-12.05</v>
      </c>
      <c r="K84" s="3">
        <v>-77.033332999999999</v>
      </c>
      <c r="L84" s="33" t="s">
        <v>1694</v>
      </c>
      <c r="M84" s="11">
        <v>266887</v>
      </c>
      <c r="N84" s="11">
        <v>12378</v>
      </c>
      <c r="O84" s="33" t="s">
        <v>2325</v>
      </c>
      <c r="P84" t="s">
        <v>1689</v>
      </c>
      <c r="Q84" s="3" t="s">
        <v>2336</v>
      </c>
      <c r="R84" s="3">
        <v>203</v>
      </c>
      <c r="S84" s="3">
        <v>18.899999999999999</v>
      </c>
      <c r="T84" s="3" t="s">
        <v>763</v>
      </c>
      <c r="U84" t="s">
        <v>2308</v>
      </c>
      <c r="V84" s="3" t="s">
        <v>2371</v>
      </c>
      <c r="W84" s="7" t="s">
        <v>787</v>
      </c>
      <c r="X84" s="3" t="s">
        <v>2348</v>
      </c>
      <c r="Y84" s="7" t="s">
        <v>764</v>
      </c>
      <c r="Z84" s="7" t="s">
        <v>2031</v>
      </c>
      <c r="AA84" s="3" t="s">
        <v>2374</v>
      </c>
      <c r="AB84" s="7" t="s">
        <v>787</v>
      </c>
      <c r="AC84" s="7">
        <f>AE84/3.67</f>
        <v>120391.46321525886</v>
      </c>
      <c r="AD84" s="7">
        <f>AC84/AQ84</f>
        <v>11.617433485984643</v>
      </c>
      <c r="AE84" s="7">
        <f>AF84*AQ84</f>
        <v>441836.67</v>
      </c>
      <c r="AF84" s="46">
        <f>((39.21*3667)+(25.35*1821)+(51.67*4875))/(3667+1821+4875)</f>
        <v>42.635980893563641</v>
      </c>
      <c r="AG84" s="3" t="s">
        <v>2376</v>
      </c>
      <c r="AH84" s="7" t="s">
        <v>763</v>
      </c>
      <c r="AI84" s="7" t="s">
        <v>763</v>
      </c>
      <c r="AJ84" s="7" t="s">
        <v>763</v>
      </c>
      <c r="AK84" s="7" t="s">
        <v>763</v>
      </c>
      <c r="AL84" s="7" t="s">
        <v>763</v>
      </c>
      <c r="AM84" s="7" t="s">
        <v>763</v>
      </c>
      <c r="AN84" s="7" t="s">
        <v>763</v>
      </c>
      <c r="AO84" s="7" t="s">
        <v>763</v>
      </c>
      <c r="AP84" s="30" t="s">
        <v>2202</v>
      </c>
      <c r="AQ84" s="30">
        <f>(3667+1821+4875)</f>
        <v>10363</v>
      </c>
      <c r="AR84" s="30" t="s">
        <v>763</v>
      </c>
      <c r="AS84" s="30" t="s">
        <v>2024</v>
      </c>
      <c r="AT84" s="19" t="s">
        <v>763</v>
      </c>
      <c r="AU84" s="19" t="s">
        <v>763</v>
      </c>
      <c r="AV84">
        <f t="shared" si="33"/>
        <v>21.56139925674584</v>
      </c>
    </row>
    <row r="85" spans="1:48" x14ac:dyDescent="0.35">
      <c r="A85">
        <v>84</v>
      </c>
      <c r="B85" s="3">
        <v>66</v>
      </c>
      <c r="C85" t="s">
        <v>660</v>
      </c>
      <c r="D85" t="s">
        <v>1701</v>
      </c>
      <c r="E85" s="7" t="s">
        <v>751</v>
      </c>
      <c r="F85" s="7">
        <v>2017</v>
      </c>
      <c r="G85" s="3" t="s">
        <v>1700</v>
      </c>
      <c r="H85" s="7" t="s">
        <v>753</v>
      </c>
      <c r="I85" s="7" t="s">
        <v>754</v>
      </c>
      <c r="J85" s="3">
        <v>6.6833330000000002</v>
      </c>
      <c r="K85" s="3">
        <v>-1.6166670000000001</v>
      </c>
      <c r="L85" s="33" t="s">
        <v>1554</v>
      </c>
      <c r="M85" s="33">
        <v>2500000</v>
      </c>
      <c r="N85" s="54">
        <v>8000</v>
      </c>
      <c r="O85" s="33" t="s">
        <v>2326</v>
      </c>
      <c r="P85" t="s">
        <v>1325</v>
      </c>
      <c r="Q85" s="3" t="s">
        <v>2335</v>
      </c>
      <c r="R85">
        <v>1250</v>
      </c>
      <c r="S85">
        <v>26.4</v>
      </c>
      <c r="T85" s="3" t="s">
        <v>2081</v>
      </c>
      <c r="U85" t="s">
        <v>2300</v>
      </c>
      <c r="V85" s="19" t="s">
        <v>2369</v>
      </c>
      <c r="W85" s="7" t="s">
        <v>787</v>
      </c>
      <c r="X85" s="3" t="s">
        <v>2350</v>
      </c>
      <c r="Y85" s="7" t="s">
        <v>1988</v>
      </c>
      <c r="Z85" s="7" t="s">
        <v>2026</v>
      </c>
      <c r="AA85" s="3" t="s">
        <v>2372</v>
      </c>
      <c r="AB85" s="7" t="s">
        <v>787</v>
      </c>
      <c r="AC85" s="7" t="s">
        <v>763</v>
      </c>
      <c r="AD85" s="7" t="s">
        <v>763</v>
      </c>
      <c r="AE85" s="7" t="s">
        <v>763</v>
      </c>
      <c r="AF85" s="7" t="s">
        <v>763</v>
      </c>
      <c r="AG85" s="3" t="s">
        <v>2377</v>
      </c>
      <c r="AH85" s="8">
        <v>149.33000000000001</v>
      </c>
      <c r="AI85" s="8">
        <f>333390+77645+18294</f>
        <v>429329</v>
      </c>
      <c r="AJ85" s="8">
        <f t="shared" ref="AJ85:AJ97" si="43">AI85*3.67</f>
        <v>1575637.43</v>
      </c>
      <c r="AK85" s="8">
        <f t="shared" ref="AK85:AK101" si="44">AH85*3.67</f>
        <v>548.04110000000003</v>
      </c>
      <c r="AL85" s="46">
        <v>315.05</v>
      </c>
      <c r="AM85" s="7">
        <f t="shared" ref="AM85:AM87" si="45">AI85/0.47</f>
        <v>913465.95744680858</v>
      </c>
      <c r="AN85" s="30">
        <f>((255.6 + 94.6 + 41.9)/3)/0.47</f>
        <v>278.08510638297872</v>
      </c>
      <c r="AO85" s="30">
        <f>((36+13.1+ 6.8)/3)/0.47</f>
        <v>39.645390070921984</v>
      </c>
      <c r="AP85" s="33" t="s">
        <v>763</v>
      </c>
      <c r="AQ85" s="52" t="s">
        <v>763</v>
      </c>
      <c r="AR85" s="30" t="s">
        <v>763</v>
      </c>
      <c r="AS85" s="30" t="s">
        <v>763</v>
      </c>
      <c r="AT85" s="30" t="s">
        <v>763</v>
      </c>
      <c r="AU85" s="30" t="s">
        <v>763</v>
      </c>
      <c r="AV85">
        <f t="shared" si="33"/>
        <v>312.5</v>
      </c>
    </row>
    <row r="86" spans="1:48" x14ac:dyDescent="0.35">
      <c r="A86">
        <v>85</v>
      </c>
      <c r="B86" s="3">
        <v>66</v>
      </c>
      <c r="C86" t="s">
        <v>660</v>
      </c>
      <c r="D86" t="s">
        <v>1701</v>
      </c>
      <c r="E86" s="7" t="s">
        <v>751</v>
      </c>
      <c r="F86" s="7">
        <v>2017</v>
      </c>
      <c r="G86" s="3" t="s">
        <v>1700</v>
      </c>
      <c r="H86" s="7" t="s">
        <v>753</v>
      </c>
      <c r="I86" s="7" t="s">
        <v>754</v>
      </c>
      <c r="J86" s="3">
        <v>6.6833330000000002</v>
      </c>
      <c r="K86" s="3">
        <v>-1.6166670000000001</v>
      </c>
      <c r="L86" s="33" t="s">
        <v>1554</v>
      </c>
      <c r="M86" s="33">
        <v>2500000</v>
      </c>
      <c r="N86" s="54">
        <v>8000</v>
      </c>
      <c r="O86" s="33" t="s">
        <v>2326</v>
      </c>
      <c r="P86" t="s">
        <v>1325</v>
      </c>
      <c r="Q86" s="3" t="s">
        <v>2335</v>
      </c>
      <c r="R86">
        <v>1250</v>
      </c>
      <c r="S86">
        <v>26.4</v>
      </c>
      <c r="T86" s="3" t="s">
        <v>2081</v>
      </c>
      <c r="U86" t="s">
        <v>2300</v>
      </c>
      <c r="V86" s="19" t="s">
        <v>2354</v>
      </c>
      <c r="W86" s="7" t="s">
        <v>787</v>
      </c>
      <c r="X86" s="3" t="s">
        <v>2350</v>
      </c>
      <c r="Y86" s="7" t="s">
        <v>1988</v>
      </c>
      <c r="Z86" s="7" t="s">
        <v>2026</v>
      </c>
      <c r="AA86" s="3" t="s">
        <v>2372</v>
      </c>
      <c r="AB86" s="7" t="s">
        <v>787</v>
      </c>
      <c r="AC86" s="7" t="s">
        <v>763</v>
      </c>
      <c r="AD86" s="7" t="s">
        <v>763</v>
      </c>
      <c r="AE86" s="7" t="s">
        <v>763</v>
      </c>
      <c r="AF86" s="7" t="s">
        <v>763</v>
      </c>
      <c r="AG86" s="3" t="s">
        <v>2377</v>
      </c>
      <c r="AH86" s="8">
        <v>690.4</v>
      </c>
      <c r="AI86" s="49">
        <v>408326</v>
      </c>
      <c r="AJ86" s="8">
        <f t="shared" si="43"/>
        <v>1498556.42</v>
      </c>
      <c r="AK86" s="8">
        <f t="shared" si="44"/>
        <v>2533.768</v>
      </c>
      <c r="AL86" s="7">
        <v>1456.54</v>
      </c>
      <c r="AM86" s="7">
        <f>AI86/0.47</f>
        <v>868778.72340425535</v>
      </c>
      <c r="AN86" s="30">
        <f>617.9/0.47</f>
        <v>1314.6808510638298</v>
      </c>
      <c r="AO86" s="30">
        <f>72.5/0.47</f>
        <v>154.25531914893617</v>
      </c>
      <c r="AP86" s="33" t="s">
        <v>763</v>
      </c>
      <c r="AQ86" s="52" t="s">
        <v>763</v>
      </c>
      <c r="AR86" s="30" t="s">
        <v>763</v>
      </c>
      <c r="AS86" s="30" t="s">
        <v>763</v>
      </c>
      <c r="AT86" s="30" t="s">
        <v>763</v>
      </c>
      <c r="AU86" s="30" t="s">
        <v>763</v>
      </c>
      <c r="AV86">
        <f t="shared" si="33"/>
        <v>312.5</v>
      </c>
    </row>
    <row r="87" spans="1:48" x14ac:dyDescent="0.35">
      <c r="A87">
        <v>86</v>
      </c>
      <c r="B87" s="3">
        <v>66</v>
      </c>
      <c r="C87" t="s">
        <v>660</v>
      </c>
      <c r="D87" t="s">
        <v>1701</v>
      </c>
      <c r="E87" s="7" t="s">
        <v>751</v>
      </c>
      <c r="F87" s="7">
        <v>2017</v>
      </c>
      <c r="G87" s="3" t="s">
        <v>1700</v>
      </c>
      <c r="H87" s="7" t="s">
        <v>753</v>
      </c>
      <c r="I87" s="7" t="s">
        <v>754</v>
      </c>
      <c r="J87" s="3">
        <v>6.6833330000000002</v>
      </c>
      <c r="K87" s="3">
        <v>-1.6166670000000001</v>
      </c>
      <c r="L87" s="33" t="s">
        <v>1554</v>
      </c>
      <c r="M87" s="33">
        <v>2500000</v>
      </c>
      <c r="N87" s="54">
        <v>8000</v>
      </c>
      <c r="O87" s="33" t="s">
        <v>2326</v>
      </c>
      <c r="P87" t="s">
        <v>1325</v>
      </c>
      <c r="Q87" s="3" t="s">
        <v>2335</v>
      </c>
      <c r="R87">
        <v>1250</v>
      </c>
      <c r="S87">
        <v>26.4</v>
      </c>
      <c r="T87" s="3" t="s">
        <v>2081</v>
      </c>
      <c r="U87" t="s">
        <v>2300</v>
      </c>
      <c r="V87" s="8" t="s">
        <v>2355</v>
      </c>
      <c r="W87" s="7" t="s">
        <v>787</v>
      </c>
      <c r="X87" s="3" t="s">
        <v>2350</v>
      </c>
      <c r="Y87" s="7" t="s">
        <v>1988</v>
      </c>
      <c r="Z87" s="7" t="s">
        <v>2026</v>
      </c>
      <c r="AA87" s="3" t="s">
        <v>2372</v>
      </c>
      <c r="AB87" s="7" t="s">
        <v>787</v>
      </c>
      <c r="AC87" s="7" t="s">
        <v>763</v>
      </c>
      <c r="AD87" s="7" t="s">
        <v>763</v>
      </c>
      <c r="AE87" s="7" t="s">
        <v>763</v>
      </c>
      <c r="AF87" s="7" t="s">
        <v>763</v>
      </c>
      <c r="AG87" s="3" t="s">
        <v>2377</v>
      </c>
      <c r="AH87" s="16">
        <v>82</v>
      </c>
      <c r="AI87" s="8">
        <f>503261+756578</f>
        <v>1259839</v>
      </c>
      <c r="AJ87" s="8">
        <f t="shared" si="43"/>
        <v>4623609.13</v>
      </c>
      <c r="AK87" s="8">
        <f t="shared" si="44"/>
        <v>300.94</v>
      </c>
      <c r="AL87" s="53">
        <v>172.99</v>
      </c>
      <c r="AM87" s="7">
        <f t="shared" si="45"/>
        <v>2680508.510638298</v>
      </c>
      <c r="AN87" s="52">
        <f>71.2/0.47</f>
        <v>151.48936170212767</v>
      </c>
      <c r="AO87" s="52">
        <f>10.8/0.47</f>
        <v>22.978723404255323</v>
      </c>
      <c r="AP87" s="33" t="s">
        <v>763</v>
      </c>
      <c r="AQ87" s="52" t="s">
        <v>763</v>
      </c>
      <c r="AR87" s="30" t="s">
        <v>763</v>
      </c>
      <c r="AS87" s="30" t="s">
        <v>763</v>
      </c>
      <c r="AT87" s="30" t="s">
        <v>763</v>
      </c>
      <c r="AU87" s="30" t="s">
        <v>763</v>
      </c>
      <c r="AV87">
        <f t="shared" si="33"/>
        <v>312.5</v>
      </c>
    </row>
    <row r="88" spans="1:48" x14ac:dyDescent="0.35">
      <c r="A88">
        <v>87</v>
      </c>
      <c r="B88" s="3">
        <v>66</v>
      </c>
      <c r="C88" t="s">
        <v>660</v>
      </c>
      <c r="D88" t="s">
        <v>1701</v>
      </c>
      <c r="E88" s="7" t="s">
        <v>751</v>
      </c>
      <c r="F88" s="7">
        <v>2017</v>
      </c>
      <c r="G88" s="3" t="s">
        <v>1700</v>
      </c>
      <c r="H88" s="7" t="s">
        <v>753</v>
      </c>
      <c r="I88" s="7" t="s">
        <v>754</v>
      </c>
      <c r="J88" s="3">
        <v>6.6833330000000002</v>
      </c>
      <c r="K88" s="3">
        <v>-1.6166670000000001</v>
      </c>
      <c r="L88" s="33" t="s">
        <v>1554</v>
      </c>
      <c r="M88" s="33">
        <v>2500000</v>
      </c>
      <c r="N88" s="54">
        <v>8000</v>
      </c>
      <c r="O88" s="33" t="s">
        <v>2326</v>
      </c>
      <c r="P88" t="s">
        <v>1325</v>
      </c>
      <c r="Q88" s="3" t="s">
        <v>2335</v>
      </c>
      <c r="R88">
        <v>1250</v>
      </c>
      <c r="S88">
        <v>26.4</v>
      </c>
      <c r="T88" s="3" t="s">
        <v>2081</v>
      </c>
      <c r="U88" t="s">
        <v>2300</v>
      </c>
      <c r="V88" s="30" t="s">
        <v>2356</v>
      </c>
      <c r="W88" s="7" t="s">
        <v>787</v>
      </c>
      <c r="X88" s="3" t="s">
        <v>2350</v>
      </c>
      <c r="Y88" s="7" t="s">
        <v>1988</v>
      </c>
      <c r="Z88" s="7" t="s">
        <v>2026</v>
      </c>
      <c r="AA88" s="3" t="s">
        <v>2372</v>
      </c>
      <c r="AB88" s="7" t="s">
        <v>787</v>
      </c>
      <c r="AC88" s="7" t="s">
        <v>763</v>
      </c>
      <c r="AD88" s="7" t="s">
        <v>763</v>
      </c>
      <c r="AE88" s="7" t="s">
        <v>763</v>
      </c>
      <c r="AF88" s="7" t="s">
        <v>763</v>
      </c>
      <c r="AG88" s="3" t="s">
        <v>2377</v>
      </c>
      <c r="AH88" s="16">
        <f>(329.5+474.7+260.1)/3</f>
        <v>354.76666666666671</v>
      </c>
      <c r="AI88" s="8">
        <f>74021+9331+756578</f>
        <v>839930</v>
      </c>
      <c r="AJ88" s="8">
        <f t="shared" si="43"/>
        <v>3082543.1</v>
      </c>
      <c r="AK88" s="8">
        <f t="shared" si="44"/>
        <v>1301.9936666666667</v>
      </c>
      <c r="AL88" s="53">
        <f>(695.15+1001.48+548.73)/3</f>
        <v>748.45333333333338</v>
      </c>
      <c r="AM88" s="7">
        <f>AI88/0.47</f>
        <v>1787085.1063829788</v>
      </c>
      <c r="AN88" s="52">
        <f>((291.2+420+228.5)/3)/0.47</f>
        <v>666.45390070921997</v>
      </c>
      <c r="AO88" s="52">
        <f>((38.3+54.7+31.6)/3)/0.47</f>
        <v>88.36879432624113</v>
      </c>
      <c r="AP88" s="33" t="s">
        <v>763</v>
      </c>
      <c r="AQ88" s="52" t="s">
        <v>763</v>
      </c>
      <c r="AR88" s="30" t="s">
        <v>763</v>
      </c>
      <c r="AS88" s="30" t="s">
        <v>763</v>
      </c>
      <c r="AT88" s="30" t="s">
        <v>763</v>
      </c>
      <c r="AU88" s="30" t="s">
        <v>763</v>
      </c>
      <c r="AV88">
        <f t="shared" si="33"/>
        <v>312.5</v>
      </c>
    </row>
    <row r="89" spans="1:48" x14ac:dyDescent="0.35">
      <c r="A89">
        <v>88</v>
      </c>
      <c r="B89" s="3">
        <v>67</v>
      </c>
      <c r="C89" s="8" t="s">
        <v>697</v>
      </c>
      <c r="D89" s="8" t="s">
        <v>699</v>
      </c>
      <c r="E89" s="7" t="s">
        <v>751</v>
      </c>
      <c r="F89" s="7">
        <v>2020</v>
      </c>
      <c r="G89" s="7" t="s">
        <v>1909</v>
      </c>
      <c r="H89" s="7" t="s">
        <v>753</v>
      </c>
      <c r="I89" s="7" t="s">
        <v>754</v>
      </c>
      <c r="J89" s="3">
        <v>21.15</v>
      </c>
      <c r="K89" s="3">
        <v>79.099999999999994</v>
      </c>
      <c r="L89" s="33" t="s">
        <v>1715</v>
      </c>
      <c r="M89" s="11">
        <v>2405665</v>
      </c>
      <c r="N89" s="11">
        <v>11057</v>
      </c>
      <c r="O89" s="33" t="s">
        <v>2327</v>
      </c>
      <c r="P89" s="8" t="s">
        <v>756</v>
      </c>
      <c r="Q89" s="3" t="s">
        <v>2335</v>
      </c>
      <c r="R89" s="8">
        <v>1162</v>
      </c>
      <c r="S89" s="8">
        <v>29</v>
      </c>
      <c r="T89" s="7" t="s">
        <v>1016</v>
      </c>
      <c r="U89" t="s">
        <v>2297</v>
      </c>
      <c r="V89" s="30" t="s">
        <v>2356</v>
      </c>
      <c r="W89" s="7" t="s">
        <v>787</v>
      </c>
      <c r="X89" s="3" t="s">
        <v>2348</v>
      </c>
      <c r="Y89" s="7" t="s">
        <v>764</v>
      </c>
      <c r="Z89" s="7" t="s">
        <v>2026</v>
      </c>
      <c r="AA89" s="3" t="s">
        <v>2374</v>
      </c>
      <c r="AB89" s="7" t="s">
        <v>787</v>
      </c>
      <c r="AC89" s="7" t="s">
        <v>763</v>
      </c>
      <c r="AD89" s="7" t="s">
        <v>763</v>
      </c>
      <c r="AE89" s="7" t="s">
        <v>763</v>
      </c>
      <c r="AF89" s="7" t="s">
        <v>763</v>
      </c>
      <c r="AG89" s="3" t="s">
        <v>2377</v>
      </c>
      <c r="AH89" s="7">
        <v>68.16</v>
      </c>
      <c r="AI89" s="7">
        <f>AH89*AQ89</f>
        <v>4.2804479999999998</v>
      </c>
      <c r="AJ89" s="7">
        <f t="shared" si="43"/>
        <v>15.709244159999999</v>
      </c>
      <c r="AK89" s="8">
        <f t="shared" si="44"/>
        <v>250.14719999999997</v>
      </c>
      <c r="AL89" s="7">
        <v>143.5</v>
      </c>
      <c r="AM89" s="7">
        <f>AL89*AQ89</f>
        <v>9.0117999999999991</v>
      </c>
      <c r="AN89" s="7">
        <f>AL89/1.24</f>
        <v>115.72580645161291</v>
      </c>
      <c r="AO89" s="7">
        <f>AN89*0.24</f>
        <v>27.774193548387096</v>
      </c>
      <c r="AP89" s="30" t="s">
        <v>2204</v>
      </c>
      <c r="AQ89" s="30">
        <v>6.2799999999999995E-2</v>
      </c>
      <c r="AR89" s="30" t="s">
        <v>763</v>
      </c>
      <c r="AS89" s="30" t="s">
        <v>2274</v>
      </c>
      <c r="AT89" s="30" t="s">
        <v>763</v>
      </c>
      <c r="AU89" s="30" t="s">
        <v>763</v>
      </c>
      <c r="AV89">
        <f t="shared" si="33"/>
        <v>217.56941304151218</v>
      </c>
    </row>
    <row r="90" spans="1:48" x14ac:dyDescent="0.35">
      <c r="A90">
        <v>89</v>
      </c>
      <c r="B90" s="3">
        <v>67</v>
      </c>
      <c r="C90" s="8" t="s">
        <v>697</v>
      </c>
      <c r="D90" s="8" t="s">
        <v>699</v>
      </c>
      <c r="E90" s="7" t="s">
        <v>751</v>
      </c>
      <c r="F90" s="7">
        <v>2020</v>
      </c>
      <c r="G90" s="7" t="s">
        <v>1909</v>
      </c>
      <c r="H90" s="7" t="s">
        <v>753</v>
      </c>
      <c r="I90" s="7" t="s">
        <v>754</v>
      </c>
      <c r="J90" s="3">
        <v>21.15</v>
      </c>
      <c r="K90" s="3">
        <v>79.099999999999994</v>
      </c>
      <c r="L90" s="33" t="s">
        <v>1715</v>
      </c>
      <c r="M90" s="11">
        <v>2405665</v>
      </c>
      <c r="N90" s="11">
        <v>11057</v>
      </c>
      <c r="O90" s="33" t="s">
        <v>2327</v>
      </c>
      <c r="P90" s="8" t="s">
        <v>756</v>
      </c>
      <c r="Q90" s="3" t="s">
        <v>2335</v>
      </c>
      <c r="R90" s="8">
        <v>1162</v>
      </c>
      <c r="S90" s="8">
        <v>29</v>
      </c>
      <c r="T90" s="7" t="s">
        <v>1016</v>
      </c>
      <c r="U90" t="s">
        <v>2297</v>
      </c>
      <c r="V90" s="19" t="s">
        <v>2354</v>
      </c>
      <c r="W90" s="7" t="s">
        <v>787</v>
      </c>
      <c r="X90" s="3" t="s">
        <v>2348</v>
      </c>
      <c r="Y90" s="7" t="s">
        <v>764</v>
      </c>
      <c r="Z90" s="7" t="s">
        <v>2026</v>
      </c>
      <c r="AA90" s="3" t="s">
        <v>2374</v>
      </c>
      <c r="AB90" s="7" t="s">
        <v>787</v>
      </c>
      <c r="AC90" s="7" t="s">
        <v>763</v>
      </c>
      <c r="AD90" s="7" t="s">
        <v>763</v>
      </c>
      <c r="AE90" s="7" t="s">
        <v>763</v>
      </c>
      <c r="AF90" s="7" t="s">
        <v>763</v>
      </c>
      <c r="AG90" s="3" t="s">
        <v>2377</v>
      </c>
      <c r="AH90" s="8">
        <v>105.16</v>
      </c>
      <c r="AI90" s="7">
        <f t="shared" ref="AI90:AI91" si="46">AH90*AQ90</f>
        <v>3.3020239999999994</v>
      </c>
      <c r="AJ90" s="7">
        <f t="shared" si="43"/>
        <v>12.118428079999997</v>
      </c>
      <c r="AK90" s="8">
        <f t="shared" si="44"/>
        <v>385.93719999999996</v>
      </c>
      <c r="AL90" s="7">
        <v>236</v>
      </c>
      <c r="AM90" s="7">
        <f>AL90*AQ90</f>
        <v>7.4103999999999992</v>
      </c>
      <c r="AN90" s="7">
        <f t="shared" ref="AN90:AN91" si="47">AL90/1.24</f>
        <v>190.32258064516128</v>
      </c>
      <c r="AO90" s="7">
        <f t="shared" ref="AO90:AO91" si="48">AN90*0.24</f>
        <v>45.677419354838705</v>
      </c>
      <c r="AP90" s="30" t="s">
        <v>2205</v>
      </c>
      <c r="AQ90" s="30">
        <v>3.1399999999999997E-2</v>
      </c>
      <c r="AR90" s="30" t="s">
        <v>763</v>
      </c>
      <c r="AS90" s="30" t="s">
        <v>2274</v>
      </c>
      <c r="AT90" s="30" t="s">
        <v>763</v>
      </c>
      <c r="AU90" s="30" t="s">
        <v>763</v>
      </c>
      <c r="AV90">
        <f t="shared" si="33"/>
        <v>217.56941304151218</v>
      </c>
    </row>
    <row r="91" spans="1:48" x14ac:dyDescent="0.35">
      <c r="A91">
        <v>90</v>
      </c>
      <c r="B91" s="3">
        <v>67</v>
      </c>
      <c r="C91" s="8" t="s">
        <v>697</v>
      </c>
      <c r="D91" s="8" t="s">
        <v>699</v>
      </c>
      <c r="E91" s="7" t="s">
        <v>751</v>
      </c>
      <c r="F91" s="7">
        <v>2020</v>
      </c>
      <c r="G91" s="7" t="s">
        <v>1909</v>
      </c>
      <c r="H91" s="7" t="s">
        <v>753</v>
      </c>
      <c r="I91" s="7" t="s">
        <v>754</v>
      </c>
      <c r="J91" s="3">
        <v>21.15</v>
      </c>
      <c r="K91" s="3">
        <v>79.099999999999994</v>
      </c>
      <c r="L91" s="33" t="s">
        <v>1715</v>
      </c>
      <c r="M91" s="11">
        <v>2405665</v>
      </c>
      <c r="N91" s="11">
        <v>11057</v>
      </c>
      <c r="O91" s="33" t="s">
        <v>2327</v>
      </c>
      <c r="P91" s="8" t="s">
        <v>756</v>
      </c>
      <c r="Q91" s="3" t="s">
        <v>2335</v>
      </c>
      <c r="R91" s="8">
        <v>1162</v>
      </c>
      <c r="S91" s="8">
        <v>29</v>
      </c>
      <c r="T91" s="7" t="s">
        <v>1016</v>
      </c>
      <c r="U91" t="s">
        <v>2297</v>
      </c>
      <c r="V91" s="3" t="s">
        <v>2371</v>
      </c>
      <c r="W91" s="7" t="s">
        <v>787</v>
      </c>
      <c r="X91" s="3" t="s">
        <v>2348</v>
      </c>
      <c r="Y91" s="7" t="s">
        <v>764</v>
      </c>
      <c r="Z91" s="7" t="s">
        <v>2026</v>
      </c>
      <c r="AA91" s="3" t="s">
        <v>2374</v>
      </c>
      <c r="AB91" s="7" t="s">
        <v>787</v>
      </c>
      <c r="AC91" s="7" t="s">
        <v>763</v>
      </c>
      <c r="AD91" s="7" t="s">
        <v>763</v>
      </c>
      <c r="AE91" s="7" t="s">
        <v>763</v>
      </c>
      <c r="AF91" s="7" t="s">
        <v>763</v>
      </c>
      <c r="AG91" s="3" t="s">
        <v>2377</v>
      </c>
      <c r="AH91" s="8">
        <v>103.1</v>
      </c>
      <c r="AI91" s="7">
        <f t="shared" si="46"/>
        <v>9.5573700000000006</v>
      </c>
      <c r="AJ91" s="7">
        <f t="shared" si="43"/>
        <v>35.075547900000004</v>
      </c>
      <c r="AK91" s="8">
        <f t="shared" si="44"/>
        <v>378.37699999999995</v>
      </c>
      <c r="AL91" s="46">
        <v>256.23</v>
      </c>
      <c r="AM91" s="7">
        <f>AL91*AQ91</f>
        <v>23.752521000000002</v>
      </c>
      <c r="AN91" s="7">
        <f t="shared" si="47"/>
        <v>206.63709677419357</v>
      </c>
      <c r="AO91" s="7">
        <f t="shared" si="48"/>
        <v>49.592903225806452</v>
      </c>
      <c r="AP91" s="30" t="s">
        <v>2206</v>
      </c>
      <c r="AQ91" s="30">
        <v>9.2700000000000005E-2</v>
      </c>
      <c r="AR91" s="30" t="s">
        <v>763</v>
      </c>
      <c r="AS91" s="30" t="s">
        <v>2274</v>
      </c>
      <c r="AT91" s="30" t="s">
        <v>763</v>
      </c>
      <c r="AU91" s="30" t="s">
        <v>763</v>
      </c>
      <c r="AV91">
        <f t="shared" si="33"/>
        <v>217.56941304151218</v>
      </c>
    </row>
    <row r="92" spans="1:48" x14ac:dyDescent="0.35">
      <c r="A92">
        <v>91</v>
      </c>
      <c r="B92" s="3">
        <v>68</v>
      </c>
      <c r="C92" s="8" t="s">
        <v>1759</v>
      </c>
      <c r="D92" s="8" t="s">
        <v>1760</v>
      </c>
      <c r="E92" s="7" t="s">
        <v>751</v>
      </c>
      <c r="F92" s="7">
        <v>2016</v>
      </c>
      <c r="G92" s="33" t="s">
        <v>1767</v>
      </c>
      <c r="H92" s="7" t="s">
        <v>795</v>
      </c>
      <c r="I92" s="7" t="s">
        <v>776</v>
      </c>
      <c r="J92" s="3">
        <v>-6.5590339999999996</v>
      </c>
      <c r="K92" s="3">
        <v>106.725227</v>
      </c>
      <c r="L92" s="30" t="s">
        <v>1757</v>
      </c>
      <c r="M92" s="11">
        <v>950334</v>
      </c>
      <c r="N92" s="11">
        <v>8505</v>
      </c>
      <c r="O92" s="33" t="s">
        <v>2327</v>
      </c>
      <c r="P92" s="8" t="s">
        <v>832</v>
      </c>
      <c r="Q92" s="3" t="s">
        <v>2339</v>
      </c>
      <c r="R92" s="8">
        <v>374.3</v>
      </c>
      <c r="S92" s="8">
        <v>25</v>
      </c>
      <c r="T92" s="7" t="s">
        <v>2080</v>
      </c>
      <c r="U92" t="s">
        <v>2300</v>
      </c>
      <c r="V92" s="3" t="s">
        <v>2370</v>
      </c>
      <c r="W92" s="7" t="s">
        <v>762</v>
      </c>
      <c r="X92" s="3" t="s">
        <v>2346</v>
      </c>
      <c r="Y92" s="7" t="s">
        <v>1987</v>
      </c>
      <c r="Z92" s="8" t="s">
        <v>2037</v>
      </c>
      <c r="AA92" s="3" t="s">
        <v>2374</v>
      </c>
      <c r="AB92" s="7" t="s">
        <v>787</v>
      </c>
      <c r="AC92" s="7" t="s">
        <v>763</v>
      </c>
      <c r="AD92" s="7" t="s">
        <v>763</v>
      </c>
      <c r="AE92" s="7" t="s">
        <v>763</v>
      </c>
      <c r="AF92" s="7" t="s">
        <v>763</v>
      </c>
      <c r="AG92" s="3" t="s">
        <v>2376</v>
      </c>
      <c r="AH92" s="8">
        <v>27.36</v>
      </c>
      <c r="AI92" s="8">
        <f>((1989*21096.98)+(1999*15653.6)+(2009*16771.36)+(2014*7031.57))/(1989+1999+2009+2014)</f>
        <v>15117.798507052805</v>
      </c>
      <c r="AJ92" s="8">
        <f t="shared" si="43"/>
        <v>55482.32052088379</v>
      </c>
      <c r="AK92" s="8">
        <f t="shared" si="44"/>
        <v>100.41119999999999</v>
      </c>
      <c r="AL92" s="33">
        <f t="shared" ref="AL92" si="49">AN92+AO92</f>
        <v>72.192800000000005</v>
      </c>
      <c r="AM92" s="8">
        <f>((1989*44887.19)+(1999* 33305.53)+(2009*35683.74)+(2014*14960.79))/(1989+1999+2009+2014)</f>
        <v>32165.527412308074</v>
      </c>
      <c r="AN92" s="7">
        <v>58.22</v>
      </c>
      <c r="AO92" s="33">
        <f>AN92*0.24</f>
        <v>13.972799999999999</v>
      </c>
      <c r="AP92" s="30" t="s">
        <v>1763</v>
      </c>
      <c r="AQ92" s="30">
        <v>256.97000000000003</v>
      </c>
      <c r="AR92" s="30" t="s">
        <v>763</v>
      </c>
      <c r="AS92" s="30" t="s">
        <v>763</v>
      </c>
      <c r="AT92" s="30" t="s">
        <v>763</v>
      </c>
      <c r="AU92" s="30" t="s">
        <v>763</v>
      </c>
      <c r="AV92">
        <f t="shared" si="33"/>
        <v>111.73827160493828</v>
      </c>
    </row>
    <row r="93" spans="1:48" x14ac:dyDescent="0.35">
      <c r="A93">
        <v>92</v>
      </c>
      <c r="B93" s="7">
        <v>70</v>
      </c>
      <c r="C93" s="8" t="s">
        <v>163</v>
      </c>
      <c r="D93" s="8" t="s">
        <v>165</v>
      </c>
      <c r="E93" s="7" t="s">
        <v>751</v>
      </c>
      <c r="F93" s="7">
        <v>2023</v>
      </c>
      <c r="G93" s="7" t="s">
        <v>763</v>
      </c>
      <c r="H93" s="7" t="s">
        <v>753</v>
      </c>
      <c r="I93" s="7" t="s">
        <v>754</v>
      </c>
      <c r="J93" s="8">
        <v>8.5833329999999997</v>
      </c>
      <c r="K93" s="8">
        <v>124.45</v>
      </c>
      <c r="L93" s="8" t="s">
        <v>1794</v>
      </c>
      <c r="M93" s="11">
        <v>26363</v>
      </c>
      <c r="N93">
        <v>721.1</v>
      </c>
      <c r="O93" s="33" t="s">
        <v>2327</v>
      </c>
      <c r="P93" s="7" t="s">
        <v>1112</v>
      </c>
      <c r="Q93" s="3" t="s">
        <v>2340</v>
      </c>
      <c r="R93" s="7">
        <v>2080</v>
      </c>
      <c r="S93" s="7">
        <v>25.6</v>
      </c>
      <c r="T93" s="7" t="s">
        <v>763</v>
      </c>
      <c r="U93" t="s">
        <v>2303</v>
      </c>
      <c r="V93" s="3" t="s">
        <v>2353</v>
      </c>
      <c r="W93" s="7" t="s">
        <v>914</v>
      </c>
      <c r="X93" s="3" t="s">
        <v>2350</v>
      </c>
      <c r="Y93" s="7" t="s">
        <v>764</v>
      </c>
      <c r="Z93" s="8" t="s">
        <v>2026</v>
      </c>
      <c r="AA93" s="3" t="s">
        <v>2374</v>
      </c>
      <c r="AB93" s="7" t="s">
        <v>787</v>
      </c>
      <c r="AC93" s="7" t="s">
        <v>763</v>
      </c>
      <c r="AD93" s="7" t="s">
        <v>763</v>
      </c>
      <c r="AE93" s="7" t="s">
        <v>763</v>
      </c>
      <c r="AF93" s="7" t="s">
        <v>763</v>
      </c>
      <c r="AG93" s="3" t="s">
        <v>2376</v>
      </c>
      <c r="AH93" s="7">
        <v>41.76</v>
      </c>
      <c r="AI93" s="7">
        <f>AH93*AQ93</f>
        <v>918.71999999999991</v>
      </c>
      <c r="AJ93" s="7">
        <f t="shared" si="43"/>
        <v>3371.7023999999997</v>
      </c>
      <c r="AK93" s="7">
        <f t="shared" si="44"/>
        <v>153.25919999999999</v>
      </c>
      <c r="AL93" s="7">
        <f>AN93+AO93</f>
        <v>99.485200000000006</v>
      </c>
      <c r="AM93" s="7">
        <f>AI93/0.47</f>
        <v>1954.7234042553191</v>
      </c>
      <c r="AN93" s="7">
        <v>80.23</v>
      </c>
      <c r="AO93" s="7">
        <f>AN93*0.24</f>
        <v>19.255199999999999</v>
      </c>
      <c r="AP93" s="33" t="s">
        <v>763</v>
      </c>
      <c r="AQ93" s="33">
        <v>22</v>
      </c>
      <c r="AR93" s="30">
        <v>33</v>
      </c>
      <c r="AS93" s="33" t="s">
        <v>1118</v>
      </c>
      <c r="AT93" s="33" t="s">
        <v>763</v>
      </c>
      <c r="AU93" s="33" t="s">
        <v>763</v>
      </c>
      <c r="AV93">
        <f t="shared" si="33"/>
        <v>36.559423103591733</v>
      </c>
    </row>
    <row r="94" spans="1:48" x14ac:dyDescent="0.35">
      <c r="A94">
        <v>93</v>
      </c>
      <c r="B94" s="7">
        <v>70</v>
      </c>
      <c r="C94" s="8" t="s">
        <v>163</v>
      </c>
      <c r="D94" s="8" t="s">
        <v>165</v>
      </c>
      <c r="E94" s="7" t="s">
        <v>751</v>
      </c>
      <c r="F94" s="7">
        <v>2023</v>
      </c>
      <c r="G94" s="7" t="s">
        <v>763</v>
      </c>
      <c r="H94" s="7" t="s">
        <v>753</v>
      </c>
      <c r="I94" s="7" t="s">
        <v>754</v>
      </c>
      <c r="J94" s="8">
        <v>8.5714109999999994</v>
      </c>
      <c r="K94" s="8">
        <v>124.4751</v>
      </c>
      <c r="L94" s="8" t="s">
        <v>1795</v>
      </c>
      <c r="M94" s="11">
        <v>32163</v>
      </c>
      <c r="N94">
        <v>274.8</v>
      </c>
      <c r="O94" s="33" t="s">
        <v>2327</v>
      </c>
      <c r="P94" s="7" t="s">
        <v>1112</v>
      </c>
      <c r="Q94" s="3" t="s">
        <v>2340</v>
      </c>
      <c r="R94" s="7">
        <v>2080</v>
      </c>
      <c r="S94" s="7">
        <v>25.7</v>
      </c>
      <c r="T94" s="7" t="s">
        <v>763</v>
      </c>
      <c r="U94" t="s">
        <v>2303</v>
      </c>
      <c r="V94" s="3" t="s">
        <v>2353</v>
      </c>
      <c r="W94" s="7" t="s">
        <v>914</v>
      </c>
      <c r="X94" s="3" t="s">
        <v>2350</v>
      </c>
      <c r="Y94" s="7" t="s">
        <v>764</v>
      </c>
      <c r="Z94" s="8" t="s">
        <v>2026</v>
      </c>
      <c r="AA94" s="3" t="s">
        <v>2374</v>
      </c>
      <c r="AB94" s="7" t="s">
        <v>787</v>
      </c>
      <c r="AC94" s="7" t="s">
        <v>763</v>
      </c>
      <c r="AD94" s="7" t="s">
        <v>763</v>
      </c>
      <c r="AE94" s="7" t="s">
        <v>763</v>
      </c>
      <c r="AF94" s="7" t="s">
        <v>763</v>
      </c>
      <c r="AG94" s="3" t="s">
        <v>2376</v>
      </c>
      <c r="AH94" s="7">
        <v>135.19999999999999</v>
      </c>
      <c r="AI94" s="7">
        <f>AH94*AQ94</f>
        <v>3379.9999999999995</v>
      </c>
      <c r="AJ94" s="7">
        <f t="shared" si="43"/>
        <v>12404.599999999999</v>
      </c>
      <c r="AK94" s="7">
        <f t="shared" si="44"/>
        <v>496.18399999999997</v>
      </c>
      <c r="AL94" s="7">
        <f t="shared" ref="AL94:AL95" si="50">AN94+AO94</f>
        <v>318.55599999999998</v>
      </c>
      <c r="AM94" s="7">
        <f t="shared" ref="AM94:AM95" si="51">AI94/0.47</f>
        <v>7191.4893617021271</v>
      </c>
      <c r="AN94" s="7">
        <v>256.89999999999998</v>
      </c>
      <c r="AO94" s="7">
        <f t="shared" ref="AO94:AO95" si="52">AN94*0.24</f>
        <v>61.655999999999992</v>
      </c>
      <c r="AP94" s="7" t="s">
        <v>763</v>
      </c>
      <c r="AQ94" s="7">
        <v>25</v>
      </c>
      <c r="AR94" s="8">
        <v>27</v>
      </c>
      <c r="AS94" s="7" t="s">
        <v>1118</v>
      </c>
      <c r="AT94" s="7" t="s">
        <v>763</v>
      </c>
      <c r="AU94" s="7" t="s">
        <v>763</v>
      </c>
      <c r="AV94">
        <f t="shared" si="33"/>
        <v>117.0414847161572</v>
      </c>
    </row>
    <row r="95" spans="1:48" x14ac:dyDescent="0.35">
      <c r="A95">
        <v>94</v>
      </c>
      <c r="B95" s="7">
        <v>70</v>
      </c>
      <c r="C95" s="8" t="s">
        <v>163</v>
      </c>
      <c r="D95" s="8" t="s">
        <v>165</v>
      </c>
      <c r="E95" s="7" t="s">
        <v>751</v>
      </c>
      <c r="F95" s="7">
        <v>2023</v>
      </c>
      <c r="G95" s="7" t="s">
        <v>763</v>
      </c>
      <c r="H95" s="7" t="s">
        <v>753</v>
      </c>
      <c r="I95" s="7" t="s">
        <v>754</v>
      </c>
      <c r="J95" s="8">
        <v>8.5666670000000007</v>
      </c>
      <c r="K95" s="8">
        <v>124.5167</v>
      </c>
      <c r="L95" s="8" t="s">
        <v>1796</v>
      </c>
      <c r="M95" s="11">
        <v>58771</v>
      </c>
      <c r="N95">
        <v>690.4</v>
      </c>
      <c r="O95" s="33" t="s">
        <v>2327</v>
      </c>
      <c r="P95" s="7" t="s">
        <v>1112</v>
      </c>
      <c r="Q95" s="3" t="s">
        <v>2340</v>
      </c>
      <c r="R95" s="7">
        <v>2080</v>
      </c>
      <c r="S95">
        <v>24.6</v>
      </c>
      <c r="T95" s="7" t="s">
        <v>763</v>
      </c>
      <c r="U95" t="s">
        <v>2303</v>
      </c>
      <c r="V95" s="3" t="s">
        <v>2353</v>
      </c>
      <c r="W95" s="7" t="s">
        <v>914</v>
      </c>
      <c r="X95" s="3" t="s">
        <v>2350</v>
      </c>
      <c r="Y95" s="7" t="s">
        <v>764</v>
      </c>
      <c r="Z95" s="8" t="s">
        <v>2026</v>
      </c>
      <c r="AA95" s="3" t="s">
        <v>2374</v>
      </c>
      <c r="AB95" s="7" t="s">
        <v>787</v>
      </c>
      <c r="AC95" s="7" t="s">
        <v>763</v>
      </c>
      <c r="AD95" s="7" t="s">
        <v>763</v>
      </c>
      <c r="AE95" s="7" t="s">
        <v>763</v>
      </c>
      <c r="AF95" s="7" t="s">
        <v>763</v>
      </c>
      <c r="AG95" s="3" t="s">
        <v>2376</v>
      </c>
      <c r="AH95" s="7">
        <v>43.3</v>
      </c>
      <c r="AI95" s="7">
        <f>AH95*AQ95</f>
        <v>1082.5</v>
      </c>
      <c r="AJ95" s="7">
        <f t="shared" si="43"/>
        <v>3972.7750000000001</v>
      </c>
      <c r="AK95" s="7">
        <f t="shared" si="44"/>
        <v>158.91099999999997</v>
      </c>
      <c r="AL95" s="7">
        <f t="shared" si="50"/>
        <v>101.80399999999999</v>
      </c>
      <c r="AM95" s="7">
        <f t="shared" si="51"/>
        <v>2303.1914893617022</v>
      </c>
      <c r="AN95" s="7">
        <v>82.1</v>
      </c>
      <c r="AO95" s="7">
        <f t="shared" si="52"/>
        <v>19.703999999999997</v>
      </c>
      <c r="AP95" s="7" t="s">
        <v>763</v>
      </c>
      <c r="AQ95" s="7">
        <v>25</v>
      </c>
      <c r="AR95" s="8">
        <v>17</v>
      </c>
      <c r="AS95" s="7" t="s">
        <v>1118</v>
      </c>
      <c r="AT95" s="7" t="s">
        <v>763</v>
      </c>
      <c r="AU95" s="7" t="s">
        <v>763</v>
      </c>
      <c r="AV95">
        <f t="shared" si="33"/>
        <v>85.126013904982628</v>
      </c>
    </row>
    <row r="96" spans="1:48" x14ac:dyDescent="0.35">
      <c r="A96">
        <v>95</v>
      </c>
      <c r="B96" s="7">
        <v>71</v>
      </c>
      <c r="C96" s="8" t="s">
        <v>639</v>
      </c>
      <c r="D96" s="8" t="s">
        <v>1642</v>
      </c>
      <c r="E96" s="7" t="s">
        <v>751</v>
      </c>
      <c r="F96" s="7">
        <v>2020</v>
      </c>
      <c r="G96" s="7" t="s">
        <v>1641</v>
      </c>
      <c r="H96" s="7" t="s">
        <v>753</v>
      </c>
      <c r="I96" s="7" t="s">
        <v>754</v>
      </c>
      <c r="J96" s="8">
        <v>4.7894439999999996</v>
      </c>
      <c r="K96" s="8">
        <v>6.9730559999999997</v>
      </c>
      <c r="L96" s="8" t="s">
        <v>1797</v>
      </c>
      <c r="M96" s="11">
        <v>1148665</v>
      </c>
      <c r="N96">
        <v>13132.9</v>
      </c>
      <c r="O96" s="8" t="s">
        <v>2326</v>
      </c>
      <c r="P96" s="8" t="s">
        <v>823</v>
      </c>
      <c r="Q96" t="s">
        <v>2332</v>
      </c>
      <c r="R96" s="26">
        <v>2708</v>
      </c>
      <c r="S96" s="8">
        <v>26.4</v>
      </c>
      <c r="T96" s="7" t="s">
        <v>2078</v>
      </c>
      <c r="U96" t="s">
        <v>2300</v>
      </c>
      <c r="V96" s="3" t="s">
        <v>2370</v>
      </c>
      <c r="W96" s="7" t="s">
        <v>914</v>
      </c>
      <c r="X96" s="3" t="s">
        <v>2348</v>
      </c>
      <c r="Y96" s="7" t="s">
        <v>764</v>
      </c>
      <c r="Z96" s="7" t="s">
        <v>2039</v>
      </c>
      <c r="AA96" s="3" t="s">
        <v>2374</v>
      </c>
      <c r="AB96" s="7" t="s">
        <v>787</v>
      </c>
      <c r="AC96" s="7" t="s">
        <v>763</v>
      </c>
      <c r="AD96" s="7" t="s">
        <v>763</v>
      </c>
      <c r="AE96" s="7" t="s">
        <v>763</v>
      </c>
      <c r="AF96" s="7" t="s">
        <v>763</v>
      </c>
      <c r="AG96" s="3" t="s">
        <v>2377</v>
      </c>
      <c r="AH96" s="8">
        <v>136.15</v>
      </c>
      <c r="AI96" s="8">
        <v>67979.08</v>
      </c>
      <c r="AJ96" s="7">
        <f t="shared" si="43"/>
        <v>249483.2236</v>
      </c>
      <c r="AK96" s="7">
        <f t="shared" si="44"/>
        <v>499.6705</v>
      </c>
      <c r="AL96" s="33">
        <f>AM96/AQ96</f>
        <v>289.68983421232963</v>
      </c>
      <c r="AM96" s="33">
        <f xml:space="preserve"> 67979.08/0.47</f>
        <v>144636.34042553193</v>
      </c>
      <c r="AN96" s="33">
        <f>(56649.23/0.47)/AQ96</f>
        <v>241.40818097208921</v>
      </c>
      <c r="AO96" s="33">
        <f>(11329.85/0.47)/AQ96</f>
        <v>48.281653240240423</v>
      </c>
      <c r="AP96" s="7" t="s">
        <v>763</v>
      </c>
      <c r="AQ96" s="8">
        <v>499.28</v>
      </c>
      <c r="AR96" s="8" t="s">
        <v>763</v>
      </c>
      <c r="AS96" s="8" t="s">
        <v>2222</v>
      </c>
      <c r="AT96" s="8">
        <f>746/AQ96</f>
        <v>1.4941515782727128</v>
      </c>
      <c r="AU96" s="8" t="s">
        <v>763</v>
      </c>
      <c r="AV96">
        <f t="shared" si="33"/>
        <v>87.46468792117507</v>
      </c>
    </row>
    <row r="97" spans="1:48" x14ac:dyDescent="0.35">
      <c r="A97">
        <v>96</v>
      </c>
      <c r="B97" s="7">
        <v>71</v>
      </c>
      <c r="C97" s="8" t="s">
        <v>639</v>
      </c>
      <c r="D97" s="8" t="s">
        <v>1642</v>
      </c>
      <c r="E97" s="7" t="s">
        <v>751</v>
      </c>
      <c r="F97" s="7">
        <v>2020</v>
      </c>
      <c r="G97" s="7" t="s">
        <v>1641</v>
      </c>
      <c r="H97" s="7" t="s">
        <v>753</v>
      </c>
      <c r="I97" s="7" t="s">
        <v>754</v>
      </c>
      <c r="J97" s="8">
        <v>8.4991669999999999</v>
      </c>
      <c r="K97" s="8">
        <v>4.5005559999999996</v>
      </c>
      <c r="L97" s="8" t="s">
        <v>1798</v>
      </c>
      <c r="M97" s="11">
        <v>814192</v>
      </c>
      <c r="N97" s="16">
        <v>1188</v>
      </c>
      <c r="O97" s="8" t="s">
        <v>2326</v>
      </c>
      <c r="P97" s="8" t="s">
        <v>823</v>
      </c>
      <c r="Q97" s="3" t="s">
        <v>2335</v>
      </c>
      <c r="R97" s="8">
        <v>1217</v>
      </c>
      <c r="S97" s="8">
        <v>27.2</v>
      </c>
      <c r="T97" s="7" t="s">
        <v>2078</v>
      </c>
      <c r="U97" t="s">
        <v>2298</v>
      </c>
      <c r="V97" s="3" t="s">
        <v>2370</v>
      </c>
      <c r="W97" s="7" t="s">
        <v>914</v>
      </c>
      <c r="X97" s="3" t="s">
        <v>2348</v>
      </c>
      <c r="Y97" s="7" t="s">
        <v>764</v>
      </c>
      <c r="Z97" s="7" t="s">
        <v>2039</v>
      </c>
      <c r="AA97" s="3" t="s">
        <v>2374</v>
      </c>
      <c r="AB97" s="7" t="s">
        <v>787</v>
      </c>
      <c r="AC97" s="7" t="s">
        <v>763</v>
      </c>
      <c r="AD97" s="7" t="s">
        <v>763</v>
      </c>
      <c r="AE97" s="7" t="s">
        <v>763</v>
      </c>
      <c r="AF97" s="7" t="s">
        <v>763</v>
      </c>
      <c r="AG97" s="3" t="s">
        <v>2377</v>
      </c>
      <c r="AH97" s="8">
        <v>7.82</v>
      </c>
      <c r="AI97" s="8">
        <v>91512.49</v>
      </c>
      <c r="AJ97" s="7">
        <f t="shared" si="43"/>
        <v>335850.8383</v>
      </c>
      <c r="AK97" s="7">
        <f t="shared" si="44"/>
        <v>28.699400000000001</v>
      </c>
      <c r="AL97" s="33">
        <f>AM97/AQ97</f>
        <v>83.176310620665092</v>
      </c>
      <c r="AM97" s="33">
        <f xml:space="preserve"> 91512.49/0.47</f>
        <v>194707.42553191492</v>
      </c>
      <c r="AN97" s="33">
        <f>(76260.41/0.47)/AQ97</f>
        <v>69.313593698731992</v>
      </c>
      <c r="AO97" s="33">
        <f>(15252.08/0.47)/AQ97</f>
        <v>13.862716921933099</v>
      </c>
      <c r="AP97" s="7" t="s">
        <v>763</v>
      </c>
      <c r="AQ97" s="8">
        <v>2340.9</v>
      </c>
      <c r="AR97" s="8" t="s">
        <v>763</v>
      </c>
      <c r="AS97" s="8" t="s">
        <v>2242</v>
      </c>
      <c r="AT97" s="8">
        <f>556/AQ97</f>
        <v>0.23751548549703105</v>
      </c>
      <c r="AU97" s="8" t="s">
        <v>763</v>
      </c>
      <c r="AV97">
        <f t="shared" si="33"/>
        <v>685.34680134680139</v>
      </c>
    </row>
    <row r="98" spans="1:48" x14ac:dyDescent="0.35">
      <c r="A98">
        <v>97</v>
      </c>
      <c r="B98" s="7">
        <v>72</v>
      </c>
      <c r="C98" s="8" t="s">
        <v>707</v>
      </c>
      <c r="D98" s="8" t="s">
        <v>709</v>
      </c>
      <c r="E98" s="7" t="s">
        <v>751</v>
      </c>
      <c r="F98" s="7">
        <v>2019</v>
      </c>
      <c r="G98" s="7" t="s">
        <v>763</v>
      </c>
      <c r="H98" s="7" t="s">
        <v>753</v>
      </c>
      <c r="I98" s="7" t="s">
        <v>754</v>
      </c>
      <c r="J98" s="8">
        <v>13.583333</v>
      </c>
      <c r="K98" s="8">
        <v>2.25</v>
      </c>
      <c r="L98" s="8" t="s">
        <v>1799</v>
      </c>
      <c r="M98" s="11">
        <v>1324700</v>
      </c>
      <c r="N98" s="11">
        <v>1977</v>
      </c>
      <c r="O98" s="8" t="s">
        <v>2326</v>
      </c>
      <c r="P98" s="8" t="s">
        <v>1729</v>
      </c>
      <c r="Q98" s="3" t="s">
        <v>2336</v>
      </c>
      <c r="R98" s="8">
        <v>340</v>
      </c>
      <c r="S98">
        <v>29.1</v>
      </c>
      <c r="T98" s="7" t="s">
        <v>763</v>
      </c>
      <c r="U98" t="s">
        <v>2298</v>
      </c>
      <c r="V98" s="19" t="s">
        <v>2354</v>
      </c>
      <c r="W98" s="7" t="s">
        <v>914</v>
      </c>
      <c r="X98" s="3" t="s">
        <v>2346</v>
      </c>
      <c r="Y98" s="7" t="s">
        <v>764</v>
      </c>
      <c r="Z98" s="7" t="s">
        <v>2026</v>
      </c>
      <c r="AA98" s="3" t="s">
        <v>2374</v>
      </c>
      <c r="AB98" s="7" t="s">
        <v>787</v>
      </c>
      <c r="AC98" s="7" t="s">
        <v>763</v>
      </c>
      <c r="AD98" s="7" t="s">
        <v>763</v>
      </c>
      <c r="AE98" s="7" t="s">
        <v>763</v>
      </c>
      <c r="AF98" s="7" t="s">
        <v>763</v>
      </c>
      <c r="AG98" s="3" t="s">
        <v>2377</v>
      </c>
      <c r="AH98" s="8">
        <v>17.809999999999999</v>
      </c>
      <c r="AI98" s="8" t="s">
        <v>763</v>
      </c>
      <c r="AJ98" s="7" t="s">
        <v>763</v>
      </c>
      <c r="AK98" s="7">
        <f t="shared" si="44"/>
        <v>65.36269999999999</v>
      </c>
      <c r="AL98" s="8">
        <f>AN98+AO98</f>
        <v>37.596800000000002</v>
      </c>
      <c r="AM98" s="8" t="s">
        <v>763</v>
      </c>
      <c r="AN98" s="8">
        <v>30.32</v>
      </c>
      <c r="AO98" s="8">
        <f>AN98*0.24</f>
        <v>7.2767999999999997</v>
      </c>
      <c r="AP98" s="7" t="s">
        <v>763</v>
      </c>
      <c r="AQ98" s="8" t="s">
        <v>763</v>
      </c>
      <c r="AR98" s="8" t="s">
        <v>763</v>
      </c>
      <c r="AS98" t="s">
        <v>2243</v>
      </c>
      <c r="AT98" s="8" t="s">
        <v>763</v>
      </c>
      <c r="AU98" s="8" t="s">
        <v>763</v>
      </c>
      <c r="AV98">
        <f t="shared" si="33"/>
        <v>670.05563985837125</v>
      </c>
    </row>
    <row r="99" spans="1:48" x14ac:dyDescent="0.35">
      <c r="A99">
        <v>98</v>
      </c>
      <c r="B99" s="7">
        <v>72</v>
      </c>
      <c r="C99" s="8" t="s">
        <v>707</v>
      </c>
      <c r="D99" s="8" t="s">
        <v>709</v>
      </c>
      <c r="E99" s="7" t="s">
        <v>751</v>
      </c>
      <c r="F99" s="7">
        <v>2019</v>
      </c>
      <c r="G99" s="7" t="s">
        <v>763</v>
      </c>
      <c r="H99" s="7" t="s">
        <v>753</v>
      </c>
      <c r="I99" s="7" t="s">
        <v>754</v>
      </c>
      <c r="J99" s="8">
        <v>13.583333</v>
      </c>
      <c r="K99" s="8">
        <v>2.25</v>
      </c>
      <c r="L99" s="8" t="s">
        <v>1799</v>
      </c>
      <c r="M99" s="11">
        <v>1324700</v>
      </c>
      <c r="N99" s="11">
        <v>1977</v>
      </c>
      <c r="O99" s="8" t="s">
        <v>2326</v>
      </c>
      <c r="P99" s="8" t="s">
        <v>1729</v>
      </c>
      <c r="Q99" s="3" t="s">
        <v>2336</v>
      </c>
      <c r="R99" s="8">
        <v>340</v>
      </c>
      <c r="S99">
        <v>29.1</v>
      </c>
      <c r="T99" s="7" t="s">
        <v>763</v>
      </c>
      <c r="U99" t="s">
        <v>2298</v>
      </c>
      <c r="V99" s="3" t="s">
        <v>2371</v>
      </c>
      <c r="W99" s="7" t="s">
        <v>914</v>
      </c>
      <c r="X99" s="3" t="s">
        <v>2348</v>
      </c>
      <c r="Y99" s="7" t="s">
        <v>764</v>
      </c>
      <c r="Z99" s="7" t="s">
        <v>2026</v>
      </c>
      <c r="AA99" s="3" t="s">
        <v>2374</v>
      </c>
      <c r="AB99" s="7" t="s">
        <v>787</v>
      </c>
      <c r="AC99" s="7" t="s">
        <v>763</v>
      </c>
      <c r="AD99" s="7" t="s">
        <v>763</v>
      </c>
      <c r="AE99" s="7" t="s">
        <v>763</v>
      </c>
      <c r="AF99" s="7" t="s">
        <v>763</v>
      </c>
      <c r="AG99" s="3" t="s">
        <v>2377</v>
      </c>
      <c r="AH99" s="7">
        <f>185.81/5</f>
        <v>37.161999999999999</v>
      </c>
      <c r="AI99" s="7" t="s">
        <v>763</v>
      </c>
      <c r="AJ99" s="7" t="s">
        <v>763</v>
      </c>
      <c r="AK99" s="7">
        <f t="shared" si="44"/>
        <v>136.38453999999999</v>
      </c>
      <c r="AL99" s="8">
        <f>AN99+AO99</f>
        <v>80.96208</v>
      </c>
      <c r="AM99" s="7" t="s">
        <v>763</v>
      </c>
      <c r="AN99" s="7">
        <f>326.46/5</f>
        <v>65.292000000000002</v>
      </c>
      <c r="AO99" s="8">
        <f>AN99*0.24</f>
        <v>15.67008</v>
      </c>
      <c r="AP99" s="7" t="s">
        <v>763</v>
      </c>
      <c r="AQ99" s="8" t="s">
        <v>763</v>
      </c>
      <c r="AR99" s="8" t="s">
        <v>763</v>
      </c>
      <c r="AS99" t="s">
        <v>2243</v>
      </c>
      <c r="AT99" s="8" t="s">
        <v>763</v>
      </c>
      <c r="AU99" s="8" t="s">
        <v>763</v>
      </c>
      <c r="AV99">
        <f t="shared" si="33"/>
        <v>670.05563985837125</v>
      </c>
    </row>
    <row r="100" spans="1:48" x14ac:dyDescent="0.35">
      <c r="A100">
        <v>99</v>
      </c>
      <c r="B100" s="7">
        <v>72</v>
      </c>
      <c r="C100" s="8" t="s">
        <v>707</v>
      </c>
      <c r="D100" s="8" t="s">
        <v>709</v>
      </c>
      <c r="E100" s="7" t="s">
        <v>751</v>
      </c>
      <c r="F100" s="7">
        <v>2019</v>
      </c>
      <c r="G100" s="7" t="s">
        <v>763</v>
      </c>
      <c r="H100" s="7" t="s">
        <v>753</v>
      </c>
      <c r="I100" s="7" t="s">
        <v>754</v>
      </c>
      <c r="J100" s="8">
        <v>13.533333000000001</v>
      </c>
      <c r="K100" s="8">
        <v>7.6666670000000003</v>
      </c>
      <c r="L100" s="8" t="s">
        <v>1800</v>
      </c>
      <c r="M100" s="11">
        <v>267249</v>
      </c>
      <c r="N100" s="11">
        <v>3613</v>
      </c>
      <c r="O100" s="8" t="s">
        <v>2326</v>
      </c>
      <c r="P100" s="8" t="s">
        <v>1729</v>
      </c>
      <c r="Q100" s="3" t="s">
        <v>2336</v>
      </c>
      <c r="R100" s="8">
        <v>340</v>
      </c>
      <c r="S100">
        <v>27.8</v>
      </c>
      <c r="T100" s="7" t="s">
        <v>763</v>
      </c>
      <c r="U100" t="s">
        <v>2298</v>
      </c>
      <c r="V100" s="19" t="s">
        <v>2354</v>
      </c>
      <c r="W100" s="7" t="s">
        <v>914</v>
      </c>
      <c r="X100" s="3" t="s">
        <v>2346</v>
      </c>
      <c r="Y100" s="7" t="s">
        <v>764</v>
      </c>
      <c r="Z100" s="7" t="s">
        <v>2026</v>
      </c>
      <c r="AA100" s="3" t="s">
        <v>2374</v>
      </c>
      <c r="AB100" s="7" t="s">
        <v>787</v>
      </c>
      <c r="AC100" s="7" t="s">
        <v>763</v>
      </c>
      <c r="AD100" s="7" t="s">
        <v>763</v>
      </c>
      <c r="AE100" s="7" t="s">
        <v>763</v>
      </c>
      <c r="AF100" s="7" t="s">
        <v>763</v>
      </c>
      <c r="AG100" s="3" t="s">
        <v>2377</v>
      </c>
      <c r="AH100" s="7">
        <f>24.61/2</f>
        <v>12.305</v>
      </c>
      <c r="AI100" s="7" t="s">
        <v>763</v>
      </c>
      <c r="AJ100" s="7" t="s">
        <v>763</v>
      </c>
      <c r="AK100" s="7">
        <f t="shared" si="44"/>
        <v>45.159349999999996</v>
      </c>
      <c r="AL100" s="7">
        <f>AN100+AO100</f>
        <v>25.959399999999999</v>
      </c>
      <c r="AM100" s="7" t="s">
        <v>763</v>
      </c>
      <c r="AN100" s="7">
        <f>41.87/2</f>
        <v>20.934999999999999</v>
      </c>
      <c r="AO100" s="8">
        <f>AN100*0.24</f>
        <v>5.0243999999999991</v>
      </c>
      <c r="AP100" s="7" t="s">
        <v>763</v>
      </c>
      <c r="AQ100" s="8" t="s">
        <v>763</v>
      </c>
      <c r="AR100" s="8" t="s">
        <v>763</v>
      </c>
      <c r="AS100" t="s">
        <v>2243</v>
      </c>
      <c r="AT100" s="8" t="s">
        <v>763</v>
      </c>
      <c r="AU100" s="8" t="s">
        <v>763</v>
      </c>
      <c r="AV100">
        <f t="shared" si="33"/>
        <v>73.968724052034318</v>
      </c>
    </row>
    <row r="101" spans="1:48" x14ac:dyDescent="0.35">
      <c r="A101">
        <v>100</v>
      </c>
      <c r="B101" s="7">
        <v>72</v>
      </c>
      <c r="C101" s="8" t="s">
        <v>707</v>
      </c>
      <c r="D101" s="8" t="s">
        <v>709</v>
      </c>
      <c r="E101" s="7" t="s">
        <v>751</v>
      </c>
      <c r="F101" s="7">
        <v>2019</v>
      </c>
      <c r="G101" s="7" t="s">
        <v>763</v>
      </c>
      <c r="H101" s="7" t="s">
        <v>753</v>
      </c>
      <c r="I101" s="7" t="s">
        <v>754</v>
      </c>
      <c r="J101" s="8">
        <v>13.533333000000001</v>
      </c>
      <c r="K101" s="8">
        <v>7.6666670000000003</v>
      </c>
      <c r="L101" s="8" t="s">
        <v>1800</v>
      </c>
      <c r="M101" s="11">
        <v>267249</v>
      </c>
      <c r="N101" s="11">
        <v>3613</v>
      </c>
      <c r="O101" s="8" t="s">
        <v>2326</v>
      </c>
      <c r="P101" s="8" t="s">
        <v>1729</v>
      </c>
      <c r="Q101" s="3" t="s">
        <v>2336</v>
      </c>
      <c r="R101" s="8">
        <v>340</v>
      </c>
      <c r="S101">
        <v>27.8</v>
      </c>
      <c r="T101" s="7" t="s">
        <v>763</v>
      </c>
      <c r="U101" t="s">
        <v>2298</v>
      </c>
      <c r="V101" s="3" t="s">
        <v>2371</v>
      </c>
      <c r="W101" s="7" t="s">
        <v>914</v>
      </c>
      <c r="X101" s="3" t="s">
        <v>2348</v>
      </c>
      <c r="Y101" s="7" t="s">
        <v>764</v>
      </c>
      <c r="Z101" s="7" t="s">
        <v>2026</v>
      </c>
      <c r="AA101" s="7" t="s">
        <v>2374</v>
      </c>
      <c r="AB101" s="7" t="s">
        <v>787</v>
      </c>
      <c r="AC101" s="7" t="s">
        <v>763</v>
      </c>
      <c r="AD101" s="7" t="s">
        <v>763</v>
      </c>
      <c r="AE101" s="7" t="s">
        <v>763</v>
      </c>
      <c r="AF101" s="7" t="s">
        <v>763</v>
      </c>
      <c r="AG101" s="3" t="s">
        <v>2377</v>
      </c>
      <c r="AH101" s="7">
        <f>383.51/5</f>
        <v>76.701999999999998</v>
      </c>
      <c r="AI101" s="7" t="s">
        <v>763</v>
      </c>
      <c r="AJ101" s="7" t="s">
        <v>763</v>
      </c>
      <c r="AK101" s="7">
        <f t="shared" si="44"/>
        <v>281.49633999999998</v>
      </c>
      <c r="AL101" s="7">
        <f>AN101+AO101</f>
        <v>161.87456</v>
      </c>
      <c r="AM101" s="7" t="s">
        <v>763</v>
      </c>
      <c r="AN101" s="7">
        <f>652.72/5</f>
        <v>130.54400000000001</v>
      </c>
      <c r="AO101" s="8">
        <f>AN101*0.24</f>
        <v>31.330560000000002</v>
      </c>
      <c r="AP101" s="7" t="s">
        <v>763</v>
      </c>
      <c r="AQ101" s="8" t="s">
        <v>763</v>
      </c>
      <c r="AR101" s="8" t="s">
        <v>763</v>
      </c>
      <c r="AS101" t="s">
        <v>2243</v>
      </c>
      <c r="AT101" s="8" t="s">
        <v>763</v>
      </c>
      <c r="AU101" s="8" t="s">
        <v>763</v>
      </c>
      <c r="AV101">
        <f t="shared" si="33"/>
        <v>73.968724052034318</v>
      </c>
    </row>
    <row r="102" spans="1:48" x14ac:dyDescent="0.35">
      <c r="A102">
        <v>101</v>
      </c>
      <c r="B102" s="3">
        <v>69</v>
      </c>
      <c r="C102" t="s">
        <v>712</v>
      </c>
      <c r="D102" t="s">
        <v>714</v>
      </c>
      <c r="E102" s="7" t="s">
        <v>751</v>
      </c>
      <c r="F102" s="7">
        <v>2025</v>
      </c>
      <c r="G102" s="7" t="s">
        <v>1742</v>
      </c>
      <c r="H102" s="7" t="s">
        <v>795</v>
      </c>
      <c r="I102" s="7" t="s">
        <v>776</v>
      </c>
      <c r="J102">
        <v>-10.9095</v>
      </c>
      <c r="K102">
        <v>-37.074800000000003</v>
      </c>
      <c r="L102" t="s">
        <v>1801</v>
      </c>
      <c r="M102" s="11">
        <v>602757</v>
      </c>
      <c r="N102" s="11">
        <v>3309</v>
      </c>
      <c r="O102" t="s">
        <v>2325</v>
      </c>
      <c r="P102" s="8" t="s">
        <v>846</v>
      </c>
      <c r="Q102" t="s">
        <v>2332</v>
      </c>
      <c r="R102" s="3">
        <v>1222</v>
      </c>
      <c r="S102" s="3">
        <v>24.5</v>
      </c>
      <c r="T102" s="3" t="s">
        <v>763</v>
      </c>
      <c r="U102" t="s">
        <v>2303</v>
      </c>
      <c r="V102" s="3" t="s">
        <v>2370</v>
      </c>
      <c r="W102" s="3" t="s">
        <v>914</v>
      </c>
      <c r="X102" s="3" t="s">
        <v>2348</v>
      </c>
      <c r="Y102" s="7" t="s">
        <v>1745</v>
      </c>
      <c r="Z102" s="7" t="s">
        <v>1744</v>
      </c>
      <c r="AA102" s="3" t="s">
        <v>2372</v>
      </c>
      <c r="AB102" s="7" t="s">
        <v>787</v>
      </c>
      <c r="AC102" s="8">
        <v>5320</v>
      </c>
      <c r="AD102" s="8">
        <f t="shared" ref="AD102:AD116" si="53">AC102/AQ102</f>
        <v>0.62906468014662409</v>
      </c>
      <c r="AE102" s="7">
        <v>19500</v>
      </c>
      <c r="AF102" s="7">
        <f t="shared" ref="AF102:AF116" si="54">AE102/AQ102</f>
        <v>2.3057821922667614</v>
      </c>
      <c r="AG102" s="3" t="s">
        <v>2377</v>
      </c>
      <c r="AH102" s="8">
        <f t="shared" ref="AH102:AH116" si="55">AI102/AQ102</f>
        <v>12.989239683102754</v>
      </c>
      <c r="AI102" s="8">
        <v>109850</v>
      </c>
      <c r="AJ102" s="8">
        <v>402780</v>
      </c>
      <c r="AK102" s="8">
        <f t="shared" ref="AK102:AK116" si="56">AJ102/AQ102</f>
        <v>47.626818020574675</v>
      </c>
      <c r="AL102" s="8">
        <f t="shared" ref="AL102:AL116" si="57">AH102/0.47</f>
        <v>27.636680176814373</v>
      </c>
      <c r="AM102" s="8">
        <f t="shared" ref="AM102:AM116" si="58">AI102/0.47</f>
        <v>233723.40425531915</v>
      </c>
      <c r="AN102" s="7">
        <f>AL102/1.24</f>
        <v>22.287645303882559</v>
      </c>
      <c r="AO102" s="7">
        <f>AN102*0.24</f>
        <v>5.3490348729318145</v>
      </c>
      <c r="AP102" s="7" t="s">
        <v>763</v>
      </c>
      <c r="AQ102">
        <v>8457</v>
      </c>
      <c r="AR102" s="8" t="s">
        <v>763</v>
      </c>
      <c r="AS102" s="8" t="s">
        <v>763</v>
      </c>
      <c r="AT102" s="8" t="s">
        <v>763</v>
      </c>
      <c r="AU102" s="8" t="s">
        <v>763</v>
      </c>
      <c r="AV102">
        <f t="shared" si="33"/>
        <v>182.15684496826836</v>
      </c>
    </row>
    <row r="103" spans="1:48" x14ac:dyDescent="0.35">
      <c r="A103">
        <v>102</v>
      </c>
      <c r="B103" s="3">
        <v>69</v>
      </c>
      <c r="C103" t="s">
        <v>712</v>
      </c>
      <c r="D103" t="s">
        <v>714</v>
      </c>
      <c r="E103" s="7" t="s">
        <v>751</v>
      </c>
      <c r="F103" s="7">
        <v>2025</v>
      </c>
      <c r="G103" s="7" t="s">
        <v>1742</v>
      </c>
      <c r="H103" s="7" t="s">
        <v>795</v>
      </c>
      <c r="I103" s="7" t="s">
        <v>776</v>
      </c>
      <c r="J103">
        <v>-19.916699999999999</v>
      </c>
      <c r="K103">
        <v>-43.933300000000003</v>
      </c>
      <c r="L103" t="s">
        <v>1802</v>
      </c>
      <c r="M103" s="11">
        <v>2315560</v>
      </c>
      <c r="N103">
        <v>6988</v>
      </c>
      <c r="O103" t="s">
        <v>2325</v>
      </c>
      <c r="P103" s="8" t="s">
        <v>846</v>
      </c>
      <c r="Q103" s="3" t="s">
        <v>2333</v>
      </c>
      <c r="R103" s="3">
        <v>1205</v>
      </c>
      <c r="S103" s="3">
        <v>20.8</v>
      </c>
      <c r="T103" s="3" t="s">
        <v>763</v>
      </c>
      <c r="U103" t="s">
        <v>2300</v>
      </c>
      <c r="V103" s="3" t="s">
        <v>2370</v>
      </c>
      <c r="W103" s="3" t="s">
        <v>914</v>
      </c>
      <c r="X103" s="3" t="s">
        <v>2348</v>
      </c>
      <c r="Y103" s="7" t="s">
        <v>1745</v>
      </c>
      <c r="Z103" s="7" t="s">
        <v>1744</v>
      </c>
      <c r="AA103" s="3" t="s">
        <v>2372</v>
      </c>
      <c r="AB103" s="7" t="s">
        <v>787</v>
      </c>
      <c r="AC103" s="8">
        <v>17200</v>
      </c>
      <c r="AD103" s="8">
        <f t="shared" si="53"/>
        <v>0.6276455991826011</v>
      </c>
      <c r="AE103" s="7">
        <v>63060</v>
      </c>
      <c r="AF103" s="7">
        <f t="shared" si="54"/>
        <v>2.3011239235148153</v>
      </c>
      <c r="AG103" s="3" t="s">
        <v>2377</v>
      </c>
      <c r="AH103" s="8">
        <f t="shared" si="55"/>
        <v>12.964165815209459</v>
      </c>
      <c r="AI103" s="8">
        <v>355270</v>
      </c>
      <c r="AJ103" s="8">
        <v>1302640</v>
      </c>
      <c r="AK103" s="8">
        <f t="shared" si="56"/>
        <v>47.534666472047874</v>
      </c>
      <c r="AL103" s="8">
        <f t="shared" si="57"/>
        <v>27.583331521722254</v>
      </c>
      <c r="AM103" s="8">
        <f t="shared" si="58"/>
        <v>755893.61702127662</v>
      </c>
      <c r="AN103" s="7">
        <f t="shared" ref="AN103:AN116" si="59">AL103/1.24</f>
        <v>22.244622194937303</v>
      </c>
      <c r="AO103" s="7">
        <f t="shared" ref="AO103:AO116" si="60">AN103*0.24</f>
        <v>5.3387093267849526</v>
      </c>
      <c r="AP103" s="7" t="s">
        <v>763</v>
      </c>
      <c r="AQ103">
        <v>27404</v>
      </c>
      <c r="AR103" s="8" t="s">
        <v>763</v>
      </c>
      <c r="AS103" s="8" t="s">
        <v>763</v>
      </c>
      <c r="AT103" s="8" t="s">
        <v>763</v>
      </c>
      <c r="AU103" s="8" t="s">
        <v>763</v>
      </c>
      <c r="AV103">
        <f t="shared" si="33"/>
        <v>331.36233543216946</v>
      </c>
    </row>
    <row r="104" spans="1:48" x14ac:dyDescent="0.35">
      <c r="A104">
        <v>103</v>
      </c>
      <c r="B104" s="3">
        <v>69</v>
      </c>
      <c r="C104" t="s">
        <v>712</v>
      </c>
      <c r="D104" t="s">
        <v>714</v>
      </c>
      <c r="E104" s="7" t="s">
        <v>751</v>
      </c>
      <c r="F104" s="7">
        <v>2025</v>
      </c>
      <c r="G104" s="7" t="s">
        <v>1742</v>
      </c>
      <c r="H104" s="7" t="s">
        <v>795</v>
      </c>
      <c r="I104" s="7" t="s">
        <v>776</v>
      </c>
      <c r="J104">
        <v>-12.697800000000001</v>
      </c>
      <c r="K104">
        <v>-38.324199999999998</v>
      </c>
      <c r="L104" t="s">
        <v>1803</v>
      </c>
      <c r="M104" s="11">
        <v>300372</v>
      </c>
      <c r="N104">
        <v>382.4</v>
      </c>
      <c r="O104" t="s">
        <v>2325</v>
      </c>
      <c r="P104" s="8" t="s">
        <v>846</v>
      </c>
      <c r="Q104" s="3" t="s">
        <v>2335</v>
      </c>
      <c r="R104">
        <v>919</v>
      </c>
      <c r="S104" s="3">
        <v>25.4</v>
      </c>
      <c r="T104" s="3" t="s">
        <v>763</v>
      </c>
      <c r="U104" t="s">
        <v>2300</v>
      </c>
      <c r="V104" s="3" t="s">
        <v>2370</v>
      </c>
      <c r="W104" s="3" t="s">
        <v>914</v>
      </c>
      <c r="X104" s="3" t="s">
        <v>2348</v>
      </c>
      <c r="Y104" s="7" t="s">
        <v>1745</v>
      </c>
      <c r="Z104" s="7" t="s">
        <v>1744</v>
      </c>
      <c r="AA104" s="3" t="s">
        <v>2372</v>
      </c>
      <c r="AB104" s="7" t="s">
        <v>787</v>
      </c>
      <c r="AC104" s="8">
        <v>21210</v>
      </c>
      <c r="AD104" s="8">
        <f t="shared" si="53"/>
        <v>2.070682417260568</v>
      </c>
      <c r="AE104" s="7">
        <v>77790</v>
      </c>
      <c r="AF104" s="7">
        <f t="shared" si="54"/>
        <v>7.5944547495850827</v>
      </c>
      <c r="AG104" s="3" t="s">
        <v>2377</v>
      </c>
      <c r="AH104" s="8">
        <f t="shared" si="55"/>
        <v>42.785316801718245</v>
      </c>
      <c r="AI104" s="8">
        <v>438250</v>
      </c>
      <c r="AJ104" s="8">
        <v>1606900</v>
      </c>
      <c r="AK104" s="8">
        <f t="shared" si="56"/>
        <v>156.8778678121644</v>
      </c>
      <c r="AL104" s="8">
        <f t="shared" si="57"/>
        <v>91.032588939826056</v>
      </c>
      <c r="AM104" s="8">
        <f t="shared" si="58"/>
        <v>932446.80851063831</v>
      </c>
      <c r="AN104" s="7">
        <f t="shared" si="59"/>
        <v>73.413378177279071</v>
      </c>
      <c r="AO104" s="7">
        <f t="shared" si="60"/>
        <v>17.619210762546977</v>
      </c>
      <c r="AP104" s="7" t="s">
        <v>763</v>
      </c>
      <c r="AQ104">
        <v>10243</v>
      </c>
      <c r="AR104" s="8" t="s">
        <v>763</v>
      </c>
      <c r="AS104" s="8" t="s">
        <v>763</v>
      </c>
      <c r="AT104" s="8" t="s">
        <v>763</v>
      </c>
      <c r="AU104" s="8" t="s">
        <v>763</v>
      </c>
      <c r="AV104">
        <f t="shared" si="33"/>
        <v>785.4916317991632</v>
      </c>
    </row>
    <row r="105" spans="1:48" x14ac:dyDescent="0.35">
      <c r="A105">
        <v>104</v>
      </c>
      <c r="B105" s="3">
        <v>69</v>
      </c>
      <c r="C105" t="s">
        <v>712</v>
      </c>
      <c r="D105" t="s">
        <v>714</v>
      </c>
      <c r="E105" s="7" t="s">
        <v>751</v>
      </c>
      <c r="F105" s="7">
        <v>2025</v>
      </c>
      <c r="G105" s="7" t="s">
        <v>1742</v>
      </c>
      <c r="H105" s="7" t="s">
        <v>795</v>
      </c>
      <c r="I105" s="7" t="s">
        <v>776</v>
      </c>
      <c r="J105">
        <v>-21.752199999999998</v>
      </c>
      <c r="K105">
        <v>-41.324399999999997</v>
      </c>
      <c r="L105" t="s">
        <v>1804</v>
      </c>
      <c r="M105" s="11">
        <v>483540</v>
      </c>
      <c r="N105">
        <v>119.9</v>
      </c>
      <c r="O105" t="s">
        <v>2325</v>
      </c>
      <c r="P105" s="8" t="s">
        <v>846</v>
      </c>
      <c r="Q105" s="3" t="s">
        <v>2335</v>
      </c>
      <c r="R105" s="3">
        <v>1112</v>
      </c>
      <c r="S105">
        <v>23.9</v>
      </c>
      <c r="T105" s="3" t="s">
        <v>763</v>
      </c>
      <c r="U105" t="s">
        <v>2300</v>
      </c>
      <c r="V105" s="3" t="s">
        <v>2370</v>
      </c>
      <c r="W105" s="3" t="s">
        <v>914</v>
      </c>
      <c r="X105" s="3" t="s">
        <v>2348</v>
      </c>
      <c r="Y105" s="7" t="s">
        <v>1745</v>
      </c>
      <c r="Z105" s="7" t="s">
        <v>1744</v>
      </c>
      <c r="AA105" s="3" t="s">
        <v>2372</v>
      </c>
      <c r="AB105" s="7" t="s">
        <v>787</v>
      </c>
      <c r="AC105" s="8">
        <v>10630</v>
      </c>
      <c r="AD105" s="8">
        <f t="shared" si="53"/>
        <v>1.1169486182620574</v>
      </c>
      <c r="AE105" s="7">
        <v>38970</v>
      </c>
      <c r="AF105" s="7">
        <f t="shared" si="54"/>
        <v>4.0947777661027631</v>
      </c>
      <c r="AG105" s="3" t="s">
        <v>2377</v>
      </c>
      <c r="AH105" s="8">
        <f t="shared" si="55"/>
        <v>23.068193758537355</v>
      </c>
      <c r="AI105" s="8">
        <v>219540</v>
      </c>
      <c r="AJ105" s="8">
        <v>804990</v>
      </c>
      <c r="AK105" s="8">
        <f t="shared" si="56"/>
        <v>84.584427865924141</v>
      </c>
      <c r="AL105" s="8">
        <f t="shared" si="57"/>
        <v>49.081263316036924</v>
      </c>
      <c r="AM105" s="8">
        <f t="shared" si="58"/>
        <v>467106.38297872344</v>
      </c>
      <c r="AN105" s="7">
        <f t="shared" si="59"/>
        <v>39.581663964545911</v>
      </c>
      <c r="AO105" s="7">
        <f t="shared" si="60"/>
        <v>9.4995993514910175</v>
      </c>
      <c r="AP105" s="7" t="s">
        <v>763</v>
      </c>
      <c r="AQ105" s="8">
        <v>9517</v>
      </c>
      <c r="AR105" s="8" t="s">
        <v>763</v>
      </c>
      <c r="AS105" s="8" t="s">
        <v>763</v>
      </c>
      <c r="AT105" s="8" t="s">
        <v>763</v>
      </c>
      <c r="AU105" s="8" t="s">
        <v>763</v>
      </c>
      <c r="AV105">
        <f t="shared" si="33"/>
        <v>4032.8607172643869</v>
      </c>
    </row>
    <row r="106" spans="1:48" x14ac:dyDescent="0.35">
      <c r="A106">
        <v>105</v>
      </c>
      <c r="B106" s="3">
        <v>69</v>
      </c>
      <c r="C106" t="s">
        <v>712</v>
      </c>
      <c r="D106" t="s">
        <v>714</v>
      </c>
      <c r="E106" s="7" t="s">
        <v>751</v>
      </c>
      <c r="F106" s="7">
        <v>2025</v>
      </c>
      <c r="G106" s="7" t="s">
        <v>1742</v>
      </c>
      <c r="H106" s="7" t="s">
        <v>795</v>
      </c>
      <c r="I106" s="7" t="s">
        <v>776</v>
      </c>
      <c r="J106">
        <v>-22.785799999999998</v>
      </c>
      <c r="K106">
        <v>-43.309699999999999</v>
      </c>
      <c r="L106" t="s">
        <v>1805</v>
      </c>
      <c r="M106" s="11">
        <v>808161</v>
      </c>
      <c r="N106" s="11">
        <v>1729</v>
      </c>
      <c r="O106" t="s">
        <v>2325</v>
      </c>
      <c r="P106" s="8" t="s">
        <v>846</v>
      </c>
      <c r="Q106" s="3" t="s">
        <v>2339</v>
      </c>
      <c r="R106" s="3">
        <v>1704</v>
      </c>
      <c r="S106">
        <v>23.4</v>
      </c>
      <c r="T106" s="3" t="s">
        <v>763</v>
      </c>
      <c r="U106" t="s">
        <v>2300</v>
      </c>
      <c r="V106" s="3" t="s">
        <v>2370</v>
      </c>
      <c r="W106" s="3" t="s">
        <v>914</v>
      </c>
      <c r="X106" s="3" t="s">
        <v>2348</v>
      </c>
      <c r="Y106" s="7" t="s">
        <v>1745</v>
      </c>
      <c r="Z106" s="7" t="s">
        <v>1744</v>
      </c>
      <c r="AA106" s="3" t="s">
        <v>2372</v>
      </c>
      <c r="AB106" s="7" t="s">
        <v>787</v>
      </c>
      <c r="AC106" s="8">
        <v>12730</v>
      </c>
      <c r="AD106" s="8">
        <f t="shared" si="53"/>
        <v>0.91794058263628497</v>
      </c>
      <c r="AE106" s="7">
        <v>48680</v>
      </c>
      <c r="AF106" s="7">
        <f t="shared" si="54"/>
        <v>3.5102394000576869</v>
      </c>
      <c r="AG106" s="3" t="s">
        <v>2377</v>
      </c>
      <c r="AH106" s="8">
        <f t="shared" si="55"/>
        <v>18.965243726564754</v>
      </c>
      <c r="AI106" s="8">
        <v>263010</v>
      </c>
      <c r="AJ106" s="8">
        <v>964370</v>
      </c>
      <c r="AK106" s="8">
        <f t="shared" si="56"/>
        <v>69.5392269974041</v>
      </c>
      <c r="AL106" s="8">
        <f t="shared" si="57"/>
        <v>40.351582396946284</v>
      </c>
      <c r="AM106" s="8">
        <f t="shared" si="58"/>
        <v>559595.74468085112</v>
      </c>
      <c r="AN106" s="7">
        <f t="shared" si="59"/>
        <v>32.541598707214746</v>
      </c>
      <c r="AO106" s="7">
        <f t="shared" si="60"/>
        <v>7.8099836897315384</v>
      </c>
      <c r="AP106" s="7" t="s">
        <v>763</v>
      </c>
      <c r="AQ106" s="8">
        <v>13868</v>
      </c>
      <c r="AR106" s="8" t="s">
        <v>763</v>
      </c>
      <c r="AS106" s="8" t="s">
        <v>763</v>
      </c>
      <c r="AT106" s="8" t="s">
        <v>763</v>
      </c>
      <c r="AU106" s="8" t="s">
        <v>763</v>
      </c>
      <c r="AV106">
        <f t="shared" si="33"/>
        <v>467.41526894158471</v>
      </c>
    </row>
    <row r="107" spans="1:48" x14ac:dyDescent="0.35">
      <c r="A107">
        <v>106</v>
      </c>
      <c r="B107" s="3">
        <v>69</v>
      </c>
      <c r="C107" t="s">
        <v>712</v>
      </c>
      <c r="D107" t="s">
        <v>714</v>
      </c>
      <c r="E107" s="7" t="s">
        <v>751</v>
      </c>
      <c r="F107" s="7">
        <v>2025</v>
      </c>
      <c r="G107" s="7" t="s">
        <v>1742</v>
      </c>
      <c r="H107" s="7" t="s">
        <v>795</v>
      </c>
      <c r="I107" s="7" t="s">
        <v>776</v>
      </c>
      <c r="J107">
        <v>-12.2669</v>
      </c>
      <c r="K107">
        <v>-38.966900000000003</v>
      </c>
      <c r="L107" t="s">
        <v>1806</v>
      </c>
      <c r="M107" s="11">
        <v>616272</v>
      </c>
      <c r="N107">
        <v>472.4</v>
      </c>
      <c r="O107" t="s">
        <v>2325</v>
      </c>
      <c r="P107" s="8" t="s">
        <v>846</v>
      </c>
      <c r="Q107" s="3" t="s">
        <v>2335</v>
      </c>
      <c r="R107">
        <v>692</v>
      </c>
      <c r="S107" s="3">
        <v>24.5</v>
      </c>
      <c r="T107" s="3" t="s">
        <v>763</v>
      </c>
      <c r="U107" t="s">
        <v>2300</v>
      </c>
      <c r="V107" s="3" t="s">
        <v>2370</v>
      </c>
      <c r="W107" s="3" t="s">
        <v>914</v>
      </c>
      <c r="X107" s="3" t="s">
        <v>2348</v>
      </c>
      <c r="Y107" s="7" t="s">
        <v>1745</v>
      </c>
      <c r="Z107" s="7" t="s">
        <v>1744</v>
      </c>
      <c r="AA107" s="3" t="s">
        <v>2372</v>
      </c>
      <c r="AB107" s="7" t="s">
        <v>787</v>
      </c>
      <c r="AC107" s="8">
        <v>8590</v>
      </c>
      <c r="AD107" s="8">
        <f t="shared" si="53"/>
        <v>0.60006985679357316</v>
      </c>
      <c r="AE107" s="7">
        <v>31490</v>
      </c>
      <c r="AF107" s="7">
        <f t="shared" si="54"/>
        <v>2.1997904296192803</v>
      </c>
      <c r="AG107" s="3" t="s">
        <v>2377</v>
      </c>
      <c r="AH107" s="8">
        <f t="shared" si="55"/>
        <v>12.391896611945512</v>
      </c>
      <c r="AI107" s="8">
        <v>177390</v>
      </c>
      <c r="AJ107" s="8">
        <v>650450</v>
      </c>
      <c r="AK107" s="8">
        <f t="shared" si="56"/>
        <v>45.438351379671673</v>
      </c>
      <c r="AL107" s="8">
        <f t="shared" si="57"/>
        <v>26.365737472224495</v>
      </c>
      <c r="AM107" s="8">
        <f t="shared" si="58"/>
        <v>377425.53191489365</v>
      </c>
      <c r="AN107" s="7">
        <f t="shared" si="59"/>
        <v>21.262691509858463</v>
      </c>
      <c r="AO107" s="7">
        <f t="shared" si="60"/>
        <v>5.1030459623660311</v>
      </c>
      <c r="AP107" s="7" t="s">
        <v>763</v>
      </c>
      <c r="AQ107">
        <v>14315</v>
      </c>
      <c r="AR107" s="8" t="s">
        <v>763</v>
      </c>
      <c r="AS107" s="8" t="s">
        <v>763</v>
      </c>
      <c r="AT107" s="8" t="s">
        <v>763</v>
      </c>
      <c r="AU107" s="8" t="s">
        <v>763</v>
      </c>
      <c r="AV107">
        <f t="shared" si="33"/>
        <v>1304.5554614733278</v>
      </c>
    </row>
    <row r="108" spans="1:48" x14ac:dyDescent="0.35">
      <c r="A108">
        <v>107</v>
      </c>
      <c r="B108" s="3">
        <v>69</v>
      </c>
      <c r="C108" t="s">
        <v>712</v>
      </c>
      <c r="D108" t="s">
        <v>714</v>
      </c>
      <c r="E108" s="7" t="s">
        <v>751</v>
      </c>
      <c r="F108" s="7">
        <v>2025</v>
      </c>
      <c r="G108" s="7" t="s">
        <v>1742</v>
      </c>
      <c r="H108" s="7" t="s">
        <v>795</v>
      </c>
      <c r="I108" s="7" t="s">
        <v>776</v>
      </c>
      <c r="J108">
        <v>-14.7889</v>
      </c>
      <c r="K108">
        <v>-39.049399999999999</v>
      </c>
      <c r="L108" t="s">
        <v>1807</v>
      </c>
      <c r="M108" s="11">
        <v>178649</v>
      </c>
      <c r="N108">
        <v>112.5</v>
      </c>
      <c r="O108" t="s">
        <v>2325</v>
      </c>
      <c r="P108" s="8" t="s">
        <v>846</v>
      </c>
      <c r="Q108" s="3" t="s">
        <v>2340</v>
      </c>
      <c r="R108" s="3">
        <v>1325</v>
      </c>
      <c r="S108" s="3">
        <v>23.9</v>
      </c>
      <c r="T108" s="3" t="s">
        <v>763</v>
      </c>
      <c r="U108" t="s">
        <v>2300</v>
      </c>
      <c r="V108" s="3" t="s">
        <v>2370</v>
      </c>
      <c r="W108" s="3" t="s">
        <v>914</v>
      </c>
      <c r="X108" s="3" t="s">
        <v>2348</v>
      </c>
      <c r="Y108" s="7" t="s">
        <v>1745</v>
      </c>
      <c r="Z108" s="7" t="s">
        <v>1744</v>
      </c>
      <c r="AA108" s="3" t="s">
        <v>2372</v>
      </c>
      <c r="AB108" s="7" t="s">
        <v>787</v>
      </c>
      <c r="AC108" s="8">
        <v>2800</v>
      </c>
      <c r="AD108" s="8">
        <f t="shared" si="53"/>
        <v>0.79252759694310781</v>
      </c>
      <c r="AE108" s="7">
        <v>10280</v>
      </c>
      <c r="AF108" s="7">
        <f t="shared" si="54"/>
        <v>2.9097084630625529</v>
      </c>
      <c r="AG108" s="3" t="s">
        <v>2377</v>
      </c>
      <c r="AH108" s="8">
        <f t="shared" si="55"/>
        <v>16.391168978205492</v>
      </c>
      <c r="AI108" s="8">
        <v>57910</v>
      </c>
      <c r="AJ108" s="8">
        <v>212320</v>
      </c>
      <c r="AK108" s="8">
        <f t="shared" si="56"/>
        <v>60.09623549391452</v>
      </c>
      <c r="AL108" s="8">
        <f t="shared" si="57"/>
        <v>34.874827613203173</v>
      </c>
      <c r="AM108" s="8">
        <f t="shared" si="58"/>
        <v>123212.76595744681</v>
      </c>
      <c r="AN108" s="7">
        <f t="shared" si="59"/>
        <v>28.124860978389655</v>
      </c>
      <c r="AO108" s="7">
        <f t="shared" si="60"/>
        <v>6.749966634813517</v>
      </c>
      <c r="AP108" s="7" t="s">
        <v>763</v>
      </c>
      <c r="AQ108">
        <v>3533</v>
      </c>
      <c r="AR108" s="8" t="s">
        <v>763</v>
      </c>
      <c r="AS108" s="8" t="s">
        <v>763</v>
      </c>
      <c r="AT108" s="8" t="s">
        <v>763</v>
      </c>
      <c r="AU108" s="8" t="s">
        <v>763</v>
      </c>
      <c r="AV108">
        <f t="shared" si="33"/>
        <v>1587.9911111111112</v>
      </c>
    </row>
    <row r="109" spans="1:48" x14ac:dyDescent="0.35">
      <c r="A109">
        <v>108</v>
      </c>
      <c r="B109" s="3">
        <v>69</v>
      </c>
      <c r="C109" t="s">
        <v>712</v>
      </c>
      <c r="D109" t="s">
        <v>714</v>
      </c>
      <c r="E109" s="7" t="s">
        <v>751</v>
      </c>
      <c r="F109" s="7">
        <v>2025</v>
      </c>
      <c r="G109" s="7" t="s">
        <v>1742</v>
      </c>
      <c r="H109" s="7" t="s">
        <v>795</v>
      </c>
      <c r="I109" s="7" t="s">
        <v>776</v>
      </c>
      <c r="J109">
        <v>-8.1130999999999993</v>
      </c>
      <c r="K109">
        <v>-35.015000000000001</v>
      </c>
      <c r="L109" t="s">
        <v>1808</v>
      </c>
      <c r="M109" s="11">
        <v>644037</v>
      </c>
      <c r="N109">
        <v>2489</v>
      </c>
      <c r="O109" t="s">
        <v>2325</v>
      </c>
      <c r="P109" s="8" t="s">
        <v>846</v>
      </c>
      <c r="Q109" s="3" t="s">
        <v>2335</v>
      </c>
      <c r="R109" s="3">
        <v>988</v>
      </c>
      <c r="S109" s="3">
        <v>25.4</v>
      </c>
      <c r="T109" s="3" t="s">
        <v>763</v>
      </c>
      <c r="U109" t="s">
        <v>2300</v>
      </c>
      <c r="V109" s="3" t="s">
        <v>2370</v>
      </c>
      <c r="W109" s="3" t="s">
        <v>914</v>
      </c>
      <c r="X109" s="3" t="s">
        <v>2348</v>
      </c>
      <c r="Y109" s="7" t="s">
        <v>1745</v>
      </c>
      <c r="Z109" s="7" t="s">
        <v>1744</v>
      </c>
      <c r="AA109" s="3" t="s">
        <v>2372</v>
      </c>
      <c r="AB109" s="7" t="s">
        <v>787</v>
      </c>
      <c r="AC109" s="8">
        <v>6740</v>
      </c>
      <c r="AD109" s="8">
        <f t="shared" si="53"/>
        <v>0.90445517981749868</v>
      </c>
      <c r="AE109" s="7">
        <v>24720</v>
      </c>
      <c r="AF109" s="7">
        <f t="shared" si="54"/>
        <v>3.317230273752013</v>
      </c>
      <c r="AG109" s="3" t="s">
        <v>2377</v>
      </c>
      <c r="AH109" s="8">
        <f t="shared" si="55"/>
        <v>18.691626409017715</v>
      </c>
      <c r="AI109" s="8">
        <v>139290</v>
      </c>
      <c r="AJ109" s="8">
        <v>510720</v>
      </c>
      <c r="AK109" s="8">
        <f t="shared" si="56"/>
        <v>68.534621578099845</v>
      </c>
      <c r="AL109" s="8">
        <f t="shared" si="57"/>
        <v>39.769417891527056</v>
      </c>
      <c r="AM109" s="8">
        <f t="shared" si="58"/>
        <v>296361.70212765958</v>
      </c>
      <c r="AN109" s="7">
        <f t="shared" si="59"/>
        <v>32.072111202844397</v>
      </c>
      <c r="AO109" s="7">
        <f t="shared" si="60"/>
        <v>7.6973066886826551</v>
      </c>
      <c r="AP109" s="7" t="s">
        <v>763</v>
      </c>
      <c r="AQ109">
        <v>7452</v>
      </c>
      <c r="AR109" s="8" t="s">
        <v>763</v>
      </c>
      <c r="AS109" s="8" t="s">
        <v>763</v>
      </c>
      <c r="AT109" s="8" t="s">
        <v>763</v>
      </c>
      <c r="AU109" s="8" t="s">
        <v>763</v>
      </c>
      <c r="AV109">
        <f t="shared" si="33"/>
        <v>258.75331458417037</v>
      </c>
    </row>
    <row r="110" spans="1:48" x14ac:dyDescent="0.35">
      <c r="A110">
        <v>109</v>
      </c>
      <c r="B110" s="3">
        <v>69</v>
      </c>
      <c r="C110" t="s">
        <v>712</v>
      </c>
      <c r="D110" t="s">
        <v>714</v>
      </c>
      <c r="E110" s="7" t="s">
        <v>751</v>
      </c>
      <c r="F110" s="7">
        <v>2025</v>
      </c>
      <c r="G110" s="7" t="s">
        <v>1742</v>
      </c>
      <c r="H110" s="7" t="s">
        <v>795</v>
      </c>
      <c r="I110" s="7" t="s">
        <v>776</v>
      </c>
      <c r="J110">
        <v>-22.185600000000001</v>
      </c>
      <c r="K110">
        <v>-47.39</v>
      </c>
      <c r="L110" t="s">
        <v>1809</v>
      </c>
      <c r="M110" s="11">
        <v>98161</v>
      </c>
      <c r="N110">
        <v>243.7</v>
      </c>
      <c r="O110" t="s">
        <v>2325</v>
      </c>
      <c r="P110" s="8" t="s">
        <v>846</v>
      </c>
      <c r="Q110" s="3" t="s">
        <v>2335</v>
      </c>
      <c r="R110">
        <v>1575</v>
      </c>
      <c r="S110" s="3">
        <v>21.6</v>
      </c>
      <c r="T110" s="3" t="s">
        <v>763</v>
      </c>
      <c r="U110" t="s">
        <v>2300</v>
      </c>
      <c r="V110" s="3" t="s">
        <v>2370</v>
      </c>
      <c r="W110" s="3" t="s">
        <v>914</v>
      </c>
      <c r="X110" s="3" t="s">
        <v>2348</v>
      </c>
      <c r="Y110" s="7" t="s">
        <v>1745</v>
      </c>
      <c r="Z110" s="7" t="s">
        <v>1744</v>
      </c>
      <c r="AA110" s="3" t="s">
        <v>2372</v>
      </c>
      <c r="AB110" s="7" t="s">
        <v>787</v>
      </c>
      <c r="AC110" s="8">
        <v>950</v>
      </c>
      <c r="AD110" s="8">
        <f t="shared" si="53"/>
        <v>0.3763866877971474</v>
      </c>
      <c r="AE110" s="7">
        <v>3500</v>
      </c>
      <c r="AF110" s="7">
        <f t="shared" si="54"/>
        <v>1.386687797147385</v>
      </c>
      <c r="AG110" s="3" t="s">
        <v>2377</v>
      </c>
      <c r="AH110" s="8">
        <f t="shared" si="55"/>
        <v>7.8129952456418383</v>
      </c>
      <c r="AI110" s="8">
        <v>19720</v>
      </c>
      <c r="AJ110" s="8">
        <v>72310</v>
      </c>
      <c r="AK110" s="8">
        <f t="shared" si="56"/>
        <v>28.648969889064976</v>
      </c>
      <c r="AL110" s="8">
        <f t="shared" si="57"/>
        <v>16.623394139663485</v>
      </c>
      <c r="AM110" s="8">
        <f t="shared" si="58"/>
        <v>41957.446808510642</v>
      </c>
      <c r="AN110" s="7">
        <f t="shared" si="59"/>
        <v>13.405963015857649</v>
      </c>
      <c r="AO110" s="7">
        <f t="shared" si="60"/>
        <v>3.2174311238058357</v>
      </c>
      <c r="AP110" s="7" t="s">
        <v>763</v>
      </c>
      <c r="AQ110">
        <v>2524</v>
      </c>
      <c r="AR110" s="8" t="s">
        <v>763</v>
      </c>
      <c r="AS110" s="8" t="s">
        <v>763</v>
      </c>
      <c r="AT110" s="8" t="s">
        <v>763</v>
      </c>
      <c r="AU110" s="8" t="s">
        <v>763</v>
      </c>
      <c r="AV110">
        <f t="shared" si="33"/>
        <v>402.79441936807552</v>
      </c>
    </row>
    <row r="111" spans="1:48" x14ac:dyDescent="0.35">
      <c r="A111">
        <v>110</v>
      </c>
      <c r="B111" s="3">
        <v>69</v>
      </c>
      <c r="C111" t="s">
        <v>712</v>
      </c>
      <c r="D111" t="s">
        <v>714</v>
      </c>
      <c r="E111" s="7" t="s">
        <v>751</v>
      </c>
      <c r="F111" s="7">
        <v>2025</v>
      </c>
      <c r="G111" s="7" t="s">
        <v>1742</v>
      </c>
      <c r="H111" s="7" t="s">
        <v>795</v>
      </c>
      <c r="I111" s="7" t="s">
        <v>776</v>
      </c>
      <c r="J111">
        <v>-22.370799999999999</v>
      </c>
      <c r="K111">
        <v>-41.786900000000003</v>
      </c>
      <c r="L111" t="s">
        <v>1810</v>
      </c>
      <c r="M111" s="11">
        <v>246391</v>
      </c>
      <c r="N111">
        <v>202.5</v>
      </c>
      <c r="O111" t="s">
        <v>2325</v>
      </c>
      <c r="P111" s="8" t="s">
        <v>846</v>
      </c>
      <c r="Q111" s="3" t="s">
        <v>2335</v>
      </c>
      <c r="R111" s="3">
        <v>1222</v>
      </c>
      <c r="S111" s="3">
        <v>23.3</v>
      </c>
      <c r="T111" s="3" t="s">
        <v>763</v>
      </c>
      <c r="U111" t="s">
        <v>2300</v>
      </c>
      <c r="V111" s="3" t="s">
        <v>2370</v>
      </c>
      <c r="W111" s="3" t="s">
        <v>914</v>
      </c>
      <c r="X111" s="3" t="s">
        <v>2348</v>
      </c>
      <c r="Y111" s="7" t="s">
        <v>1745</v>
      </c>
      <c r="Z111" s="7" t="s">
        <v>1744</v>
      </c>
      <c r="AA111" s="3" t="s">
        <v>2372</v>
      </c>
      <c r="AB111" s="7" t="s">
        <v>787</v>
      </c>
      <c r="AC111" s="8">
        <v>4300</v>
      </c>
      <c r="AD111" s="8">
        <f t="shared" si="53"/>
        <v>0.89639357932040864</v>
      </c>
      <c r="AE111" s="7">
        <v>15780</v>
      </c>
      <c r="AF111" s="7">
        <f t="shared" si="54"/>
        <v>3.2895559724828018</v>
      </c>
      <c r="AG111" s="3" t="s">
        <v>2377</v>
      </c>
      <c r="AH111" s="8">
        <f t="shared" si="55"/>
        <v>18.534500729622682</v>
      </c>
      <c r="AI111" s="8">
        <v>88910</v>
      </c>
      <c r="AJ111" s="8">
        <v>326010</v>
      </c>
      <c r="AK111" s="8">
        <f t="shared" si="56"/>
        <v>67.961225766103809</v>
      </c>
      <c r="AL111" s="8">
        <f t="shared" si="57"/>
        <v>39.435107935367412</v>
      </c>
      <c r="AM111" s="8">
        <f t="shared" si="58"/>
        <v>189170.21276595746</v>
      </c>
      <c r="AN111" s="7">
        <f t="shared" si="59"/>
        <v>31.80250639948985</v>
      </c>
      <c r="AO111" s="7">
        <f t="shared" si="60"/>
        <v>7.6326015358775638</v>
      </c>
      <c r="AP111" s="7" t="s">
        <v>763</v>
      </c>
      <c r="AQ111">
        <v>4797</v>
      </c>
      <c r="AR111" s="8" t="s">
        <v>763</v>
      </c>
      <c r="AS111" s="8" t="s">
        <v>763</v>
      </c>
      <c r="AT111" s="8" t="s">
        <v>763</v>
      </c>
      <c r="AU111" s="8" t="s">
        <v>763</v>
      </c>
      <c r="AV111">
        <f t="shared" si="33"/>
        <v>1216.7456790123456</v>
      </c>
    </row>
    <row r="112" spans="1:48" x14ac:dyDescent="0.35">
      <c r="A112">
        <v>111</v>
      </c>
      <c r="B112" s="3">
        <v>69</v>
      </c>
      <c r="C112" t="s">
        <v>712</v>
      </c>
      <c r="D112" t="s">
        <v>714</v>
      </c>
      <c r="E112" s="7" t="s">
        <v>751</v>
      </c>
      <c r="F112" s="7">
        <v>2025</v>
      </c>
      <c r="G112" s="7" t="s">
        <v>1742</v>
      </c>
      <c r="H112" s="7" t="s">
        <v>795</v>
      </c>
      <c r="I112" s="7" t="s">
        <v>776</v>
      </c>
      <c r="J112">
        <v>-9.6658000000000008</v>
      </c>
      <c r="K112">
        <v>-35.735300000000002</v>
      </c>
      <c r="L112" t="s">
        <v>1811</v>
      </c>
      <c r="M112" s="11">
        <v>957916</v>
      </c>
      <c r="N112" s="11">
        <v>1881</v>
      </c>
      <c r="O112" t="s">
        <v>2325</v>
      </c>
      <c r="P112" s="8" t="s">
        <v>846</v>
      </c>
      <c r="Q112" t="s">
        <v>2332</v>
      </c>
      <c r="R112" s="3">
        <v>1304</v>
      </c>
      <c r="S112" s="3">
        <v>25.2</v>
      </c>
      <c r="T112" s="3" t="s">
        <v>763</v>
      </c>
      <c r="U112" t="s">
        <v>2303</v>
      </c>
      <c r="V112" s="3" t="s">
        <v>2370</v>
      </c>
      <c r="W112" s="3" t="s">
        <v>914</v>
      </c>
      <c r="X112" s="3" t="s">
        <v>2348</v>
      </c>
      <c r="Y112" s="7" t="s">
        <v>1745</v>
      </c>
      <c r="Z112" s="7" t="s">
        <v>1744</v>
      </c>
      <c r="AA112" s="3" t="s">
        <v>2372</v>
      </c>
      <c r="AB112" s="7" t="s">
        <v>787</v>
      </c>
      <c r="AC112" s="8">
        <v>10870</v>
      </c>
      <c r="AD112" s="8">
        <f t="shared" si="53"/>
        <v>0.9445603058741745</v>
      </c>
      <c r="AE112" s="7">
        <v>39840</v>
      </c>
      <c r="AF112" s="7">
        <f t="shared" si="54"/>
        <v>3.4619395203336811</v>
      </c>
      <c r="AG112" s="3" t="s">
        <v>2377</v>
      </c>
      <c r="AH112" s="8">
        <f t="shared" si="55"/>
        <v>19.506430309350016</v>
      </c>
      <c r="AI112" s="8">
        <v>224480</v>
      </c>
      <c r="AJ112" s="8">
        <v>823080</v>
      </c>
      <c r="AK112" s="8">
        <f t="shared" si="56"/>
        <v>71.522419186652769</v>
      </c>
      <c r="AL112" s="8">
        <f t="shared" si="57"/>
        <v>41.503043211383016</v>
      </c>
      <c r="AM112" s="8">
        <f t="shared" si="58"/>
        <v>477617.02127659577</v>
      </c>
      <c r="AN112" s="7">
        <f t="shared" si="59"/>
        <v>33.47019613821211</v>
      </c>
      <c r="AO112" s="7">
        <f t="shared" si="60"/>
        <v>8.0328470731709061</v>
      </c>
      <c r="AP112" s="7" t="s">
        <v>763</v>
      </c>
      <c r="AQ112">
        <v>11508</v>
      </c>
      <c r="AR112" s="8" t="s">
        <v>763</v>
      </c>
      <c r="AS112" s="8" t="s">
        <v>763</v>
      </c>
      <c r="AT112" s="8" t="s">
        <v>763</v>
      </c>
      <c r="AU112" s="8" t="s">
        <v>763</v>
      </c>
      <c r="AV112">
        <f t="shared" si="33"/>
        <v>509.25890483785219</v>
      </c>
    </row>
    <row r="113" spans="1:48" x14ac:dyDescent="0.35">
      <c r="A113">
        <v>112</v>
      </c>
      <c r="B113" s="3">
        <v>69</v>
      </c>
      <c r="C113" t="s">
        <v>712</v>
      </c>
      <c r="D113" t="s">
        <v>714</v>
      </c>
      <c r="E113" s="7" t="s">
        <v>751</v>
      </c>
      <c r="F113" s="7">
        <v>2025</v>
      </c>
      <c r="G113" s="7" t="s">
        <v>1742</v>
      </c>
      <c r="H113" s="7" t="s">
        <v>795</v>
      </c>
      <c r="I113" s="7" t="s">
        <v>776</v>
      </c>
      <c r="J113">
        <v>-8.0475999999999992</v>
      </c>
      <c r="K113">
        <v>-34.877000000000002</v>
      </c>
      <c r="L113" t="s">
        <v>1813</v>
      </c>
      <c r="M113" s="11">
        <v>1488920</v>
      </c>
      <c r="N113" s="11">
        <v>6804</v>
      </c>
      <c r="O113" t="s">
        <v>2325</v>
      </c>
      <c r="P113" s="8" t="s">
        <v>846</v>
      </c>
      <c r="Q113" s="3" t="s">
        <v>2335</v>
      </c>
      <c r="R113" s="3">
        <v>988</v>
      </c>
      <c r="S113" s="3">
        <v>25.7</v>
      </c>
      <c r="T113" s="3" t="s">
        <v>763</v>
      </c>
      <c r="U113" t="s">
        <v>2303</v>
      </c>
      <c r="V113" s="3" t="s">
        <v>2370</v>
      </c>
      <c r="W113" s="3" t="s">
        <v>914</v>
      </c>
      <c r="X113" s="3" t="s">
        <v>2348</v>
      </c>
      <c r="Y113" s="7" t="s">
        <v>1745</v>
      </c>
      <c r="Z113" s="7" t="s">
        <v>1744</v>
      </c>
      <c r="AA113" s="3" t="s">
        <v>2372</v>
      </c>
      <c r="AB113" s="7" t="s">
        <v>787</v>
      </c>
      <c r="AC113" s="8">
        <v>10690</v>
      </c>
      <c r="AD113" s="8">
        <f t="shared" si="53"/>
        <v>0.74760472760332886</v>
      </c>
      <c r="AE113" s="7">
        <v>39190</v>
      </c>
      <c r="AF113" s="7">
        <f t="shared" si="54"/>
        <v>2.7407511014756278</v>
      </c>
      <c r="AG113" s="3" t="s">
        <v>2377</v>
      </c>
      <c r="AH113" s="8">
        <f t="shared" si="55"/>
        <v>15.441639275473809</v>
      </c>
      <c r="AI113" s="8">
        <v>220800</v>
      </c>
      <c r="AJ113" s="8">
        <v>809580</v>
      </c>
      <c r="AK113" s="8">
        <f t="shared" si="56"/>
        <v>56.617945310860897</v>
      </c>
      <c r="AL113" s="8">
        <f t="shared" si="57"/>
        <v>32.854551649944277</v>
      </c>
      <c r="AM113" s="8">
        <f t="shared" si="58"/>
        <v>469787.23404255323</v>
      </c>
      <c r="AN113" s="7">
        <f t="shared" si="59"/>
        <v>26.495606169309902</v>
      </c>
      <c r="AO113" s="7">
        <f t="shared" si="60"/>
        <v>6.3589454806343761</v>
      </c>
      <c r="AP113" s="7" t="s">
        <v>763</v>
      </c>
      <c r="AQ113">
        <v>14299</v>
      </c>
      <c r="AR113" s="8" t="s">
        <v>763</v>
      </c>
      <c r="AS113" s="8" t="s">
        <v>763</v>
      </c>
      <c r="AT113" s="8" t="s">
        <v>763</v>
      </c>
      <c r="AU113" s="8" t="s">
        <v>763</v>
      </c>
      <c r="AV113">
        <f t="shared" si="33"/>
        <v>218.83009994121105</v>
      </c>
    </row>
    <row r="114" spans="1:48" x14ac:dyDescent="0.35">
      <c r="A114">
        <v>113</v>
      </c>
      <c r="B114" s="3">
        <v>69</v>
      </c>
      <c r="C114" t="s">
        <v>712</v>
      </c>
      <c r="D114" t="s">
        <v>714</v>
      </c>
      <c r="E114" s="7" t="s">
        <v>751</v>
      </c>
      <c r="F114" s="7">
        <v>2025</v>
      </c>
      <c r="G114" s="7" t="s">
        <v>1742</v>
      </c>
      <c r="H114" s="7" t="s">
        <v>795</v>
      </c>
      <c r="I114" s="7" t="s">
        <v>776</v>
      </c>
      <c r="J114">
        <v>-22.8231</v>
      </c>
      <c r="K114">
        <v>-43.053899999999999</v>
      </c>
      <c r="L114" t="s">
        <v>1814</v>
      </c>
      <c r="M114" s="11">
        <v>896744</v>
      </c>
      <c r="N114" s="11">
        <v>3614</v>
      </c>
      <c r="O114" t="s">
        <v>2325</v>
      </c>
      <c r="P114" s="8" t="s">
        <v>846</v>
      </c>
      <c r="Q114" s="3" t="s">
        <v>2339</v>
      </c>
      <c r="R114" s="3">
        <v>1634</v>
      </c>
      <c r="S114" s="3">
        <v>23</v>
      </c>
      <c r="T114" s="3" t="s">
        <v>763</v>
      </c>
      <c r="U114" t="s">
        <v>2300</v>
      </c>
      <c r="V114" s="3" t="s">
        <v>2370</v>
      </c>
      <c r="W114" s="3" t="s">
        <v>914</v>
      </c>
      <c r="X114" s="3" t="s">
        <v>2348</v>
      </c>
      <c r="Y114" s="7" t="s">
        <v>1745</v>
      </c>
      <c r="Z114" s="7" t="s">
        <v>1744</v>
      </c>
      <c r="AA114" s="3" t="s">
        <v>2372</v>
      </c>
      <c r="AB114" s="7" t="s">
        <v>787</v>
      </c>
      <c r="AC114" s="8">
        <v>10600</v>
      </c>
      <c r="AD114" s="8">
        <f t="shared" si="53"/>
        <v>0.81645228375568046</v>
      </c>
      <c r="AE114" s="7">
        <v>38850</v>
      </c>
      <c r="AF114" s="7">
        <f t="shared" si="54"/>
        <v>2.9923746437649235</v>
      </c>
      <c r="AG114" s="3" t="s">
        <v>2377</v>
      </c>
      <c r="AH114" s="8">
        <f t="shared" si="55"/>
        <v>16.860509897558345</v>
      </c>
      <c r="AI114" s="8">
        <v>218900</v>
      </c>
      <c r="AJ114" s="8">
        <v>802640</v>
      </c>
      <c r="AK114" s="8">
        <f t="shared" si="56"/>
        <v>61.822383116382966</v>
      </c>
      <c r="AL114" s="8">
        <f t="shared" si="57"/>
        <v>35.873425313953923</v>
      </c>
      <c r="AM114" s="8">
        <f t="shared" si="58"/>
        <v>465744.68085106387</v>
      </c>
      <c r="AN114" s="7">
        <f t="shared" si="59"/>
        <v>28.930181704801551</v>
      </c>
      <c r="AO114" s="7">
        <f t="shared" si="60"/>
        <v>6.9432436091523719</v>
      </c>
      <c r="AP114" s="7" t="s">
        <v>763</v>
      </c>
      <c r="AQ114">
        <v>12983</v>
      </c>
      <c r="AR114" s="8" t="s">
        <v>763</v>
      </c>
      <c r="AS114" s="8" t="s">
        <v>763</v>
      </c>
      <c r="AT114" s="8" t="s">
        <v>763</v>
      </c>
      <c r="AU114" s="8" t="s">
        <v>763</v>
      </c>
      <c r="AV114">
        <f t="shared" si="33"/>
        <v>248.13060320973989</v>
      </c>
    </row>
    <row r="115" spans="1:48" x14ac:dyDescent="0.35">
      <c r="A115">
        <v>114</v>
      </c>
      <c r="B115" s="3">
        <v>69</v>
      </c>
      <c r="C115" t="s">
        <v>712</v>
      </c>
      <c r="D115" t="s">
        <v>714</v>
      </c>
      <c r="E115" s="7" t="s">
        <v>751</v>
      </c>
      <c r="F115" s="7">
        <v>2025</v>
      </c>
      <c r="G115" s="7" t="s">
        <v>1742</v>
      </c>
      <c r="H115" s="7" t="s">
        <v>795</v>
      </c>
      <c r="I115" s="7" t="s">
        <v>776</v>
      </c>
      <c r="J115">
        <v>-20.128599999999999</v>
      </c>
      <c r="K115">
        <v>-40.3078</v>
      </c>
      <c r="L115" t="s">
        <v>1815</v>
      </c>
      <c r="M115" s="11">
        <v>520653</v>
      </c>
      <c r="N115">
        <v>950.7</v>
      </c>
      <c r="O115" t="s">
        <v>2325</v>
      </c>
      <c r="P115" s="8" t="s">
        <v>846</v>
      </c>
      <c r="Q115" s="3" t="s">
        <v>2335</v>
      </c>
      <c r="R115" s="3">
        <v>1123</v>
      </c>
      <c r="S115" s="3">
        <v>23.6</v>
      </c>
      <c r="T115" s="3" t="s">
        <v>763</v>
      </c>
      <c r="U115" t="s">
        <v>2300</v>
      </c>
      <c r="V115" s="3" t="s">
        <v>2370</v>
      </c>
      <c r="W115" s="3" t="s">
        <v>914</v>
      </c>
      <c r="X115" s="3" t="s">
        <v>2348</v>
      </c>
      <c r="Y115" s="7" t="s">
        <v>1745</v>
      </c>
      <c r="Z115" s="7" t="s">
        <v>1744</v>
      </c>
      <c r="AA115" s="3" t="s">
        <v>2372</v>
      </c>
      <c r="AB115" s="7" t="s">
        <v>787</v>
      </c>
      <c r="AC115" s="8">
        <v>10000</v>
      </c>
      <c r="AD115" s="8">
        <f t="shared" si="53"/>
        <v>1.0673497705197994</v>
      </c>
      <c r="AE115" s="7">
        <v>36680</v>
      </c>
      <c r="AF115" s="7">
        <f t="shared" si="54"/>
        <v>3.9150389582666238</v>
      </c>
      <c r="AG115" s="3" t="s">
        <v>2377</v>
      </c>
      <c r="AH115" s="8">
        <f t="shared" si="55"/>
        <v>22.058917707332693</v>
      </c>
      <c r="AI115" s="8">
        <v>206670</v>
      </c>
      <c r="AJ115" s="8">
        <v>757780</v>
      </c>
      <c r="AK115" s="8">
        <f t="shared" si="56"/>
        <v>80.88163091044936</v>
      </c>
      <c r="AL115" s="8">
        <f t="shared" si="57"/>
        <v>46.933867462409985</v>
      </c>
      <c r="AM115" s="8">
        <f t="shared" si="58"/>
        <v>439723.40425531915</v>
      </c>
      <c r="AN115" s="7">
        <f t="shared" si="59"/>
        <v>37.849893114846765</v>
      </c>
      <c r="AO115" s="7">
        <f t="shared" si="60"/>
        <v>9.083974347563224</v>
      </c>
      <c r="AP115" s="7" t="s">
        <v>763</v>
      </c>
      <c r="AQ115">
        <v>9369</v>
      </c>
      <c r="AR115" s="8" t="s">
        <v>763</v>
      </c>
      <c r="AS115" s="8" t="s">
        <v>763</v>
      </c>
      <c r="AT115" s="8" t="s">
        <v>763</v>
      </c>
      <c r="AU115" s="8" t="s">
        <v>763</v>
      </c>
      <c r="AV115">
        <f t="shared" si="33"/>
        <v>547.6522562322499</v>
      </c>
    </row>
    <row r="116" spans="1:48" x14ac:dyDescent="0.35">
      <c r="A116">
        <v>115</v>
      </c>
      <c r="B116" s="3">
        <v>69</v>
      </c>
      <c r="C116" t="s">
        <v>712</v>
      </c>
      <c r="D116" t="s">
        <v>714</v>
      </c>
      <c r="E116" s="7" t="s">
        <v>751</v>
      </c>
      <c r="F116" s="7">
        <v>2025</v>
      </c>
      <c r="G116" s="7" t="s">
        <v>1742</v>
      </c>
      <c r="H116" s="7" t="s">
        <v>795</v>
      </c>
      <c r="I116" s="7" t="s">
        <v>776</v>
      </c>
      <c r="J116">
        <v>-12.785</v>
      </c>
      <c r="K116">
        <v>-38.404200000000003</v>
      </c>
      <c r="L116" t="s">
        <v>1816</v>
      </c>
      <c r="M116" s="11">
        <v>114559</v>
      </c>
      <c r="N116">
        <v>568.4</v>
      </c>
      <c r="O116" t="s">
        <v>2325</v>
      </c>
      <c r="P116" s="8" t="s">
        <v>846</v>
      </c>
      <c r="Q116" s="3" t="s">
        <v>2339</v>
      </c>
      <c r="R116" s="3">
        <v>1319</v>
      </c>
      <c r="S116" s="3">
        <v>25.3</v>
      </c>
      <c r="T116" s="3" t="s">
        <v>763</v>
      </c>
      <c r="U116" t="s">
        <v>2300</v>
      </c>
      <c r="V116" s="3" t="s">
        <v>2370</v>
      </c>
      <c r="W116" s="3" t="s">
        <v>914</v>
      </c>
      <c r="X116" s="3" t="s">
        <v>2348</v>
      </c>
      <c r="Y116" s="7" t="s">
        <v>1745</v>
      </c>
      <c r="Z116" s="7" t="s">
        <v>1744</v>
      </c>
      <c r="AA116" s="3" t="s">
        <v>2372</v>
      </c>
      <c r="AB116" s="7" t="s">
        <v>787</v>
      </c>
      <c r="AC116" s="8">
        <v>4480</v>
      </c>
      <c r="AD116" s="8">
        <f t="shared" si="53"/>
        <v>1.4048291000313577</v>
      </c>
      <c r="AE116" s="7">
        <v>16430</v>
      </c>
      <c r="AF116" s="7">
        <f t="shared" si="54"/>
        <v>5.1520852931953591</v>
      </c>
      <c r="AG116" s="3" t="s">
        <v>2377</v>
      </c>
      <c r="AH116" s="8">
        <f t="shared" si="55"/>
        <v>29.03417999372844</v>
      </c>
      <c r="AI116" s="8">
        <v>92590</v>
      </c>
      <c r="AJ116" s="8">
        <v>339510</v>
      </c>
      <c r="AK116" s="8">
        <f t="shared" si="56"/>
        <v>106.46284101599248</v>
      </c>
      <c r="AL116" s="8">
        <f t="shared" si="57"/>
        <v>61.774851050486049</v>
      </c>
      <c r="AM116" s="8">
        <f t="shared" si="58"/>
        <v>197000</v>
      </c>
      <c r="AN116" s="7">
        <f t="shared" si="59"/>
        <v>49.818428266521011</v>
      </c>
      <c r="AO116" s="7">
        <f t="shared" si="60"/>
        <v>11.956422783965042</v>
      </c>
      <c r="AP116" s="7" t="s">
        <v>763</v>
      </c>
      <c r="AQ116" s="8">
        <v>3189</v>
      </c>
      <c r="AR116" s="8" t="s">
        <v>763</v>
      </c>
      <c r="AS116" s="8" t="s">
        <v>763</v>
      </c>
      <c r="AT116" s="8" t="s">
        <v>763</v>
      </c>
      <c r="AU116" s="8" t="s">
        <v>763</v>
      </c>
      <c r="AV116">
        <f t="shared" si="33"/>
        <v>201.54644616467277</v>
      </c>
    </row>
  </sheetData>
  <autoFilter ref="A1:AV116" xr:uid="{E7BFA38D-713F-46AC-B0E9-63A7AFC347BB}"/>
  <phoneticPr fontId="14" type="noConversion"/>
  <hyperlinks>
    <hyperlink ref="D29" r:id="rId1" display="https://www.sciencedirect.com/author/57219425459/erik-velasco" xr:uid="{E762BAA5-BDD6-427B-A5ED-12042507E253}"/>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48907-0D53-4207-AE76-C9EEAD60C539}">
  <dimension ref="A1:AU73"/>
  <sheetViews>
    <sheetView workbookViewId="0">
      <pane ySplit="1" topLeftCell="A2" activePane="bottomLeft" state="frozen"/>
      <selection pane="bottomLeft" activeCell="I90" sqref="I90"/>
    </sheetView>
  </sheetViews>
  <sheetFormatPr defaultRowHeight="14.5" x14ac:dyDescent="0.35"/>
  <cols>
    <col min="3" max="3" width="30.36328125" customWidth="1"/>
    <col min="13" max="13" width="9.7265625" bestFit="1" customWidth="1"/>
    <col min="17" max="17" width="9" customWidth="1"/>
    <col min="31" max="31" width="10.81640625" bestFit="1" customWidth="1"/>
    <col min="32" max="32" width="11.36328125" bestFit="1" customWidth="1"/>
    <col min="34" max="34" width="10.81640625" bestFit="1" customWidth="1"/>
    <col min="35" max="35" width="8.90625" customWidth="1"/>
    <col min="36" max="36" width="10.81640625" customWidth="1"/>
    <col min="39" max="39" width="10.81640625" bestFit="1" customWidth="1"/>
  </cols>
  <sheetData>
    <row r="1" spans="1:47" x14ac:dyDescent="0.35">
      <c r="A1" t="s">
        <v>2295</v>
      </c>
      <c r="B1" s="2" t="s">
        <v>721</v>
      </c>
      <c r="C1" s="2" t="s">
        <v>2070</v>
      </c>
      <c r="D1" s="2" t="s">
        <v>722</v>
      </c>
      <c r="E1" s="2" t="s">
        <v>723</v>
      </c>
      <c r="F1" s="2" t="s">
        <v>724</v>
      </c>
      <c r="G1" s="2" t="s">
        <v>725</v>
      </c>
      <c r="H1" s="2" t="s">
        <v>726</v>
      </c>
      <c r="I1" s="2" t="s">
        <v>727</v>
      </c>
      <c r="J1" s="2" t="s">
        <v>728</v>
      </c>
      <c r="K1" s="2" t="s">
        <v>729</v>
      </c>
      <c r="L1" s="2" t="s">
        <v>730</v>
      </c>
      <c r="M1" s="2" t="s">
        <v>2330</v>
      </c>
      <c r="N1" s="2" t="s">
        <v>2329</v>
      </c>
      <c r="O1" s="2" t="s">
        <v>2324</v>
      </c>
      <c r="P1" s="2" t="s">
        <v>731</v>
      </c>
      <c r="Q1" s="2" t="s">
        <v>732</v>
      </c>
      <c r="R1" s="2" t="s">
        <v>2073</v>
      </c>
      <c r="S1" s="2" t="s">
        <v>2076</v>
      </c>
      <c r="T1" s="2" t="s">
        <v>735</v>
      </c>
      <c r="U1" s="2" t="s">
        <v>736</v>
      </c>
      <c r="V1" s="2" t="s">
        <v>737</v>
      </c>
      <c r="W1" s="2" t="s">
        <v>738</v>
      </c>
      <c r="X1" s="2" t="s">
        <v>739</v>
      </c>
      <c r="Y1" s="2" t="s">
        <v>740</v>
      </c>
      <c r="Z1" s="2" t="s">
        <v>741</v>
      </c>
      <c r="AA1" s="2" t="s">
        <v>742</v>
      </c>
      <c r="AB1" s="2" t="s">
        <v>2294</v>
      </c>
      <c r="AC1" s="12" t="s">
        <v>2227</v>
      </c>
      <c r="AD1" s="47" t="s">
        <v>2226</v>
      </c>
      <c r="AE1" s="12" t="s">
        <v>2214</v>
      </c>
      <c r="AF1" s="47" t="s">
        <v>2225</v>
      </c>
      <c r="AG1" s="2" t="s">
        <v>745</v>
      </c>
      <c r="AH1" s="47" t="s">
        <v>2215</v>
      </c>
      <c r="AI1" s="12" t="s">
        <v>2224</v>
      </c>
      <c r="AJ1" s="12" t="s">
        <v>2216</v>
      </c>
      <c r="AK1" s="47" t="s">
        <v>2229</v>
      </c>
      <c r="AL1" s="12" t="s">
        <v>2217</v>
      </c>
      <c r="AM1" s="12" t="s">
        <v>2218</v>
      </c>
      <c r="AN1" s="12" t="s">
        <v>2219</v>
      </c>
      <c r="AO1" s="12" t="s">
        <v>2220</v>
      </c>
      <c r="AP1" s="2" t="s">
        <v>748</v>
      </c>
      <c r="AQ1" s="47" t="s">
        <v>2221</v>
      </c>
      <c r="AR1" s="2" t="s">
        <v>2223</v>
      </c>
      <c r="AS1" s="2" t="s">
        <v>750</v>
      </c>
      <c r="AT1" s="47" t="s">
        <v>2285</v>
      </c>
      <c r="AU1" s="47" t="s">
        <v>2286</v>
      </c>
    </row>
    <row r="2" spans="1:47" x14ac:dyDescent="0.35">
      <c r="A2">
        <v>1</v>
      </c>
      <c r="B2" s="3">
        <v>1</v>
      </c>
      <c r="C2" s="3" t="s">
        <v>33</v>
      </c>
      <c r="D2" s="3" t="s">
        <v>35</v>
      </c>
      <c r="E2" s="3" t="s">
        <v>751</v>
      </c>
      <c r="F2" s="3">
        <v>2025</v>
      </c>
      <c r="G2" s="3" t="s">
        <v>752</v>
      </c>
      <c r="H2" s="3" t="s">
        <v>753</v>
      </c>
      <c r="I2" s="3" t="s">
        <v>754</v>
      </c>
      <c r="J2" s="3">
        <v>13.01784</v>
      </c>
      <c r="K2" s="3">
        <v>80.268242000000001</v>
      </c>
      <c r="L2" s="3" t="s">
        <v>755</v>
      </c>
      <c r="M2" s="3">
        <v>6672194</v>
      </c>
      <c r="N2" s="11">
        <v>15286</v>
      </c>
      <c r="O2" s="3" t="s">
        <v>2327</v>
      </c>
      <c r="P2" s="3" t="s">
        <v>756</v>
      </c>
      <c r="Q2" s="3" t="s">
        <v>2095</v>
      </c>
      <c r="R2" s="3">
        <v>1400</v>
      </c>
      <c r="S2" s="3">
        <v>27.9</v>
      </c>
      <c r="T2" s="3" t="s">
        <v>759</v>
      </c>
      <c r="U2" t="s">
        <v>2303</v>
      </c>
      <c r="V2" s="3" t="s">
        <v>2074</v>
      </c>
      <c r="W2" s="3" t="s">
        <v>762</v>
      </c>
      <c r="X2" s="3" t="s">
        <v>1031</v>
      </c>
      <c r="Y2" s="3" t="s">
        <v>764</v>
      </c>
      <c r="Z2" s="3" t="s">
        <v>2026</v>
      </c>
      <c r="AA2" s="3" t="s">
        <v>766</v>
      </c>
      <c r="AB2" s="3" t="s">
        <v>762</v>
      </c>
      <c r="AC2" s="3">
        <v>325.70999999999998</v>
      </c>
      <c r="AD2" s="3">
        <f>AC2/AQ2</f>
        <v>1.4219908920284947</v>
      </c>
      <c r="AE2" s="3">
        <v>1195.42</v>
      </c>
      <c r="AF2" s="3">
        <f>AE2/AQ2</f>
        <v>5.2189872959034211</v>
      </c>
      <c r="AG2" s="3" t="s">
        <v>768</v>
      </c>
      <c r="AH2" s="3">
        <v>99.89</v>
      </c>
      <c r="AI2" s="3">
        <v>2288</v>
      </c>
      <c r="AJ2" s="3">
        <v>8397.0499999999993</v>
      </c>
      <c r="AK2" s="3">
        <f>AJ2/AQ2</f>
        <v>36.660000061121465</v>
      </c>
      <c r="AL2" s="3">
        <v>222.26</v>
      </c>
      <c r="AM2" s="3">
        <f>AL2*AQ2</f>
        <v>50909.119745999997</v>
      </c>
      <c r="AN2" s="3">
        <f>AL2/1.24</f>
        <v>179.24193548387098</v>
      </c>
      <c r="AO2" s="3">
        <f>AN2*0.24</f>
        <v>43.01806451612903</v>
      </c>
      <c r="AP2" s="3">
        <v>229.0521</v>
      </c>
      <c r="AQ2" s="3">
        <v>229.0521</v>
      </c>
      <c r="AR2" s="3">
        <v>14</v>
      </c>
      <c r="AS2" s="3" t="s">
        <v>2008</v>
      </c>
      <c r="AT2" s="3">
        <v>3900</v>
      </c>
      <c r="AU2" s="3" t="s">
        <v>763</v>
      </c>
    </row>
    <row r="3" spans="1:47" x14ac:dyDescent="0.35">
      <c r="A3">
        <v>2</v>
      </c>
      <c r="B3" s="3">
        <v>2</v>
      </c>
      <c r="C3" s="3" t="s">
        <v>38</v>
      </c>
      <c r="D3" s="3" t="s">
        <v>40</v>
      </c>
      <c r="E3" s="3" t="s">
        <v>751</v>
      </c>
      <c r="F3" s="3">
        <v>2023</v>
      </c>
      <c r="G3" s="3" t="s">
        <v>1890</v>
      </c>
      <c r="H3" s="3" t="s">
        <v>753</v>
      </c>
      <c r="I3" s="3" t="s">
        <v>776</v>
      </c>
      <c r="J3" s="3">
        <v>-12.816667000000001</v>
      </c>
      <c r="K3" s="3">
        <v>28.2</v>
      </c>
      <c r="L3" s="3" t="s">
        <v>779</v>
      </c>
      <c r="M3" s="3">
        <v>522092</v>
      </c>
      <c r="N3">
        <v>819.6</v>
      </c>
      <c r="O3" s="3" t="s">
        <v>2326</v>
      </c>
      <c r="P3" s="3" t="s">
        <v>780</v>
      </c>
      <c r="Q3" s="3" t="s">
        <v>2092</v>
      </c>
      <c r="R3" s="3">
        <v>1226</v>
      </c>
      <c r="S3" s="3">
        <v>22.3</v>
      </c>
      <c r="T3" s="3" t="s">
        <v>2079</v>
      </c>
      <c r="U3" t="s">
        <v>2298</v>
      </c>
      <c r="V3" s="3" t="s">
        <v>2166</v>
      </c>
      <c r="W3" s="3" t="s">
        <v>787</v>
      </c>
      <c r="X3" s="3" t="s">
        <v>1031</v>
      </c>
      <c r="Y3" s="3" t="s">
        <v>764</v>
      </c>
      <c r="Z3" s="3" t="s">
        <v>2027</v>
      </c>
      <c r="AA3" s="3" t="s">
        <v>766</v>
      </c>
      <c r="AB3" s="3" t="s">
        <v>787</v>
      </c>
      <c r="AC3" s="3" t="s">
        <v>763</v>
      </c>
      <c r="AD3" s="3" t="s">
        <v>763</v>
      </c>
      <c r="AE3" s="3" t="s">
        <v>763</v>
      </c>
      <c r="AF3" s="3" t="s">
        <v>763</v>
      </c>
      <c r="AG3" s="3" t="s">
        <v>789</v>
      </c>
      <c r="AH3" s="4">
        <f>AI3/AQ3</f>
        <v>3.6859716859716858E-3</v>
      </c>
      <c r="AI3" s="4">
        <v>286.39999999999998</v>
      </c>
      <c r="AJ3" s="4">
        <v>1211.93</v>
      </c>
      <c r="AK3" s="4">
        <f>AJ3/AQ3</f>
        <v>1.5597554697554698E-2</v>
      </c>
      <c r="AL3" s="4">
        <f>AN3+AO3</f>
        <v>9.1412097812097817E-3</v>
      </c>
      <c r="AM3" s="4">
        <f>AL3*AQ3</f>
        <v>710.27200000000005</v>
      </c>
      <c r="AN3" s="4">
        <f>572.8/AQ3</f>
        <v>7.3719433719433717E-3</v>
      </c>
      <c r="AO3" s="4">
        <f>AN3*0.24</f>
        <v>1.7692664092664092E-3</v>
      </c>
      <c r="AP3" s="3">
        <v>77700</v>
      </c>
      <c r="AQ3" s="3">
        <v>77700</v>
      </c>
      <c r="AR3" s="3" t="s">
        <v>763</v>
      </c>
      <c r="AS3" s="3" t="s">
        <v>792</v>
      </c>
      <c r="AT3" s="3">
        <f>991/AQ3</f>
        <v>1.2754182754182754E-2</v>
      </c>
      <c r="AU3" s="3" t="s">
        <v>763</v>
      </c>
    </row>
    <row r="4" spans="1:47" x14ac:dyDescent="0.35">
      <c r="A4">
        <v>3</v>
      </c>
      <c r="B4" s="15">
        <v>3</v>
      </c>
      <c r="C4" s="3" t="s">
        <v>43</v>
      </c>
      <c r="D4" s="3" t="s">
        <v>45</v>
      </c>
      <c r="E4" s="3" t="s">
        <v>751</v>
      </c>
      <c r="F4" s="3">
        <v>2022</v>
      </c>
      <c r="G4" s="3" t="s">
        <v>794</v>
      </c>
      <c r="H4" s="3" t="s">
        <v>795</v>
      </c>
      <c r="I4" s="3" t="s">
        <v>754</v>
      </c>
      <c r="J4" s="3">
        <v>4.6785030000000001</v>
      </c>
      <c r="K4" s="3">
        <v>101.07940000000001</v>
      </c>
      <c r="L4" s="3" t="s">
        <v>798</v>
      </c>
      <c r="M4" s="11">
        <v>35577</v>
      </c>
      <c r="N4" s="5">
        <v>1986</v>
      </c>
      <c r="O4" s="3" t="s">
        <v>2327</v>
      </c>
      <c r="P4" s="3" t="s">
        <v>799</v>
      </c>
      <c r="Q4" s="3" t="s">
        <v>2077</v>
      </c>
      <c r="R4">
        <v>2298</v>
      </c>
      <c r="S4" s="3">
        <v>25.8</v>
      </c>
      <c r="T4" s="3" t="s">
        <v>763</v>
      </c>
      <c r="U4" t="s">
        <v>2300</v>
      </c>
      <c r="V4" s="19" t="s">
        <v>2118</v>
      </c>
      <c r="W4" s="3" t="s">
        <v>762</v>
      </c>
      <c r="X4" s="3" t="s">
        <v>865</v>
      </c>
      <c r="Y4" s="3" t="s">
        <v>801</v>
      </c>
      <c r="Z4" s="3" t="s">
        <v>802</v>
      </c>
      <c r="AA4" s="3" t="s">
        <v>766</v>
      </c>
      <c r="AB4" s="3" t="s">
        <v>762</v>
      </c>
      <c r="AC4" s="3" t="s">
        <v>763</v>
      </c>
      <c r="AD4" s="3" t="s">
        <v>763</v>
      </c>
      <c r="AE4" s="3" t="s">
        <v>763</v>
      </c>
      <c r="AF4" s="3" t="s">
        <v>763</v>
      </c>
      <c r="AG4" s="3" t="s">
        <v>789</v>
      </c>
      <c r="AH4">
        <f>AI4/AQ4</f>
        <v>15.056274620843656</v>
      </c>
      <c r="AI4" s="3">
        <f xml:space="preserve"> ((1995*48.953)+(2005*662.568)+(2015*860.027))/(1995+2005+2015)</f>
        <v>525.19775228595176</v>
      </c>
      <c r="AJ4" s="3">
        <f>AI4*3.65</f>
        <v>1916.9717958437238</v>
      </c>
      <c r="AK4" s="3">
        <f>AH4*3.65</f>
        <v>54.95540236607934</v>
      </c>
      <c r="AL4" s="4">
        <f>AN4+AO4</f>
        <v>37.339584876621622</v>
      </c>
      <c r="AM4" s="4">
        <f>AL4*AQ4</f>
        <v>1302.4912564588531</v>
      </c>
      <c r="AN4" s="3">
        <f>(((1995*97.906)+(2005*1325.136)+(2015*1720.056))/(1995+2005+2015))/AQ4</f>
        <v>30.112568448888403</v>
      </c>
      <c r="AO4" s="4">
        <f>AN4*0.24</f>
        <v>7.2270164277332167</v>
      </c>
      <c r="AP4" t="s">
        <v>2246</v>
      </c>
      <c r="AQ4">
        <f>((1995*52.951)+(2005*31.599)+(2015*20.26))/(1995+2005+2015)</f>
        <v>34.882317539484617</v>
      </c>
      <c r="AR4" s="3" t="s">
        <v>763</v>
      </c>
      <c r="AS4" s="3" t="s">
        <v>763</v>
      </c>
      <c r="AT4" s="3" t="s">
        <v>763</v>
      </c>
      <c r="AU4" s="3" t="s">
        <v>763</v>
      </c>
    </row>
    <row r="5" spans="1:47" x14ac:dyDescent="0.35">
      <c r="A5">
        <v>5</v>
      </c>
      <c r="B5" s="3">
        <v>4</v>
      </c>
      <c r="C5" s="3" t="s">
        <v>53</v>
      </c>
      <c r="D5" s="3" t="s">
        <v>55</v>
      </c>
      <c r="E5" s="3" t="s">
        <v>751</v>
      </c>
      <c r="F5" s="3">
        <v>2016</v>
      </c>
      <c r="G5" s="3" t="s">
        <v>1892</v>
      </c>
      <c r="H5" s="3" t="s">
        <v>753</v>
      </c>
      <c r="I5" s="3" t="s">
        <v>754</v>
      </c>
      <c r="J5" s="3">
        <v>7.25</v>
      </c>
      <c r="K5" s="3">
        <v>5.1950000000000003</v>
      </c>
      <c r="L5" s="3" t="s">
        <v>822</v>
      </c>
      <c r="M5" s="3">
        <v>500000</v>
      </c>
      <c r="N5">
        <v>489</v>
      </c>
      <c r="O5" s="3" t="s">
        <v>2326</v>
      </c>
      <c r="P5" s="3" t="s">
        <v>823</v>
      </c>
      <c r="Q5" s="3" t="s">
        <v>2095</v>
      </c>
      <c r="R5">
        <v>1711</v>
      </c>
      <c r="S5" s="3">
        <v>25.1</v>
      </c>
      <c r="T5" s="3" t="s">
        <v>2079</v>
      </c>
      <c r="U5" t="s">
        <v>2300</v>
      </c>
      <c r="V5" s="3" t="s">
        <v>2166</v>
      </c>
      <c r="W5" s="3" t="s">
        <v>787</v>
      </c>
      <c r="X5" s="3" t="s">
        <v>1031</v>
      </c>
      <c r="Y5" s="3" t="s">
        <v>764</v>
      </c>
      <c r="Z5" s="7" t="s">
        <v>2028</v>
      </c>
      <c r="AA5" s="7" t="s">
        <v>766</v>
      </c>
      <c r="AB5" s="3" t="s">
        <v>826</v>
      </c>
      <c r="AC5" s="3" t="s">
        <v>763</v>
      </c>
      <c r="AD5" s="3" t="s">
        <v>763</v>
      </c>
      <c r="AE5" s="3" t="s">
        <v>763</v>
      </c>
      <c r="AF5" s="3" t="s">
        <v>763</v>
      </c>
      <c r="AG5" s="3" t="s">
        <v>789</v>
      </c>
      <c r="AH5" s="3" t="s">
        <v>763</v>
      </c>
      <c r="AI5" s="3">
        <v>9.9374400000000005</v>
      </c>
      <c r="AJ5" s="3">
        <v>35.736359999999998</v>
      </c>
      <c r="AK5" s="3" t="s">
        <v>763</v>
      </c>
      <c r="AL5" s="4" t="s">
        <v>763</v>
      </c>
      <c r="AM5" s="4">
        <f>(19.87)+(19.87*0.24)</f>
        <v>24.6388</v>
      </c>
      <c r="AN5" s="34" t="s">
        <v>2234</v>
      </c>
      <c r="AO5" s="4" t="s">
        <v>763</v>
      </c>
      <c r="AP5" s="32" t="s">
        <v>763</v>
      </c>
      <c r="AQ5" s="32" t="s">
        <v>763</v>
      </c>
      <c r="AR5" s="3" t="s">
        <v>763</v>
      </c>
      <c r="AS5" s="3" t="s">
        <v>2009</v>
      </c>
      <c r="AT5" s="5" t="s">
        <v>763</v>
      </c>
      <c r="AU5" s="5" t="s">
        <v>763</v>
      </c>
    </row>
    <row r="6" spans="1:47" x14ac:dyDescent="0.35">
      <c r="A6">
        <v>6</v>
      </c>
      <c r="B6" s="3">
        <v>5</v>
      </c>
      <c r="C6" s="3" t="s">
        <v>58</v>
      </c>
      <c r="D6" s="3" t="s">
        <v>60</v>
      </c>
      <c r="E6" s="3" t="s">
        <v>751</v>
      </c>
      <c r="F6" s="3">
        <v>2024</v>
      </c>
      <c r="G6" s="3" t="s">
        <v>830</v>
      </c>
      <c r="H6" s="3" t="s">
        <v>753</v>
      </c>
      <c r="I6" s="3" t="s">
        <v>776</v>
      </c>
      <c r="J6" s="3">
        <v>-6.8858100000000002</v>
      </c>
      <c r="K6" s="3">
        <v>107.61136999999999</v>
      </c>
      <c r="L6" s="3" t="s">
        <v>831</v>
      </c>
      <c r="M6" s="5">
        <v>2527854</v>
      </c>
      <c r="N6" s="11">
        <v>14251</v>
      </c>
      <c r="O6" s="3" t="s">
        <v>2327</v>
      </c>
      <c r="P6" s="3" t="s">
        <v>832</v>
      </c>
      <c r="Q6" s="3" t="s">
        <v>2077</v>
      </c>
      <c r="R6">
        <v>3710</v>
      </c>
      <c r="S6" s="3">
        <v>22.4</v>
      </c>
      <c r="T6" s="3" t="s">
        <v>759</v>
      </c>
      <c r="U6" t="s">
        <v>2300</v>
      </c>
      <c r="V6" s="3" t="s">
        <v>2167</v>
      </c>
      <c r="W6" s="3" t="s">
        <v>762</v>
      </c>
      <c r="X6" s="3" t="s">
        <v>1031</v>
      </c>
      <c r="Y6" s="7" t="s">
        <v>2003</v>
      </c>
      <c r="Z6" s="3" t="s">
        <v>2038</v>
      </c>
      <c r="AA6" s="3" t="s">
        <v>766</v>
      </c>
      <c r="AB6" s="3" t="s">
        <v>762</v>
      </c>
      <c r="AC6" s="3">
        <v>25.17</v>
      </c>
      <c r="AD6" s="3">
        <f>AC6/AQ6</f>
        <v>5.0340000000000007</v>
      </c>
      <c r="AE6" s="3">
        <f>AC6*3.65</f>
        <v>91.870500000000007</v>
      </c>
      <c r="AF6" s="3">
        <f>AE6/AQ6</f>
        <v>18.374100000000002</v>
      </c>
      <c r="AG6" s="3" t="s">
        <v>789</v>
      </c>
      <c r="AH6" s="3">
        <f>AI6/AQ6</f>
        <v>76.2</v>
      </c>
      <c r="AI6" s="3">
        <v>381</v>
      </c>
      <c r="AJ6" s="3">
        <f>AI6*3.65</f>
        <v>1390.6499999999999</v>
      </c>
      <c r="AK6" s="3">
        <f t="shared" ref="AK6:AK11" si="0">AJ6/AQ6</f>
        <v>278.13</v>
      </c>
      <c r="AL6" s="3">
        <f t="shared" ref="AL6:AM11" si="1">AH6/0.47</f>
        <v>162.12765957446811</v>
      </c>
      <c r="AM6" s="3">
        <f t="shared" si="1"/>
        <v>810.63829787234044</v>
      </c>
      <c r="AN6" s="3">
        <f t="shared" ref="AN6:AN11" si="2">AH6/1.24</f>
        <v>61.451612903225808</v>
      </c>
      <c r="AO6" s="3">
        <f t="shared" ref="AO6:AO11" si="3">AN6*0.24</f>
        <v>14.748387096774193</v>
      </c>
      <c r="AP6" s="3">
        <v>5</v>
      </c>
      <c r="AQ6" s="3">
        <v>5</v>
      </c>
      <c r="AR6" s="3" t="s">
        <v>763</v>
      </c>
      <c r="AS6" s="3" t="s">
        <v>2277</v>
      </c>
      <c r="AT6" s="3">
        <v>321</v>
      </c>
      <c r="AU6" s="3" t="s">
        <v>763</v>
      </c>
    </row>
    <row r="7" spans="1:47" x14ac:dyDescent="0.35">
      <c r="A7">
        <v>7</v>
      </c>
      <c r="B7" s="3">
        <v>6</v>
      </c>
      <c r="C7" s="3" t="s">
        <v>63</v>
      </c>
      <c r="D7" s="3" t="s">
        <v>65</v>
      </c>
      <c r="E7" s="3" t="s">
        <v>751</v>
      </c>
      <c r="F7" s="3">
        <v>2023</v>
      </c>
      <c r="G7" s="3">
        <v>2020</v>
      </c>
      <c r="H7" s="3" t="s">
        <v>753</v>
      </c>
      <c r="I7" s="3" t="s">
        <v>776</v>
      </c>
      <c r="J7" s="3">
        <v>-21.688889</v>
      </c>
      <c r="K7" s="3">
        <v>-43.344444000000003</v>
      </c>
      <c r="L7" s="3" t="s">
        <v>845</v>
      </c>
      <c r="M7" s="3">
        <v>573285</v>
      </c>
      <c r="N7">
        <v>376.6</v>
      </c>
      <c r="O7" s="3" t="s">
        <v>2325</v>
      </c>
      <c r="P7" s="3" t="s">
        <v>846</v>
      </c>
      <c r="Q7" s="3" t="s">
        <v>2092</v>
      </c>
      <c r="R7" s="3">
        <v>1500</v>
      </c>
      <c r="S7" s="3">
        <v>19</v>
      </c>
      <c r="T7" s="3" t="s">
        <v>763</v>
      </c>
      <c r="U7" t="s">
        <v>2300</v>
      </c>
      <c r="V7" s="3" t="s">
        <v>2167</v>
      </c>
      <c r="W7" s="3" t="s">
        <v>787</v>
      </c>
      <c r="X7" s="3" t="s">
        <v>2276</v>
      </c>
      <c r="Y7" s="3" t="s">
        <v>1990</v>
      </c>
      <c r="Z7" t="s">
        <v>1032</v>
      </c>
      <c r="AA7" s="3" t="s">
        <v>766</v>
      </c>
      <c r="AB7" s="3" t="s">
        <v>787</v>
      </c>
      <c r="AC7" s="3">
        <v>158430</v>
      </c>
      <c r="AD7" s="3">
        <f>AC7/AQ7</f>
        <v>3.1686000000000001</v>
      </c>
      <c r="AE7" s="3">
        <v>580920</v>
      </c>
      <c r="AF7" s="3">
        <f>AE7/AQ7</f>
        <v>11.618399999999999</v>
      </c>
      <c r="AG7" s="3" t="s">
        <v>789</v>
      </c>
      <c r="AH7" s="3">
        <f>AI7/AQ7</f>
        <v>79.577399999999997</v>
      </c>
      <c r="AI7" s="3">
        <v>3978870</v>
      </c>
      <c r="AJ7" s="3">
        <f>AI7*3.65</f>
        <v>14522875.5</v>
      </c>
      <c r="AK7" s="3">
        <f t="shared" si="0"/>
        <v>290.45751000000001</v>
      </c>
      <c r="AL7" s="3">
        <f t="shared" si="1"/>
        <v>169.3136170212766</v>
      </c>
      <c r="AM7" s="3">
        <f t="shared" si="1"/>
        <v>8465680.8510638308</v>
      </c>
      <c r="AN7" s="3">
        <f t="shared" si="2"/>
        <v>64.175322580645158</v>
      </c>
      <c r="AO7" s="3">
        <f t="shared" si="3"/>
        <v>15.402077419354837</v>
      </c>
      <c r="AP7" s="3">
        <v>50000</v>
      </c>
      <c r="AQ7" s="3">
        <v>50000</v>
      </c>
      <c r="AR7" s="3" t="s">
        <v>763</v>
      </c>
      <c r="AS7" s="3" t="s">
        <v>763</v>
      </c>
      <c r="AT7" s="3" t="s">
        <v>763</v>
      </c>
      <c r="AU7" s="3">
        <f>AQ7*0.3586</f>
        <v>17930</v>
      </c>
    </row>
    <row r="8" spans="1:47" x14ac:dyDescent="0.35">
      <c r="A8">
        <v>13</v>
      </c>
      <c r="B8" s="3">
        <v>11</v>
      </c>
      <c r="C8" s="3" t="s">
        <v>82</v>
      </c>
      <c r="D8" s="3" t="s">
        <v>84</v>
      </c>
      <c r="E8" s="3" t="s">
        <v>751</v>
      </c>
      <c r="F8" s="3">
        <v>2024</v>
      </c>
      <c r="G8" s="3">
        <v>2023</v>
      </c>
      <c r="H8" s="3" t="s">
        <v>753</v>
      </c>
      <c r="I8" s="3" t="s">
        <v>754</v>
      </c>
      <c r="J8" s="3">
        <v>9.5333330000000007</v>
      </c>
      <c r="K8" s="3">
        <v>76.599999999999994</v>
      </c>
      <c r="L8" s="3" t="s">
        <v>920</v>
      </c>
      <c r="M8" s="5">
        <v>55374</v>
      </c>
      <c r="N8" s="11">
        <v>3463</v>
      </c>
      <c r="O8" s="3" t="s">
        <v>2327</v>
      </c>
      <c r="P8" s="3" t="s">
        <v>756</v>
      </c>
      <c r="Q8" s="3" t="s">
        <v>2082</v>
      </c>
      <c r="R8" s="3">
        <v>2600</v>
      </c>
      <c r="S8" s="3">
        <v>25</v>
      </c>
      <c r="T8" s="3" t="s">
        <v>763</v>
      </c>
      <c r="U8" t="s">
        <v>2300</v>
      </c>
      <c r="V8" s="19" t="s">
        <v>2118</v>
      </c>
      <c r="W8" s="3" t="s">
        <v>787</v>
      </c>
      <c r="X8" s="3" t="s">
        <v>865</v>
      </c>
      <c r="Y8" s="3" t="s">
        <v>925</v>
      </c>
      <c r="Z8" s="3" t="s">
        <v>2033</v>
      </c>
      <c r="AA8" s="3" t="s">
        <v>766</v>
      </c>
      <c r="AB8" s="3" t="s">
        <v>787</v>
      </c>
      <c r="AC8" s="3">
        <f>93.13 + 232.82 + 465.65 + 113.83 + 284.6 + 569.16</f>
        <v>1759.19</v>
      </c>
      <c r="AD8" s="3">
        <f>((93.13*10)+(232.82*25)+(465.65*50)+(113.83*10)+(284.6*25)+(569.16*50))/(170)</f>
        <v>392.6211764705883</v>
      </c>
      <c r="AE8" s="3">
        <f>AC8*3.65</f>
        <v>6421.0434999999998</v>
      </c>
      <c r="AF8" s="3">
        <f>AD8*3.65</f>
        <v>1433.0672941176472</v>
      </c>
      <c r="AG8" s="3" t="s">
        <v>768</v>
      </c>
      <c r="AH8" s="3">
        <f>AI8/AQ8</f>
        <v>89.94763400933067</v>
      </c>
      <c r="AI8" s="3">
        <f>2143+5355+10710+3415+8538+17075</f>
        <v>47236</v>
      </c>
      <c r="AJ8" s="3">
        <f>AI8*3.65</f>
        <v>172411.4</v>
      </c>
      <c r="AK8" s="3">
        <f t="shared" si="0"/>
        <v>328.30886413405693</v>
      </c>
      <c r="AL8" s="3">
        <f t="shared" si="1"/>
        <v>191.37794470070355</v>
      </c>
      <c r="AM8" s="3">
        <f t="shared" si="1"/>
        <v>100502.12765957447</v>
      </c>
      <c r="AN8" s="3">
        <f t="shared" si="2"/>
        <v>72.538414523653771</v>
      </c>
      <c r="AO8" s="3">
        <f t="shared" si="3"/>
        <v>17.409219485676903</v>
      </c>
      <c r="AP8" s="3" t="s">
        <v>2111</v>
      </c>
      <c r="AQ8" s="3">
        <f>(175.19+290.08+59.88)</f>
        <v>525.15</v>
      </c>
      <c r="AR8" s="3" t="s">
        <v>763</v>
      </c>
      <c r="AS8" s="3" t="s">
        <v>870</v>
      </c>
      <c r="AT8" s="3" t="s">
        <v>763</v>
      </c>
      <c r="AU8" s="3" t="s">
        <v>763</v>
      </c>
    </row>
    <row r="9" spans="1:47" x14ac:dyDescent="0.35">
      <c r="A9">
        <v>16</v>
      </c>
      <c r="B9" s="3">
        <v>14</v>
      </c>
      <c r="C9" s="3" t="s">
        <v>92</v>
      </c>
      <c r="D9" s="3" t="s">
        <v>1008</v>
      </c>
      <c r="E9" s="3" t="s">
        <v>751</v>
      </c>
      <c r="F9" s="3">
        <v>2020</v>
      </c>
      <c r="G9" s="27">
        <v>43831</v>
      </c>
      <c r="H9" s="3" t="s">
        <v>753</v>
      </c>
      <c r="I9" s="3" t="s">
        <v>754</v>
      </c>
      <c r="J9" s="3">
        <v>23.241667</v>
      </c>
      <c r="K9" s="3">
        <v>77.391666999999998</v>
      </c>
      <c r="L9" s="3" t="s">
        <v>1012</v>
      </c>
      <c r="M9" s="11">
        <v>1798218</v>
      </c>
      <c r="N9" s="11">
        <v>6290</v>
      </c>
      <c r="O9" s="3" t="s">
        <v>2327</v>
      </c>
      <c r="P9" s="3" t="s">
        <v>756</v>
      </c>
      <c r="Q9" s="3" t="s">
        <v>2092</v>
      </c>
      <c r="R9" s="3">
        <v>1000</v>
      </c>
      <c r="S9" s="3">
        <v>26</v>
      </c>
      <c r="T9" s="3" t="s">
        <v>1016</v>
      </c>
      <c r="U9" t="s">
        <v>2297</v>
      </c>
      <c r="V9" s="3" t="s">
        <v>2167</v>
      </c>
      <c r="W9" s="3" t="s">
        <v>787</v>
      </c>
      <c r="X9" s="3" t="s">
        <v>865</v>
      </c>
      <c r="Y9" s="3" t="s">
        <v>764</v>
      </c>
      <c r="Z9" s="29" t="s">
        <v>2030</v>
      </c>
      <c r="AA9" s="3" t="s">
        <v>766</v>
      </c>
      <c r="AB9" s="3" t="s">
        <v>787</v>
      </c>
      <c r="AC9" s="3" t="s">
        <v>763</v>
      </c>
      <c r="AD9" s="3" t="s">
        <v>763</v>
      </c>
      <c r="AE9" s="3" t="s">
        <v>763</v>
      </c>
      <c r="AF9" s="3" t="s">
        <v>763</v>
      </c>
      <c r="AG9" s="3" t="s">
        <v>768</v>
      </c>
      <c r="AH9" s="3">
        <v>16.670000000000002</v>
      </c>
      <c r="AI9" s="3">
        <f>AH9*AQ9</f>
        <v>3252.6003900000001</v>
      </c>
      <c r="AJ9" s="3">
        <f>AI9*3.65</f>
        <v>11871.9914235</v>
      </c>
      <c r="AK9" s="3">
        <f t="shared" si="0"/>
        <v>60.845500000000001</v>
      </c>
      <c r="AL9" s="3">
        <f t="shared" si="1"/>
        <v>35.468085106382986</v>
      </c>
      <c r="AM9" s="3">
        <f t="shared" si="1"/>
        <v>6920.4263617021279</v>
      </c>
      <c r="AN9" s="3">
        <f t="shared" si="2"/>
        <v>13.443548387096776</v>
      </c>
      <c r="AO9" s="3">
        <f t="shared" si="3"/>
        <v>3.2264516129032259</v>
      </c>
      <c r="AP9" s="3">
        <v>195.11699999999999</v>
      </c>
      <c r="AQ9" s="3">
        <v>195.11699999999999</v>
      </c>
      <c r="AR9" s="3" t="s">
        <v>763</v>
      </c>
      <c r="AS9" s="3" t="s">
        <v>886</v>
      </c>
      <c r="AT9" s="3">
        <f>1259/AQ9</f>
        <v>6.4525387331703543</v>
      </c>
      <c r="AU9" s="3" t="s">
        <v>763</v>
      </c>
    </row>
    <row r="10" spans="1:47" x14ac:dyDescent="0.35">
      <c r="A10">
        <v>14</v>
      </c>
      <c r="B10" s="3">
        <v>12</v>
      </c>
      <c r="C10" s="3" t="s">
        <v>932</v>
      </c>
      <c r="D10" s="3" t="s">
        <v>933</v>
      </c>
      <c r="E10" s="3" t="s">
        <v>751</v>
      </c>
      <c r="F10" s="3">
        <v>2023</v>
      </c>
      <c r="G10" s="3" t="s">
        <v>763</v>
      </c>
      <c r="H10" s="3" t="s">
        <v>753</v>
      </c>
      <c r="I10" s="3" t="s">
        <v>754</v>
      </c>
      <c r="J10" s="3">
        <v>9.8820949999999996</v>
      </c>
      <c r="K10" s="3">
        <v>78.081536999999997</v>
      </c>
      <c r="L10" s="3" t="s">
        <v>2084</v>
      </c>
      <c r="M10" s="11">
        <v>1017865</v>
      </c>
      <c r="N10" s="11">
        <v>19589</v>
      </c>
      <c r="O10" s="3" t="s">
        <v>2327</v>
      </c>
      <c r="P10" s="3" t="s">
        <v>756</v>
      </c>
      <c r="Q10" s="3" t="s">
        <v>2095</v>
      </c>
      <c r="R10" s="3">
        <v>849</v>
      </c>
      <c r="S10" s="3">
        <v>28.2</v>
      </c>
      <c r="T10" s="3" t="s">
        <v>763</v>
      </c>
      <c r="U10" t="s">
        <v>2297</v>
      </c>
      <c r="V10" s="3" t="s">
        <v>2167</v>
      </c>
      <c r="W10" s="3" t="s">
        <v>762</v>
      </c>
      <c r="X10" s="3" t="s">
        <v>865</v>
      </c>
      <c r="Y10" s="3" t="s">
        <v>936</v>
      </c>
      <c r="Z10" s="3" t="s">
        <v>2026</v>
      </c>
      <c r="AA10" s="3" t="s">
        <v>766</v>
      </c>
      <c r="AB10" s="3" t="s">
        <v>762</v>
      </c>
      <c r="AC10" s="3" t="s">
        <v>763</v>
      </c>
      <c r="AD10" s="3" t="s">
        <v>763</v>
      </c>
      <c r="AE10" s="3" t="s">
        <v>763</v>
      </c>
      <c r="AF10" s="3" t="s">
        <v>763</v>
      </c>
      <c r="AG10" s="3" t="s">
        <v>768</v>
      </c>
      <c r="AH10" s="3">
        <f>AI10/AQ10</f>
        <v>1309.6790022490288</v>
      </c>
      <c r="AI10" s="3">
        <f>AJ10/3.65</f>
        <v>8774.8493150684935</v>
      </c>
      <c r="AJ10" s="3">
        <v>32028.2</v>
      </c>
      <c r="AK10" s="3">
        <f t="shared" si="0"/>
        <v>4780.3283582089553</v>
      </c>
      <c r="AL10" s="3">
        <f t="shared" si="1"/>
        <v>2786.5510686149551</v>
      </c>
      <c r="AM10" s="3">
        <f t="shared" si="1"/>
        <v>18669.892159720199</v>
      </c>
      <c r="AN10" s="3">
        <f t="shared" si="2"/>
        <v>1056.1927437492168</v>
      </c>
      <c r="AO10" s="3">
        <f t="shared" si="3"/>
        <v>253.48625849981201</v>
      </c>
      <c r="AP10" s="3">
        <v>6.7</v>
      </c>
      <c r="AQ10" s="3">
        <v>6.7</v>
      </c>
      <c r="AR10" s="3" t="s">
        <v>763</v>
      </c>
      <c r="AS10" s="3" t="s">
        <v>903</v>
      </c>
      <c r="AT10" s="3">
        <v>1281</v>
      </c>
      <c r="AU10" s="3" t="s">
        <v>763</v>
      </c>
    </row>
    <row r="11" spans="1:47" x14ac:dyDescent="0.35">
      <c r="A11">
        <v>17</v>
      </c>
      <c r="B11" s="3">
        <v>15</v>
      </c>
      <c r="C11" s="3" t="s">
        <v>98</v>
      </c>
      <c r="D11" s="3" t="s">
        <v>1030</v>
      </c>
      <c r="E11" s="3" t="s">
        <v>751</v>
      </c>
      <c r="F11" s="3">
        <v>2018</v>
      </c>
      <c r="G11" s="4" t="s">
        <v>1897</v>
      </c>
      <c r="H11" s="3" t="s">
        <v>795</v>
      </c>
      <c r="I11" s="3" t="s">
        <v>754</v>
      </c>
      <c r="J11" s="3">
        <v>9.9311939999999996</v>
      </c>
      <c r="K11" s="3">
        <v>76.267306000000005</v>
      </c>
      <c r="L11" s="3" t="s">
        <v>1753</v>
      </c>
      <c r="M11" s="11">
        <v>633553</v>
      </c>
      <c r="N11" s="11">
        <v>5914</v>
      </c>
      <c r="O11" s="3" t="s">
        <v>2327</v>
      </c>
      <c r="P11" s="3" t="s">
        <v>756</v>
      </c>
      <c r="Q11" s="3" t="s">
        <v>2082</v>
      </c>
      <c r="R11" s="3">
        <v>3344.5</v>
      </c>
      <c r="S11" s="3">
        <v>30.8</v>
      </c>
      <c r="T11" s="3" t="s">
        <v>759</v>
      </c>
      <c r="U11" t="s">
        <v>2300</v>
      </c>
      <c r="V11" s="3" t="s">
        <v>2166</v>
      </c>
      <c r="W11" s="3" t="s">
        <v>762</v>
      </c>
      <c r="X11" s="3" t="s">
        <v>1031</v>
      </c>
      <c r="Y11" s="3" t="s">
        <v>1991</v>
      </c>
      <c r="Z11" s="3" t="s">
        <v>1032</v>
      </c>
      <c r="AA11" s="3" t="s">
        <v>766</v>
      </c>
      <c r="AB11" s="3" t="s">
        <v>762</v>
      </c>
      <c r="AC11" s="3" t="s">
        <v>763</v>
      </c>
      <c r="AD11" s="3" t="s">
        <v>763</v>
      </c>
      <c r="AE11" s="3" t="s">
        <v>763</v>
      </c>
      <c r="AF11" s="3" t="s">
        <v>763</v>
      </c>
      <c r="AG11" s="3" t="s">
        <v>789</v>
      </c>
      <c r="AH11" s="3">
        <f>((2013*42.78)+(2015*39.49))/(2013+2015)</f>
        <v>41.134183217477656</v>
      </c>
      <c r="AI11" s="3">
        <f>AH11*AQ11</f>
        <v>27.85606887487587</v>
      </c>
      <c r="AJ11" s="3">
        <f>AI11*3.65</f>
        <v>101.67465139329693</v>
      </c>
      <c r="AK11" s="3">
        <f t="shared" si="0"/>
        <v>150.13976874379344</v>
      </c>
      <c r="AL11" s="3">
        <f t="shared" si="1"/>
        <v>87.519538760590763</v>
      </c>
      <c r="AM11" s="3">
        <f t="shared" si="1"/>
        <v>59.268231648672064</v>
      </c>
      <c r="AN11" s="3">
        <f t="shared" si="2"/>
        <v>33.172728401191655</v>
      </c>
      <c r="AO11" s="3">
        <f t="shared" si="3"/>
        <v>7.9614548162859968</v>
      </c>
      <c r="AP11" s="7">
        <v>0.67720000000000002</v>
      </c>
      <c r="AQ11" s="7">
        <v>0.67720000000000002</v>
      </c>
      <c r="AR11" s="3" t="s">
        <v>763</v>
      </c>
      <c r="AS11" s="7" t="s">
        <v>2269</v>
      </c>
      <c r="AT11" s="3">
        <f>276/AQ11</f>
        <v>407.56054341405786</v>
      </c>
      <c r="AU11" s="3" t="s">
        <v>763</v>
      </c>
    </row>
    <row r="12" spans="1:47" x14ac:dyDescent="0.35">
      <c r="A12">
        <v>8</v>
      </c>
      <c r="B12" s="3">
        <v>7</v>
      </c>
      <c r="C12" s="3" t="s">
        <v>857</v>
      </c>
      <c r="D12" s="3" t="s">
        <v>858</v>
      </c>
      <c r="E12" s="3" t="s">
        <v>859</v>
      </c>
      <c r="F12" s="3">
        <v>2014</v>
      </c>
      <c r="G12" s="3" t="s">
        <v>1893</v>
      </c>
      <c r="H12" s="3" t="s">
        <v>753</v>
      </c>
      <c r="I12" s="3" t="s">
        <v>776</v>
      </c>
      <c r="J12" s="3">
        <v>-20.8</v>
      </c>
      <c r="K12" s="3">
        <v>-42.883333</v>
      </c>
      <c r="L12" s="3" t="s">
        <v>863</v>
      </c>
      <c r="M12" s="11">
        <v>72220</v>
      </c>
      <c r="N12">
        <v>255.3</v>
      </c>
      <c r="O12" s="3" t="s">
        <v>2325</v>
      </c>
      <c r="P12" s="3" t="s">
        <v>846</v>
      </c>
      <c r="Q12" s="3" t="s">
        <v>2092</v>
      </c>
      <c r="R12" s="3">
        <v>1251</v>
      </c>
      <c r="S12" s="3">
        <v>20.399999999999999</v>
      </c>
      <c r="T12" s="3" t="s">
        <v>763</v>
      </c>
      <c r="U12" t="s">
        <v>2300</v>
      </c>
      <c r="V12" s="3" t="s">
        <v>2167</v>
      </c>
      <c r="W12" s="3" t="s">
        <v>787</v>
      </c>
      <c r="X12" s="3" t="s">
        <v>865</v>
      </c>
      <c r="Y12" s="3" t="s">
        <v>866</v>
      </c>
      <c r="Z12" s="3" t="s">
        <v>763</v>
      </c>
      <c r="AA12" s="3" t="s">
        <v>766</v>
      </c>
      <c r="AB12" s="3" t="s">
        <v>787</v>
      </c>
      <c r="AC12" s="3">
        <f>AE12/3.65</f>
        <v>431.00321171120061</v>
      </c>
      <c r="AD12" s="3">
        <f>AF12/3.65</f>
        <v>2.5353130100658858</v>
      </c>
      <c r="AE12" s="3">
        <f>((1285.89*175.19)+(1596.89*290.08)+(2298.68*59.88))/(175.19+290.08+59.88)</f>
        <v>1573.1617227458821</v>
      </c>
      <c r="AF12" s="3">
        <f>AE12/AQ12</f>
        <v>9.253892486740483</v>
      </c>
      <c r="AG12" s="3" t="s">
        <v>789</v>
      </c>
      <c r="AH12" s="3" t="s">
        <v>763</v>
      </c>
      <c r="AI12" s="3" t="s">
        <v>763</v>
      </c>
      <c r="AJ12" s="3" t="s">
        <v>763</v>
      </c>
      <c r="AK12" s="3" t="s">
        <v>763</v>
      </c>
      <c r="AL12" s="3" t="s">
        <v>763</v>
      </c>
      <c r="AM12" s="3" t="s">
        <v>763</v>
      </c>
      <c r="AN12" s="3" t="s">
        <v>763</v>
      </c>
      <c r="AO12" s="3" t="s">
        <v>763</v>
      </c>
      <c r="AP12" s="3">
        <v>170</v>
      </c>
      <c r="AQ12" s="3">
        <v>170</v>
      </c>
      <c r="AR12" s="3">
        <v>26.5</v>
      </c>
      <c r="AS12" s="3" t="s">
        <v>931</v>
      </c>
      <c r="AT12" s="3" t="s">
        <v>763</v>
      </c>
      <c r="AU12" s="3" t="s">
        <v>763</v>
      </c>
    </row>
    <row r="13" spans="1:47" x14ac:dyDescent="0.35">
      <c r="A13">
        <v>15</v>
      </c>
      <c r="B13" s="3">
        <v>13</v>
      </c>
      <c r="C13" s="3" t="s">
        <v>958</v>
      </c>
      <c r="D13" s="3" t="s">
        <v>959</v>
      </c>
      <c r="E13" s="3" t="s">
        <v>751</v>
      </c>
      <c r="F13" s="3">
        <v>2021</v>
      </c>
      <c r="G13" s="3">
        <v>2020</v>
      </c>
      <c r="H13" s="3" t="s">
        <v>753</v>
      </c>
      <c r="I13" s="3" t="s">
        <v>776</v>
      </c>
      <c r="J13" s="3">
        <v>-6.2394439999999998</v>
      </c>
      <c r="K13" s="3">
        <v>106.992778</v>
      </c>
      <c r="L13" s="3" t="s">
        <v>962</v>
      </c>
      <c r="M13" s="11">
        <v>2334871</v>
      </c>
      <c r="N13" s="11">
        <v>10906</v>
      </c>
      <c r="O13" s="3" t="s">
        <v>2327</v>
      </c>
      <c r="P13" s="3" t="s">
        <v>832</v>
      </c>
      <c r="Q13" s="8" t="s">
        <v>2082</v>
      </c>
      <c r="R13" s="3">
        <v>2266</v>
      </c>
      <c r="S13" s="3">
        <v>26.5</v>
      </c>
      <c r="T13" s="3" t="s">
        <v>763</v>
      </c>
      <c r="U13" t="s">
        <v>2300</v>
      </c>
      <c r="V13" s="3" t="s">
        <v>1560</v>
      </c>
      <c r="W13" s="3" t="s">
        <v>787</v>
      </c>
      <c r="X13" s="3" t="s">
        <v>1235</v>
      </c>
      <c r="Y13" s="3" t="s">
        <v>1989</v>
      </c>
      <c r="Z13" s="3" t="s">
        <v>2026</v>
      </c>
      <c r="AA13" s="3" t="s">
        <v>766</v>
      </c>
      <c r="AB13" s="3" t="s">
        <v>787</v>
      </c>
      <c r="AC13" s="3" t="s">
        <v>763</v>
      </c>
      <c r="AD13" s="3" t="s">
        <v>763</v>
      </c>
      <c r="AE13" s="3" t="s">
        <v>763</v>
      </c>
      <c r="AF13" s="3" t="s">
        <v>763</v>
      </c>
      <c r="AG13" s="3" t="s">
        <v>789</v>
      </c>
      <c r="AH13" s="4">
        <f>AL13*0.47</f>
        <v>0.58687959999999983</v>
      </c>
      <c r="AI13" s="4">
        <f>AM13*0.47</f>
        <v>11.875097890279998</v>
      </c>
      <c r="AJ13" s="4">
        <f>AI13*3.65</f>
        <v>43.344107299521987</v>
      </c>
      <c r="AK13" s="4">
        <f>AH13*3.65</f>
        <v>2.1421105399999996</v>
      </c>
      <c r="AL13" s="4">
        <f>AN13+AO13</f>
        <v>1.2486799999999998</v>
      </c>
      <c r="AM13" s="4">
        <f>AL13*AQ13</f>
        <v>25.266165723999997</v>
      </c>
      <c r="AN13" s="3">
        <v>1.0069999999999999</v>
      </c>
      <c r="AO13" s="4">
        <f>AN13*0.24</f>
        <v>0.24167999999999998</v>
      </c>
      <c r="AP13" s="3">
        <v>20.234300000000001</v>
      </c>
      <c r="AQ13" s="3">
        <v>20.234300000000001</v>
      </c>
      <c r="AR13" s="3">
        <v>66</v>
      </c>
      <c r="AS13" s="3" t="s">
        <v>941</v>
      </c>
      <c r="AT13" s="3">
        <f>714/AQ13</f>
        <v>35.286617278581417</v>
      </c>
      <c r="AU13" s="3" t="s">
        <v>763</v>
      </c>
    </row>
    <row r="14" spans="1:47" x14ac:dyDescent="0.35">
      <c r="A14">
        <v>18</v>
      </c>
      <c r="B14" s="3">
        <v>16</v>
      </c>
      <c r="C14" t="s">
        <v>111</v>
      </c>
      <c r="D14" t="s">
        <v>113</v>
      </c>
      <c r="E14" s="3" t="s">
        <v>751</v>
      </c>
      <c r="F14" s="3">
        <v>2018</v>
      </c>
      <c r="G14" s="3">
        <v>2016</v>
      </c>
      <c r="H14" s="3" t="s">
        <v>753</v>
      </c>
      <c r="I14" s="3" t="s">
        <v>776</v>
      </c>
      <c r="J14" s="3">
        <v>-6.2249999999999996</v>
      </c>
      <c r="K14" s="3">
        <v>106.63333299999999</v>
      </c>
      <c r="L14" s="3" t="s">
        <v>2085</v>
      </c>
      <c r="M14" s="11">
        <v>152145</v>
      </c>
      <c r="N14" s="3">
        <v>9835</v>
      </c>
      <c r="O14" s="3" t="s">
        <v>2327</v>
      </c>
      <c r="P14" s="3" t="s">
        <v>832</v>
      </c>
      <c r="Q14" t="s">
        <v>2096</v>
      </c>
      <c r="R14" s="3">
        <v>2097</v>
      </c>
      <c r="S14" s="3">
        <v>26.3</v>
      </c>
      <c r="T14" s="3" t="s">
        <v>763</v>
      </c>
      <c r="U14" t="s">
        <v>2300</v>
      </c>
      <c r="V14" s="3" t="s">
        <v>1560</v>
      </c>
      <c r="W14" s="3" t="s">
        <v>787</v>
      </c>
      <c r="X14" s="3" t="s">
        <v>1031</v>
      </c>
      <c r="Y14" s="3" t="s">
        <v>1039</v>
      </c>
      <c r="Z14" s="3" t="s">
        <v>2026</v>
      </c>
      <c r="AA14" s="3" t="s">
        <v>766</v>
      </c>
      <c r="AB14" s="3" t="s">
        <v>787</v>
      </c>
      <c r="AC14" s="3" t="s">
        <v>763</v>
      </c>
      <c r="AD14" s="3" t="s">
        <v>763</v>
      </c>
      <c r="AE14" s="3" t="s">
        <v>763</v>
      </c>
      <c r="AF14" s="3" t="s">
        <v>763</v>
      </c>
      <c r="AG14" s="3" t="s">
        <v>789</v>
      </c>
      <c r="AH14" s="3">
        <f>AI14/AQ14</f>
        <v>84.16890269735913</v>
      </c>
      <c r="AI14" s="3">
        <f>AJ14/3.65</f>
        <v>122465.75342465754</v>
      </c>
      <c r="AJ14" s="3">
        <v>447000</v>
      </c>
      <c r="AK14" s="3">
        <f>AJ14/AQ14</f>
        <v>307.21649484536084</v>
      </c>
      <c r="AL14" s="4">
        <f>AN14+AO14</f>
        <v>207.81718213058417</v>
      </c>
      <c r="AM14" s="4">
        <f>AL14*AQ14</f>
        <v>302373.99999999994</v>
      </c>
      <c r="AN14" s="3">
        <f>243850/AQ14</f>
        <v>167.59450171821305</v>
      </c>
      <c r="AO14" s="4">
        <f>AN14*0.24</f>
        <v>40.222680412371133</v>
      </c>
      <c r="AP14" s="3">
        <v>1455</v>
      </c>
      <c r="AQ14" s="3">
        <v>1455</v>
      </c>
      <c r="AR14" s="3" t="s">
        <v>763</v>
      </c>
      <c r="AS14" s="3" t="s">
        <v>969</v>
      </c>
      <c r="AT14" s="3" t="s">
        <v>763</v>
      </c>
      <c r="AU14" s="3" t="s">
        <v>763</v>
      </c>
    </row>
    <row r="15" spans="1:47" x14ac:dyDescent="0.35">
      <c r="A15">
        <v>19</v>
      </c>
      <c r="B15" s="3">
        <v>17</v>
      </c>
      <c r="C15" t="s">
        <v>126</v>
      </c>
      <c r="D15" t="s">
        <v>128</v>
      </c>
      <c r="E15" s="3" t="s">
        <v>751</v>
      </c>
      <c r="F15" s="3">
        <v>2023</v>
      </c>
      <c r="G15" s="3">
        <v>2019</v>
      </c>
      <c r="H15" s="3" t="s">
        <v>753</v>
      </c>
      <c r="I15" s="3" t="s">
        <v>776</v>
      </c>
      <c r="J15" s="3">
        <v>-20.761651000000001</v>
      </c>
      <c r="K15" s="3">
        <v>-42.870387999999998</v>
      </c>
      <c r="L15" s="3" t="s">
        <v>863</v>
      </c>
      <c r="M15" s="11">
        <v>76430</v>
      </c>
      <c r="N15">
        <v>255.3</v>
      </c>
      <c r="O15" s="3" t="s">
        <v>2325</v>
      </c>
      <c r="P15" s="3" t="s">
        <v>846</v>
      </c>
      <c r="Q15" s="3" t="s">
        <v>2092</v>
      </c>
      <c r="R15" s="3">
        <v>1251</v>
      </c>
      <c r="S15" s="3">
        <v>20.399999999999999</v>
      </c>
      <c r="T15" s="3" t="s">
        <v>763</v>
      </c>
      <c r="U15" t="s">
        <v>2300</v>
      </c>
      <c r="V15" s="3" t="s">
        <v>2167</v>
      </c>
      <c r="W15" s="3" t="s">
        <v>787</v>
      </c>
      <c r="X15" s="3" t="s">
        <v>865</v>
      </c>
      <c r="Y15" s="3" t="s">
        <v>1052</v>
      </c>
      <c r="Z15" s="3" t="s">
        <v>1032</v>
      </c>
      <c r="AA15" s="3" t="s">
        <v>766</v>
      </c>
      <c r="AB15" s="3" t="s">
        <v>787</v>
      </c>
      <c r="AC15" s="3">
        <f>AE15/3.65</f>
        <v>2341.8520547945209</v>
      </c>
      <c r="AD15" s="3">
        <f>AF15/3.65</f>
        <v>29.040824092193954</v>
      </c>
      <c r="AE15" s="3">
        <v>8547.76</v>
      </c>
      <c r="AF15" s="3">
        <f>AE15/AQ15</f>
        <v>105.99900793650794</v>
      </c>
      <c r="AG15" s="3" t="s">
        <v>789</v>
      </c>
      <c r="AH15" s="3" t="s">
        <v>763</v>
      </c>
      <c r="AI15" s="3" t="s">
        <v>763</v>
      </c>
      <c r="AJ15" s="3" t="s">
        <v>763</v>
      </c>
      <c r="AK15" s="3" t="s">
        <v>763</v>
      </c>
      <c r="AL15" s="3" t="s">
        <v>763</v>
      </c>
      <c r="AM15" s="3" t="s">
        <v>763</v>
      </c>
      <c r="AN15" s="3" t="s">
        <v>763</v>
      </c>
      <c r="AO15" s="3" t="s">
        <v>763</v>
      </c>
      <c r="AP15" s="3">
        <v>80.64</v>
      </c>
      <c r="AQ15" s="3">
        <v>80.64</v>
      </c>
      <c r="AR15" s="3">
        <v>32</v>
      </c>
      <c r="AS15" s="3" t="s">
        <v>1018</v>
      </c>
      <c r="AT15" s="3">
        <v>1950</v>
      </c>
      <c r="AU15" s="3" t="s">
        <v>763</v>
      </c>
    </row>
    <row r="16" spans="1:47" x14ac:dyDescent="0.35">
      <c r="A16">
        <v>20</v>
      </c>
      <c r="B16" s="3">
        <v>18</v>
      </c>
      <c r="C16" t="s">
        <v>131</v>
      </c>
      <c r="D16" t="s">
        <v>133</v>
      </c>
      <c r="E16" s="3" t="s">
        <v>751</v>
      </c>
      <c r="F16" s="3">
        <v>2021</v>
      </c>
      <c r="G16" s="3">
        <v>2019</v>
      </c>
      <c r="H16" s="3" t="s">
        <v>753</v>
      </c>
      <c r="I16" s="3" t="s">
        <v>754</v>
      </c>
      <c r="J16" s="3">
        <v>3.103361</v>
      </c>
      <c r="K16" s="3">
        <v>101.625111</v>
      </c>
      <c r="L16" s="3" t="s">
        <v>2086</v>
      </c>
      <c r="M16" s="11">
        <v>271030</v>
      </c>
      <c r="N16" s="11">
        <v>6787</v>
      </c>
      <c r="O16" s="3" t="s">
        <v>2327</v>
      </c>
      <c r="P16" s="3" t="s">
        <v>799</v>
      </c>
      <c r="Q16" s="3" t="s">
        <v>2077</v>
      </c>
      <c r="R16" s="3">
        <v>2960</v>
      </c>
      <c r="S16" s="3">
        <v>27.75</v>
      </c>
      <c r="T16" s="3" t="s">
        <v>763</v>
      </c>
      <c r="U16" t="s">
        <v>2300</v>
      </c>
      <c r="V16" s="3" t="s">
        <v>2130</v>
      </c>
      <c r="W16" s="3" t="s">
        <v>787</v>
      </c>
      <c r="X16" s="3" t="s">
        <v>1031</v>
      </c>
      <c r="Y16" s="3" t="s">
        <v>1059</v>
      </c>
      <c r="Z16" s="3" t="s">
        <v>2026</v>
      </c>
      <c r="AA16" s="4" t="s">
        <v>766</v>
      </c>
      <c r="AB16" s="3" t="s">
        <v>787</v>
      </c>
      <c r="AC16" s="3">
        <f>AE16/3.65</f>
        <v>41.976328116302767</v>
      </c>
      <c r="AD16" s="3">
        <f>AF16/3.65</f>
        <v>2.4305048992636289</v>
      </c>
      <c r="AE16" s="3">
        <f>((136.36*36.1169)+(228.98*8.0339))/(36.1169+8.0339)</f>
        <v>153.2135976245051</v>
      </c>
      <c r="AF16" s="3">
        <f>AE16/AQ16</f>
        <v>8.8713428823122449</v>
      </c>
      <c r="AG16" s="3" t="s">
        <v>789</v>
      </c>
      <c r="AH16" s="3" t="s">
        <v>763</v>
      </c>
      <c r="AI16" s="3" t="s">
        <v>763</v>
      </c>
      <c r="AJ16" s="3" t="s">
        <v>763</v>
      </c>
      <c r="AK16" s="3" t="s">
        <v>763</v>
      </c>
      <c r="AL16" s="3" t="s">
        <v>763</v>
      </c>
      <c r="AM16" s="3" t="s">
        <v>763</v>
      </c>
      <c r="AN16" s="3" t="s">
        <v>763</v>
      </c>
      <c r="AO16" s="3" t="s">
        <v>763</v>
      </c>
      <c r="AP16" t="s">
        <v>1034</v>
      </c>
      <c r="AQ16">
        <f>((2013*16.02)+(2015*18.52))/(2013+2015)</f>
        <v>17.270620655412113</v>
      </c>
      <c r="AR16" s="3" t="s">
        <v>763</v>
      </c>
      <c r="AS16" s="3" t="s">
        <v>763</v>
      </c>
      <c r="AT16" s="3" t="s">
        <v>763</v>
      </c>
      <c r="AU16" s="3">
        <v>1.085</v>
      </c>
    </row>
    <row r="17" spans="1:47" x14ac:dyDescent="0.35">
      <c r="A17">
        <v>22</v>
      </c>
      <c r="B17" s="3">
        <v>19</v>
      </c>
      <c r="C17" t="s">
        <v>136</v>
      </c>
      <c r="D17" t="s">
        <v>138</v>
      </c>
      <c r="E17" s="3" t="s">
        <v>751</v>
      </c>
      <c r="F17" s="3">
        <v>2024</v>
      </c>
      <c r="G17" s="3" t="s">
        <v>1079</v>
      </c>
      <c r="H17" s="3" t="s">
        <v>753</v>
      </c>
      <c r="I17" s="3" t="s">
        <v>754</v>
      </c>
      <c r="J17" s="3">
        <v>14.292999999999999</v>
      </c>
      <c r="K17" s="3">
        <v>99.825999999999993</v>
      </c>
      <c r="L17" s="4" t="s">
        <v>1793</v>
      </c>
      <c r="M17" s="4">
        <v>16255900</v>
      </c>
      <c r="N17" s="11">
        <v>2094</v>
      </c>
      <c r="O17" s="3" t="s">
        <v>2327</v>
      </c>
      <c r="P17" s="3" t="s">
        <v>1068</v>
      </c>
      <c r="Q17" s="3" t="s">
        <v>2095</v>
      </c>
      <c r="R17" s="3">
        <v>1207</v>
      </c>
      <c r="S17" s="3">
        <v>27.7</v>
      </c>
      <c r="T17" s="3" t="s">
        <v>763</v>
      </c>
      <c r="U17" t="s">
        <v>2300</v>
      </c>
      <c r="V17" s="3" t="s">
        <v>2167</v>
      </c>
      <c r="W17" s="3" t="s">
        <v>787</v>
      </c>
      <c r="X17" s="3" t="s">
        <v>1031</v>
      </c>
      <c r="Y17" s="3" t="s">
        <v>1992</v>
      </c>
      <c r="Z17" s="3" t="s">
        <v>2026</v>
      </c>
      <c r="AA17" s="3" t="s">
        <v>766</v>
      </c>
      <c r="AB17" s="3" t="s">
        <v>787</v>
      </c>
      <c r="AC17" s="3">
        <v>1402.78</v>
      </c>
      <c r="AD17" s="3">
        <v>2.52</v>
      </c>
      <c r="AE17">
        <v>5120.1400000000003</v>
      </c>
      <c r="AF17" s="3">
        <v>9.2200000000000006</v>
      </c>
      <c r="AG17" s="3" t="s">
        <v>768</v>
      </c>
      <c r="AH17" s="3">
        <v>46.77</v>
      </c>
      <c r="AI17" s="3">
        <f>AH17*AQ17</f>
        <v>688407.63</v>
      </c>
      <c r="AJ17" s="3">
        <f>AI17*3.65</f>
        <v>2512687.8495</v>
      </c>
      <c r="AK17" s="3">
        <f>AJ17/AQ17</f>
        <v>170.7105</v>
      </c>
      <c r="AL17" s="3">
        <v>84.7</v>
      </c>
      <c r="AM17" s="3">
        <f>AL17*AQ17</f>
        <v>1246699.3</v>
      </c>
      <c r="AN17" s="3">
        <v>67.22</v>
      </c>
      <c r="AO17" s="3">
        <v>17.48</v>
      </c>
      <c r="AP17" s="3">
        <v>14719</v>
      </c>
      <c r="AQ17" s="3">
        <v>14719</v>
      </c>
      <c r="AR17" s="3" t="s">
        <v>763</v>
      </c>
      <c r="AS17" s="3" t="s">
        <v>2010</v>
      </c>
      <c r="AT17" s="5" t="s">
        <v>763</v>
      </c>
      <c r="AU17" s="5">
        <v>5.0148999999999999</v>
      </c>
    </row>
    <row r="18" spans="1:47" x14ac:dyDescent="0.35">
      <c r="A18">
        <v>23</v>
      </c>
      <c r="B18" s="3">
        <v>20</v>
      </c>
      <c r="C18" t="s">
        <v>148</v>
      </c>
      <c r="D18" t="s">
        <v>150</v>
      </c>
      <c r="E18" s="3" t="s">
        <v>751</v>
      </c>
      <c r="F18" s="3">
        <v>2022</v>
      </c>
      <c r="G18" s="3">
        <v>2021</v>
      </c>
      <c r="H18" s="3" t="s">
        <v>753</v>
      </c>
      <c r="I18" s="3" t="s">
        <v>754</v>
      </c>
      <c r="J18" s="3">
        <v>23.181944000000001</v>
      </c>
      <c r="K18" s="3">
        <v>77.421943999999996</v>
      </c>
      <c r="L18" s="3" t="s">
        <v>1012</v>
      </c>
      <c r="M18" s="11">
        <v>1798218</v>
      </c>
      <c r="N18" s="11">
        <v>6290</v>
      </c>
      <c r="O18" s="3" t="s">
        <v>2327</v>
      </c>
      <c r="P18" s="3" t="s">
        <v>756</v>
      </c>
      <c r="Q18" s="3" t="s">
        <v>2092</v>
      </c>
      <c r="R18" s="3">
        <v>1200</v>
      </c>
      <c r="S18" s="3">
        <v>30</v>
      </c>
      <c r="T18" s="3" t="s">
        <v>763</v>
      </c>
      <c r="U18" t="s">
        <v>2297</v>
      </c>
      <c r="V18" s="3" t="s">
        <v>2166</v>
      </c>
      <c r="W18" s="3" t="s">
        <v>762</v>
      </c>
      <c r="X18" s="3" t="s">
        <v>1031</v>
      </c>
      <c r="Y18" s="3" t="s">
        <v>1993</v>
      </c>
      <c r="Z18" s="3" t="s">
        <v>2027</v>
      </c>
      <c r="AA18" s="3" t="s">
        <v>766</v>
      </c>
      <c r="AB18" s="3" t="s">
        <v>787</v>
      </c>
      <c r="AC18" s="3" t="s">
        <v>763</v>
      </c>
      <c r="AD18" s="3" t="s">
        <v>763</v>
      </c>
      <c r="AE18" s="3" t="s">
        <v>763</v>
      </c>
      <c r="AF18" s="3" t="s">
        <v>763</v>
      </c>
      <c r="AG18" s="3" t="s">
        <v>768</v>
      </c>
      <c r="AH18" s="3">
        <v>1.5</v>
      </c>
      <c r="AI18" s="3">
        <v>36.299999999999997</v>
      </c>
      <c r="AJ18" s="3">
        <f>AI18*3.65</f>
        <v>132.49499999999998</v>
      </c>
      <c r="AK18" s="3">
        <v>5.3</v>
      </c>
      <c r="AL18" s="3">
        <f>AM18/AQ18</f>
        <v>4.7109241648378444E-2</v>
      </c>
      <c r="AM18" s="3">
        <v>77.278000000000006</v>
      </c>
      <c r="AN18" s="3">
        <f>AL18/1.24</f>
        <v>3.7991323909982617E-2</v>
      </c>
      <c r="AO18" s="3">
        <f>AN18*0.24</f>
        <v>9.1179177383958285E-3</v>
      </c>
      <c r="AP18" s="3" t="s">
        <v>1048</v>
      </c>
      <c r="AQ18" s="3">
        <v>1640.4</v>
      </c>
      <c r="AR18" s="3" t="s">
        <v>763</v>
      </c>
      <c r="AS18" s="3" t="s">
        <v>763</v>
      </c>
      <c r="AT18" s="3">
        <v>513.58000000000004</v>
      </c>
      <c r="AU18" s="3" t="s">
        <v>763</v>
      </c>
    </row>
    <row r="19" spans="1:47" x14ac:dyDescent="0.35">
      <c r="A19">
        <v>24</v>
      </c>
      <c r="B19" s="4">
        <v>21</v>
      </c>
      <c r="C19" s="19" t="s">
        <v>153</v>
      </c>
      <c r="D19" s="19" t="s">
        <v>155</v>
      </c>
      <c r="E19" s="4" t="s">
        <v>751</v>
      </c>
      <c r="F19" s="4">
        <v>2015</v>
      </c>
      <c r="G19" s="4">
        <v>2015</v>
      </c>
      <c r="H19" s="4" t="s">
        <v>753</v>
      </c>
      <c r="I19" s="4" t="s">
        <v>754</v>
      </c>
      <c r="J19" s="4">
        <v>3.058093</v>
      </c>
      <c r="K19" s="4">
        <v>101.584552</v>
      </c>
      <c r="L19" s="55" t="s">
        <v>2331</v>
      </c>
      <c r="M19" s="19">
        <v>109917</v>
      </c>
      <c r="N19" s="11">
        <v>8852</v>
      </c>
      <c r="O19" s="3" t="s">
        <v>2327</v>
      </c>
      <c r="P19" s="4" t="s">
        <v>799</v>
      </c>
      <c r="Q19" s="4" t="s">
        <v>2077</v>
      </c>
      <c r="R19" s="4">
        <v>2174</v>
      </c>
      <c r="S19" s="4">
        <v>26.1</v>
      </c>
      <c r="T19" s="4" t="s">
        <v>763</v>
      </c>
      <c r="U19" t="s">
        <v>2300</v>
      </c>
      <c r="V19" s="4" t="s">
        <v>1560</v>
      </c>
      <c r="W19" s="4" t="s">
        <v>787</v>
      </c>
      <c r="X19" s="4" t="s">
        <v>1031</v>
      </c>
      <c r="Y19" s="4" t="s">
        <v>764</v>
      </c>
      <c r="Z19" s="4" t="s">
        <v>2026</v>
      </c>
      <c r="AA19" s="4" t="s">
        <v>766</v>
      </c>
      <c r="AB19" s="4" t="s">
        <v>787</v>
      </c>
      <c r="AC19" s="19">
        <v>2238.183</v>
      </c>
      <c r="AD19" s="19">
        <f>AC19/AQ19</f>
        <v>50.694053108890436</v>
      </c>
      <c r="AE19" s="19">
        <f>AC19*3.65</f>
        <v>8169.3679499999998</v>
      </c>
      <c r="AF19" s="19">
        <f>AE19/AQ19</f>
        <v>185.0332938474501</v>
      </c>
      <c r="AG19" s="4" t="s">
        <v>789</v>
      </c>
      <c r="AH19" s="4" t="s">
        <v>763</v>
      </c>
      <c r="AI19" s="4" t="s">
        <v>763</v>
      </c>
      <c r="AJ19" s="4" t="s">
        <v>763</v>
      </c>
      <c r="AK19" s="4" t="s">
        <v>763</v>
      </c>
      <c r="AL19" s="4" t="s">
        <v>763</v>
      </c>
      <c r="AM19" s="4" t="s">
        <v>763</v>
      </c>
      <c r="AN19" s="4" t="s">
        <v>763</v>
      </c>
      <c r="AO19" s="4" t="s">
        <v>763</v>
      </c>
      <c r="AP19" s="3" t="s">
        <v>2195</v>
      </c>
      <c r="AQ19" s="3">
        <f>36.1169+8.0339</f>
        <v>44.150800000000004</v>
      </c>
      <c r="AR19" s="3">
        <v>21</v>
      </c>
      <c r="AS19" s="3" t="s">
        <v>2270</v>
      </c>
      <c r="AT19" s="3">
        <f>1899/AQ19</f>
        <v>43.011678157587177</v>
      </c>
      <c r="AU19" s="3" t="s">
        <v>763</v>
      </c>
    </row>
    <row r="20" spans="1:47" x14ac:dyDescent="0.35">
      <c r="A20">
        <v>25</v>
      </c>
      <c r="B20" s="3">
        <v>22</v>
      </c>
      <c r="C20" t="s">
        <v>158</v>
      </c>
      <c r="D20" t="s">
        <v>160</v>
      </c>
      <c r="E20" s="3" t="s">
        <v>751</v>
      </c>
      <c r="F20" s="3">
        <v>2020</v>
      </c>
      <c r="G20" s="3" t="s">
        <v>763</v>
      </c>
      <c r="H20" s="3" t="s">
        <v>753</v>
      </c>
      <c r="I20" s="3" t="s">
        <v>754</v>
      </c>
      <c r="J20" s="3">
        <v>8.1652780000000007</v>
      </c>
      <c r="K20" s="3">
        <v>38.054443999999997</v>
      </c>
      <c r="L20" t="s">
        <v>1104</v>
      </c>
      <c r="M20" s="11">
        <v>3860000</v>
      </c>
      <c r="N20" s="11">
        <v>7324</v>
      </c>
      <c r="O20" s="3" t="s">
        <v>2326</v>
      </c>
      <c r="P20" s="3" t="s">
        <v>1102</v>
      </c>
      <c r="Q20" s="3" t="s">
        <v>2093</v>
      </c>
      <c r="R20" s="3">
        <v>1874</v>
      </c>
      <c r="S20" s="3">
        <v>15.6</v>
      </c>
      <c r="T20" s="3" t="s">
        <v>763</v>
      </c>
      <c r="U20" t="s">
        <v>2306</v>
      </c>
      <c r="V20" s="3" t="s">
        <v>2167</v>
      </c>
      <c r="W20" s="3" t="s">
        <v>787</v>
      </c>
      <c r="X20" s="3" t="s">
        <v>865</v>
      </c>
      <c r="Y20" s="3" t="s">
        <v>764</v>
      </c>
      <c r="Z20" s="3" t="s">
        <v>2026</v>
      </c>
      <c r="AA20" s="3" t="s">
        <v>766</v>
      </c>
      <c r="AB20" s="3" t="s">
        <v>787</v>
      </c>
      <c r="AC20" s="3" t="s">
        <v>763</v>
      </c>
      <c r="AD20" s="3" t="s">
        <v>763</v>
      </c>
      <c r="AE20" s="3" t="s">
        <v>763</v>
      </c>
      <c r="AF20" s="3" t="s">
        <v>763</v>
      </c>
      <c r="AG20" s="3" t="s">
        <v>768</v>
      </c>
      <c r="AH20" s="3">
        <v>156</v>
      </c>
      <c r="AI20" s="3">
        <f>AH20*AQ20</f>
        <v>75196.679999999993</v>
      </c>
      <c r="AJ20" s="3">
        <f t="shared" ref="AJ20:AJ25" si="4">AI20*3.65</f>
        <v>274467.88199999998</v>
      </c>
      <c r="AK20" s="3">
        <f>AJ20/AQ20</f>
        <v>569.4</v>
      </c>
      <c r="AL20" s="3">
        <v>332.3</v>
      </c>
      <c r="AM20" s="3">
        <f>AL20*AQ20</f>
        <v>160178.56899999999</v>
      </c>
      <c r="AN20" s="3">
        <v>276.89999999999998</v>
      </c>
      <c r="AO20" s="3">
        <v>55.4</v>
      </c>
      <c r="AP20" s="3">
        <v>482.03</v>
      </c>
      <c r="AQ20" s="3">
        <v>482.03</v>
      </c>
      <c r="AR20" s="3" t="s">
        <v>763</v>
      </c>
      <c r="AS20" s="3" t="s">
        <v>763</v>
      </c>
      <c r="AT20" s="3">
        <f>5240/AQ20</f>
        <v>10.870692695475386</v>
      </c>
      <c r="AU20" s="3" t="s">
        <v>763</v>
      </c>
    </row>
    <row r="21" spans="1:47" x14ac:dyDescent="0.35">
      <c r="A21">
        <v>92</v>
      </c>
      <c r="B21" s="7">
        <v>70</v>
      </c>
      <c r="C21" s="8" t="s">
        <v>163</v>
      </c>
      <c r="D21" s="8" t="s">
        <v>165</v>
      </c>
      <c r="E21" s="7" t="s">
        <v>751</v>
      </c>
      <c r="F21" s="7">
        <v>2023</v>
      </c>
      <c r="G21" s="7" t="s">
        <v>763</v>
      </c>
      <c r="H21" s="7" t="s">
        <v>753</v>
      </c>
      <c r="I21" s="7" t="s">
        <v>754</v>
      </c>
      <c r="J21" s="8">
        <v>8.5833329999999997</v>
      </c>
      <c r="K21" s="8">
        <v>124.45</v>
      </c>
      <c r="L21" s="8" t="s">
        <v>1794</v>
      </c>
      <c r="M21" s="11">
        <v>26363</v>
      </c>
      <c r="N21">
        <v>721.1</v>
      </c>
      <c r="O21" s="33" t="s">
        <v>2327</v>
      </c>
      <c r="P21" s="7" t="s">
        <v>1112</v>
      </c>
      <c r="Q21" s="3" t="s">
        <v>2077</v>
      </c>
      <c r="R21" s="7">
        <v>2080</v>
      </c>
      <c r="S21" s="7">
        <v>25.6</v>
      </c>
      <c r="T21" s="7" t="s">
        <v>763</v>
      </c>
      <c r="U21" t="s">
        <v>2303</v>
      </c>
      <c r="V21" s="7" t="s">
        <v>2074</v>
      </c>
      <c r="W21" s="7" t="s">
        <v>914</v>
      </c>
      <c r="X21" s="7" t="s">
        <v>1235</v>
      </c>
      <c r="Y21" s="7" t="s">
        <v>764</v>
      </c>
      <c r="Z21" s="8" t="s">
        <v>2026</v>
      </c>
      <c r="AA21" s="7" t="s">
        <v>766</v>
      </c>
      <c r="AB21" s="7" t="s">
        <v>787</v>
      </c>
      <c r="AC21" s="7" t="s">
        <v>763</v>
      </c>
      <c r="AD21" s="7" t="s">
        <v>763</v>
      </c>
      <c r="AE21" s="7" t="s">
        <v>763</v>
      </c>
      <c r="AF21" s="7" t="s">
        <v>763</v>
      </c>
      <c r="AG21" s="7" t="s">
        <v>789</v>
      </c>
      <c r="AH21" s="7">
        <v>41.76</v>
      </c>
      <c r="AI21" s="7">
        <f>AH21*AQ21</f>
        <v>1044</v>
      </c>
      <c r="AJ21" s="7">
        <f t="shared" si="4"/>
        <v>3810.6</v>
      </c>
      <c r="AK21" s="7">
        <f>AH21*3.65</f>
        <v>152.42399999999998</v>
      </c>
      <c r="AL21" s="7">
        <f>AN21+AO21</f>
        <v>99.485200000000006</v>
      </c>
      <c r="AM21" s="7">
        <f>AI21/0.47</f>
        <v>2221.2765957446809</v>
      </c>
      <c r="AN21" s="7">
        <v>80.23</v>
      </c>
      <c r="AO21" s="7">
        <f>AN21*0.24</f>
        <v>19.255199999999999</v>
      </c>
      <c r="AP21" s="3">
        <v>25</v>
      </c>
      <c r="AQ21" s="3">
        <v>25</v>
      </c>
      <c r="AR21" s="3" t="s">
        <v>763</v>
      </c>
      <c r="AS21" s="3" t="s">
        <v>1090</v>
      </c>
      <c r="AT21" s="3">
        <f>324/AQ21</f>
        <v>12.96</v>
      </c>
      <c r="AU21" s="3" t="s">
        <v>763</v>
      </c>
    </row>
    <row r="22" spans="1:47" s="19" customFormat="1" x14ac:dyDescent="0.35">
      <c r="A22">
        <v>26</v>
      </c>
      <c r="B22" s="3">
        <v>23</v>
      </c>
      <c r="C22" t="s">
        <v>173</v>
      </c>
      <c r="D22" t="s">
        <v>175</v>
      </c>
      <c r="E22" s="3" t="s">
        <v>751</v>
      </c>
      <c r="F22" s="3">
        <v>2024</v>
      </c>
      <c r="G22" s="3">
        <v>2020</v>
      </c>
      <c r="H22" s="3" t="s">
        <v>753</v>
      </c>
      <c r="I22" s="3" t="s">
        <v>754</v>
      </c>
      <c r="J22" s="3">
        <v>9.0783889999999996</v>
      </c>
      <c r="K22" s="3">
        <v>38.759208000000001</v>
      </c>
      <c r="L22" t="s">
        <v>1104</v>
      </c>
      <c r="M22" s="11">
        <v>3860000</v>
      </c>
      <c r="N22" s="11">
        <v>7324</v>
      </c>
      <c r="O22" s="3" t="s">
        <v>2326</v>
      </c>
      <c r="P22" s="3" t="s">
        <v>1102</v>
      </c>
      <c r="Q22" s="3" t="s">
        <v>2093</v>
      </c>
      <c r="R22">
        <v>1165</v>
      </c>
      <c r="S22">
        <v>17</v>
      </c>
      <c r="T22" s="3" t="s">
        <v>763</v>
      </c>
      <c r="U22" t="s">
        <v>2306</v>
      </c>
      <c r="V22" s="3" t="s">
        <v>2167</v>
      </c>
      <c r="W22" s="3" t="s">
        <v>762</v>
      </c>
      <c r="X22" s="3" t="s">
        <v>865</v>
      </c>
      <c r="Y22" s="3" t="s">
        <v>764</v>
      </c>
      <c r="Z22" t="s">
        <v>2026</v>
      </c>
      <c r="AA22" s="3" t="s">
        <v>766</v>
      </c>
      <c r="AB22" s="3" t="s">
        <v>762</v>
      </c>
      <c r="AC22" s="3" t="s">
        <v>763</v>
      </c>
      <c r="AD22" s="3" t="s">
        <v>763</v>
      </c>
      <c r="AE22" s="3" t="s">
        <v>763</v>
      </c>
      <c r="AF22" s="3" t="s">
        <v>763</v>
      </c>
      <c r="AG22" s="3" t="s">
        <v>768</v>
      </c>
      <c r="AH22" s="3">
        <v>64.540000000000006</v>
      </c>
      <c r="AI22" s="3">
        <f>AH22*AQ22</f>
        <v>10345.116600000001</v>
      </c>
      <c r="AJ22" s="3">
        <f t="shared" si="4"/>
        <v>37759.675590000006</v>
      </c>
      <c r="AK22" s="3">
        <f>AJ22/AQ22</f>
        <v>235.57100000000005</v>
      </c>
      <c r="AL22" s="3">
        <v>136.56</v>
      </c>
      <c r="AM22" s="3">
        <f>AL22*AQ22</f>
        <v>21889.202399999998</v>
      </c>
      <c r="AN22" s="3">
        <v>114.28</v>
      </c>
      <c r="AO22" s="3">
        <v>22.28</v>
      </c>
      <c r="AP22" s="4" t="s">
        <v>2116</v>
      </c>
      <c r="AQ22" s="4">
        <v>160.29</v>
      </c>
      <c r="AR22" s="50">
        <v>15</v>
      </c>
      <c r="AS22" s="4" t="s">
        <v>1100</v>
      </c>
      <c r="AT22" s="4">
        <f>250/AQ22</f>
        <v>1.5596730925198079</v>
      </c>
      <c r="AU22" s="3" t="s">
        <v>763</v>
      </c>
    </row>
    <row r="23" spans="1:47" x14ac:dyDescent="0.35">
      <c r="A23">
        <v>27</v>
      </c>
      <c r="B23" s="3">
        <v>24</v>
      </c>
      <c r="C23" t="s">
        <v>1144</v>
      </c>
      <c r="D23" t="s">
        <v>1145</v>
      </c>
      <c r="E23" s="3" t="s">
        <v>751</v>
      </c>
      <c r="F23" s="3">
        <v>2019</v>
      </c>
      <c r="G23" s="3">
        <v>2018</v>
      </c>
      <c r="H23" s="3" t="s">
        <v>753</v>
      </c>
      <c r="I23" s="3" t="s">
        <v>754</v>
      </c>
      <c r="J23" s="3">
        <v>10.296523000000001</v>
      </c>
      <c r="K23" s="3">
        <v>123.8986</v>
      </c>
      <c r="L23" t="s">
        <v>1143</v>
      </c>
      <c r="M23" s="11">
        <v>964169</v>
      </c>
      <c r="N23">
        <v>3314</v>
      </c>
      <c r="O23" s="3" t="s">
        <v>2327</v>
      </c>
      <c r="P23" s="3" t="s">
        <v>1112</v>
      </c>
      <c r="Q23" s="3" t="s">
        <v>2095</v>
      </c>
      <c r="R23">
        <v>1607</v>
      </c>
      <c r="S23">
        <v>27.5</v>
      </c>
      <c r="T23" s="3" t="s">
        <v>763</v>
      </c>
      <c r="U23" t="s">
        <v>2300</v>
      </c>
      <c r="V23" s="3" t="s">
        <v>2166</v>
      </c>
      <c r="W23" s="3" t="s">
        <v>787</v>
      </c>
      <c r="X23" s="3" t="s">
        <v>1031</v>
      </c>
      <c r="Y23" s="3" t="s">
        <v>1148</v>
      </c>
      <c r="Z23" t="s">
        <v>2027</v>
      </c>
      <c r="AA23" s="3" t="s">
        <v>766</v>
      </c>
      <c r="AB23" s="3" t="s">
        <v>787</v>
      </c>
      <c r="AC23" s="3">
        <f>AD23*AQ23</f>
        <v>5.669999999999999</v>
      </c>
      <c r="AD23" s="3">
        <v>9.4499999999999993</v>
      </c>
      <c r="AE23" s="3">
        <f>AC23*3.65</f>
        <v>20.695499999999996</v>
      </c>
      <c r="AF23" s="3">
        <f>AD23*3.65</f>
        <v>34.4925</v>
      </c>
      <c r="AG23" s="3" t="s">
        <v>789</v>
      </c>
      <c r="AH23" s="3">
        <v>87.81</v>
      </c>
      <c r="AI23" s="3">
        <f>AH23*AQ23</f>
        <v>52.686</v>
      </c>
      <c r="AJ23" s="3">
        <f t="shared" si="4"/>
        <v>192.3039</v>
      </c>
      <c r="AK23" s="3">
        <f>AJ23/AQ23</f>
        <v>320.50650000000002</v>
      </c>
      <c r="AL23" s="4">
        <f>AN23+AO23</f>
        <v>241.96119999999999</v>
      </c>
      <c r="AM23" s="4">
        <f>AL23*AQ23</f>
        <v>145.17671999999999</v>
      </c>
      <c r="AN23" s="7">
        <v>195.13</v>
      </c>
      <c r="AO23" s="4">
        <f>AN23*0.24</f>
        <v>46.831199999999995</v>
      </c>
      <c r="AP23" s="3">
        <v>0.6</v>
      </c>
      <c r="AQ23" s="3">
        <v>0.6</v>
      </c>
      <c r="AR23">
        <v>67</v>
      </c>
      <c r="AS23" s="3" t="s">
        <v>2012</v>
      </c>
      <c r="AT23" s="3">
        <f>7486/AQ23</f>
        <v>12476.666666666668</v>
      </c>
      <c r="AU23" s="3" t="s">
        <v>763</v>
      </c>
    </row>
    <row r="24" spans="1:47" x14ac:dyDescent="0.35">
      <c r="A24">
        <v>28</v>
      </c>
      <c r="B24" s="3">
        <v>25</v>
      </c>
      <c r="C24" t="s">
        <v>183</v>
      </c>
      <c r="D24" t="s">
        <v>1158</v>
      </c>
      <c r="E24" s="3" t="s">
        <v>751</v>
      </c>
      <c r="F24" s="3">
        <v>2019</v>
      </c>
      <c r="G24" s="3" t="s">
        <v>1898</v>
      </c>
      <c r="H24" s="3" t="s">
        <v>753</v>
      </c>
      <c r="I24" s="3" t="s">
        <v>754</v>
      </c>
      <c r="J24" s="3">
        <v>1.3122499999999999</v>
      </c>
      <c r="K24" s="3">
        <v>103.910861</v>
      </c>
      <c r="L24" t="s">
        <v>1159</v>
      </c>
      <c r="M24" s="11">
        <v>6111175</v>
      </c>
      <c r="N24" s="11">
        <v>8681</v>
      </c>
      <c r="O24" s="3" t="s">
        <v>2327</v>
      </c>
      <c r="P24" t="s">
        <v>1159</v>
      </c>
      <c r="Q24" t="s">
        <v>2077</v>
      </c>
      <c r="R24">
        <v>2166</v>
      </c>
      <c r="S24">
        <v>28</v>
      </c>
      <c r="T24" s="3" t="s">
        <v>948</v>
      </c>
      <c r="U24" t="s">
        <v>2300</v>
      </c>
      <c r="V24" s="3" t="s">
        <v>2166</v>
      </c>
      <c r="W24" s="3" t="s">
        <v>762</v>
      </c>
      <c r="X24" s="3" t="s">
        <v>1031</v>
      </c>
      <c r="Y24" s="3" t="s">
        <v>1994</v>
      </c>
      <c r="Z24" t="s">
        <v>2026</v>
      </c>
      <c r="AA24" s="3" t="s">
        <v>766</v>
      </c>
      <c r="AB24" s="3" t="s">
        <v>826</v>
      </c>
      <c r="AC24" s="3">
        <v>3700</v>
      </c>
      <c r="AD24" s="3" t="s">
        <v>763</v>
      </c>
      <c r="AE24" s="3">
        <f>AC24*3.65</f>
        <v>13505</v>
      </c>
      <c r="AF24" s="3" t="s">
        <v>763</v>
      </c>
      <c r="AG24" s="3" t="s">
        <v>789</v>
      </c>
      <c r="AH24" s="3" t="s">
        <v>763</v>
      </c>
      <c r="AI24" s="3">
        <f>AM24*0.47</f>
        <v>21.726970496</v>
      </c>
      <c r="AJ24" s="3">
        <f t="shared" si="4"/>
        <v>79.303442310400001</v>
      </c>
      <c r="AK24" s="3" t="s">
        <v>763</v>
      </c>
      <c r="AL24" s="4" t="s">
        <v>763</v>
      </c>
      <c r="AM24" s="4">
        <f>(37.28032)+(37.28032*0.24)</f>
        <v>46.227596800000001</v>
      </c>
      <c r="AN24" s="31" t="s">
        <v>2233</v>
      </c>
      <c r="AO24" s="4" t="s">
        <v>763</v>
      </c>
      <c r="AP24" s="3">
        <v>400.279</v>
      </c>
      <c r="AQ24" s="3">
        <v>400.279</v>
      </c>
      <c r="AR24" s="3" t="s">
        <v>763</v>
      </c>
      <c r="AS24" s="3" t="s">
        <v>1125</v>
      </c>
      <c r="AT24">
        <f>417/AQ24</f>
        <v>1.0417733630792523</v>
      </c>
      <c r="AU24" s="3" t="s">
        <v>763</v>
      </c>
    </row>
    <row r="25" spans="1:47" x14ac:dyDescent="0.35">
      <c r="A25">
        <v>29</v>
      </c>
      <c r="B25" s="3">
        <v>26</v>
      </c>
      <c r="C25" t="s">
        <v>185</v>
      </c>
      <c r="D25" t="s">
        <v>187</v>
      </c>
      <c r="E25" s="3" t="s">
        <v>751</v>
      </c>
      <c r="F25" s="3">
        <v>2023</v>
      </c>
      <c r="G25" s="3">
        <v>2013</v>
      </c>
      <c r="H25" s="3" t="s">
        <v>753</v>
      </c>
      <c r="I25" s="3" t="s">
        <v>754</v>
      </c>
      <c r="J25" s="3">
        <v>19.546806</v>
      </c>
      <c r="K25" s="3">
        <v>-96.950417000000002</v>
      </c>
      <c r="L25" t="s">
        <v>1171</v>
      </c>
      <c r="M25" s="11">
        <v>488531</v>
      </c>
      <c r="N25" s="11">
        <v>3920</v>
      </c>
      <c r="O25" s="3" t="s">
        <v>2328</v>
      </c>
      <c r="P25" t="s">
        <v>894</v>
      </c>
      <c r="Q25" s="3" t="s">
        <v>2094</v>
      </c>
      <c r="R25" s="3">
        <v>1591</v>
      </c>
      <c r="S25" s="3">
        <v>19</v>
      </c>
      <c r="T25" s="3" t="s">
        <v>763</v>
      </c>
      <c r="U25" t="s">
        <v>2300</v>
      </c>
      <c r="V25" s="3" t="s">
        <v>2167</v>
      </c>
      <c r="W25" s="3" t="s">
        <v>787</v>
      </c>
      <c r="X25" s="3" t="s">
        <v>865</v>
      </c>
      <c r="Y25" s="3" t="s">
        <v>764</v>
      </c>
      <c r="Z25" t="s">
        <v>2027</v>
      </c>
      <c r="AA25" t="s">
        <v>766</v>
      </c>
      <c r="AB25" s="3" t="s">
        <v>787</v>
      </c>
      <c r="AC25" s="3" t="s">
        <v>763</v>
      </c>
      <c r="AD25" s="3" t="s">
        <v>763</v>
      </c>
      <c r="AE25" s="3" t="s">
        <v>763</v>
      </c>
      <c r="AF25" s="3" t="s">
        <v>763</v>
      </c>
      <c r="AG25" s="3" t="s">
        <v>789</v>
      </c>
      <c r="AH25" s="3">
        <v>263.99</v>
      </c>
      <c r="AI25" s="3">
        <f>AH25*AQ25</f>
        <v>435.58350000000002</v>
      </c>
      <c r="AJ25" s="3">
        <f t="shared" si="4"/>
        <v>1589.8797750000001</v>
      </c>
      <c r="AK25" s="3">
        <v>967.37</v>
      </c>
      <c r="AL25" s="4">
        <f>AN25+AO25</f>
        <v>654.6952</v>
      </c>
      <c r="AM25" s="4">
        <f>AL25*AQ25</f>
        <v>1080.2470799999999</v>
      </c>
      <c r="AN25" s="7">
        <v>527.98</v>
      </c>
      <c r="AO25" s="4">
        <f>AN25*0.24</f>
        <v>126.7152</v>
      </c>
      <c r="AP25">
        <v>1.65</v>
      </c>
      <c r="AQ25">
        <v>1.65</v>
      </c>
      <c r="AR25" s="3" t="s">
        <v>763</v>
      </c>
      <c r="AS25" s="7" t="s">
        <v>1157</v>
      </c>
      <c r="AT25">
        <f>409/AQ25</f>
        <v>247.8787878787879</v>
      </c>
      <c r="AU25" s="3" t="s">
        <v>763</v>
      </c>
    </row>
    <row r="26" spans="1:47" x14ac:dyDescent="0.35">
      <c r="A26">
        <v>30</v>
      </c>
      <c r="B26" s="3">
        <v>27</v>
      </c>
      <c r="C26" t="s">
        <v>200</v>
      </c>
      <c r="D26" t="s">
        <v>202</v>
      </c>
      <c r="E26" s="3" t="s">
        <v>751</v>
      </c>
      <c r="F26" s="3">
        <v>2018</v>
      </c>
      <c r="G26" s="4" t="s">
        <v>1899</v>
      </c>
      <c r="H26" s="3" t="s">
        <v>795</v>
      </c>
      <c r="I26" s="3" t="s">
        <v>776</v>
      </c>
      <c r="J26" s="3">
        <v>-8.6636769999999999</v>
      </c>
      <c r="K26" s="3">
        <v>115.22344699999999</v>
      </c>
      <c r="L26" t="s">
        <v>1754</v>
      </c>
      <c r="M26" s="11">
        <v>788589</v>
      </c>
      <c r="N26" s="11">
        <v>6272</v>
      </c>
      <c r="O26" s="3" t="s">
        <v>2327</v>
      </c>
      <c r="P26" t="s">
        <v>832</v>
      </c>
      <c r="Q26" s="8" t="s">
        <v>2082</v>
      </c>
      <c r="R26" s="3">
        <v>1642</v>
      </c>
      <c r="S26">
        <v>26</v>
      </c>
      <c r="T26" s="3" t="s">
        <v>763</v>
      </c>
      <c r="U26" t="s">
        <v>2300</v>
      </c>
      <c r="V26" s="3" t="s">
        <v>2166</v>
      </c>
      <c r="W26" s="3" t="s">
        <v>787</v>
      </c>
      <c r="X26" s="3" t="s">
        <v>1235</v>
      </c>
      <c r="Y26" s="3" t="s">
        <v>1182</v>
      </c>
      <c r="Z26" t="s">
        <v>1744</v>
      </c>
      <c r="AA26" s="3" t="s">
        <v>2165</v>
      </c>
      <c r="AB26" s="3" t="s">
        <v>787</v>
      </c>
      <c r="AC26">
        <f>((1995*7102.04)+(2003*15607.49)+(2014*22274.93))/(1995+2003+2014)</f>
        <v>15018.642929141715</v>
      </c>
      <c r="AD26" s="3" t="e">
        <f>AC26/AQ26</f>
        <v>#VALUE!</v>
      </c>
      <c r="AE26" s="3">
        <f>AC26*3.65</f>
        <v>54818.046691367257</v>
      </c>
      <c r="AF26" s="3" t="e">
        <f>AE26/AQ26</f>
        <v>#VALUE!</v>
      </c>
      <c r="AG26" s="3" t="s">
        <v>789</v>
      </c>
      <c r="AH26" s="3" t="s">
        <v>763</v>
      </c>
      <c r="AI26" s="3" t="s">
        <v>763</v>
      </c>
      <c r="AJ26" s="3" t="s">
        <v>763</v>
      </c>
      <c r="AK26" s="3" t="s">
        <v>763</v>
      </c>
      <c r="AL26" s="7" t="s">
        <v>763</v>
      </c>
      <c r="AM26" s="7" t="s">
        <v>763</v>
      </c>
      <c r="AN26" s="7" t="s">
        <v>763</v>
      </c>
      <c r="AO26" s="7" t="s">
        <v>763</v>
      </c>
      <c r="AP26" s="31" t="s">
        <v>763</v>
      </c>
      <c r="AQ26" s="31" t="s">
        <v>763</v>
      </c>
      <c r="AR26" s="3" t="s">
        <v>763</v>
      </c>
      <c r="AS26" s="7" t="s">
        <v>1168</v>
      </c>
      <c r="AT26" t="s">
        <v>763</v>
      </c>
      <c r="AU26" s="3" t="s">
        <v>763</v>
      </c>
    </row>
    <row r="27" spans="1:47" x14ac:dyDescent="0.35">
      <c r="A27">
        <v>33</v>
      </c>
      <c r="B27" s="4">
        <v>28</v>
      </c>
      <c r="C27" t="s">
        <v>210</v>
      </c>
      <c r="D27" t="s">
        <v>212</v>
      </c>
      <c r="E27" s="3" t="s">
        <v>751</v>
      </c>
      <c r="F27" s="4">
        <v>2024</v>
      </c>
      <c r="G27" s="3" t="s">
        <v>2149</v>
      </c>
      <c r="H27" s="3" t="s">
        <v>753</v>
      </c>
      <c r="I27" s="3" t="s">
        <v>754</v>
      </c>
      <c r="J27" s="3">
        <v>11.266667</v>
      </c>
      <c r="K27" s="3">
        <v>36.833333000000003</v>
      </c>
      <c r="L27" t="s">
        <v>1193</v>
      </c>
      <c r="M27" s="11">
        <v>218765</v>
      </c>
      <c r="N27">
        <v>238.2</v>
      </c>
      <c r="O27" t="s">
        <v>2326</v>
      </c>
      <c r="P27" s="3" t="s">
        <v>1102</v>
      </c>
      <c r="Q27" s="3" t="s">
        <v>2077</v>
      </c>
      <c r="R27" s="3">
        <v>1578</v>
      </c>
      <c r="S27" s="3">
        <v>17</v>
      </c>
      <c r="T27" s="3" t="s">
        <v>1016</v>
      </c>
      <c r="U27" t="s">
        <v>2306</v>
      </c>
      <c r="V27" s="3" t="s">
        <v>2167</v>
      </c>
      <c r="W27" s="3" t="s">
        <v>787</v>
      </c>
      <c r="X27" s="19" t="s">
        <v>1031</v>
      </c>
      <c r="Y27" s="3" t="s">
        <v>764</v>
      </c>
      <c r="Z27" s="3" t="s">
        <v>2026</v>
      </c>
      <c r="AA27" s="3" t="s">
        <v>766</v>
      </c>
      <c r="AB27" s="3" t="s">
        <v>787</v>
      </c>
      <c r="AC27" s="3" t="s">
        <v>763</v>
      </c>
      <c r="AD27" s="3" t="s">
        <v>763</v>
      </c>
      <c r="AE27" s="3" t="s">
        <v>763</v>
      </c>
      <c r="AF27" s="3" t="s">
        <v>763</v>
      </c>
      <c r="AG27" s="3" t="s">
        <v>768</v>
      </c>
      <c r="AH27" s="7">
        <v>24.96</v>
      </c>
      <c r="AI27" s="3">
        <f>AH27*AQ27</f>
        <v>374.40000000000003</v>
      </c>
      <c r="AJ27" s="3">
        <f>AI27*3.65</f>
        <v>1366.5600000000002</v>
      </c>
      <c r="AK27" s="7">
        <f>AJ27/AQ27</f>
        <v>91.104000000000013</v>
      </c>
      <c r="AL27" s="7">
        <f>AH27/0.47</f>
        <v>53.10638297872341</v>
      </c>
      <c r="AM27" s="7">
        <f>AI27/0.47</f>
        <v>796.59574468085123</v>
      </c>
      <c r="AN27" s="3">
        <f>AH27/1.24</f>
        <v>20.129032258064516</v>
      </c>
      <c r="AO27" s="3">
        <f>AN27*0.24</f>
        <v>4.830967741935484</v>
      </c>
      <c r="AP27" t="s">
        <v>2196</v>
      </c>
      <c r="AQ27">
        <v>15</v>
      </c>
      <c r="AR27" s="3" t="s">
        <v>763</v>
      </c>
      <c r="AS27" t="s">
        <v>1176</v>
      </c>
      <c r="AT27">
        <f>282/AQ27</f>
        <v>18.8</v>
      </c>
      <c r="AU27" s="3" t="s">
        <v>763</v>
      </c>
    </row>
    <row r="28" spans="1:47" x14ac:dyDescent="0.35">
      <c r="A28">
        <v>10</v>
      </c>
      <c r="B28" s="3">
        <v>8</v>
      </c>
      <c r="C28" s="3" t="s">
        <v>871</v>
      </c>
      <c r="D28" s="3" t="s">
        <v>872</v>
      </c>
      <c r="E28" s="3" t="s">
        <v>873</v>
      </c>
      <c r="F28" s="3">
        <v>2018</v>
      </c>
      <c r="G28" s="3" t="s">
        <v>1894</v>
      </c>
      <c r="H28" s="3" t="s">
        <v>753</v>
      </c>
      <c r="I28" s="3" t="s">
        <v>754</v>
      </c>
      <c r="J28" s="3">
        <v>20.143651999999999</v>
      </c>
      <c r="K28" s="3">
        <v>-75.202138000000005</v>
      </c>
      <c r="L28" s="3" t="s">
        <v>877</v>
      </c>
      <c r="M28" s="11">
        <v>228436</v>
      </c>
      <c r="N28">
        <v>887.5</v>
      </c>
      <c r="O28" s="3" t="s">
        <v>2328</v>
      </c>
      <c r="P28" s="3" t="s">
        <v>878</v>
      </c>
      <c r="Q28" s="3" t="s">
        <v>2095</v>
      </c>
      <c r="R28" s="3">
        <v>851.1</v>
      </c>
      <c r="S28" s="3">
        <v>26.5</v>
      </c>
      <c r="T28" s="3" t="s">
        <v>881</v>
      </c>
      <c r="U28" t="s">
        <v>2300</v>
      </c>
      <c r="V28" s="3" t="s">
        <v>2166</v>
      </c>
      <c r="W28" s="3" t="s">
        <v>787</v>
      </c>
      <c r="X28" s="3" t="s">
        <v>1031</v>
      </c>
      <c r="Y28" s="3" t="s">
        <v>764</v>
      </c>
      <c r="Z28" s="3" t="s">
        <v>2025</v>
      </c>
      <c r="AA28" s="3" t="s">
        <v>766</v>
      </c>
      <c r="AB28" s="3" t="s">
        <v>826</v>
      </c>
      <c r="AC28" s="3" t="s">
        <v>763</v>
      </c>
      <c r="AD28" s="3" t="s">
        <v>763</v>
      </c>
      <c r="AE28" s="3" t="s">
        <v>763</v>
      </c>
      <c r="AF28" s="3" t="s">
        <v>763</v>
      </c>
      <c r="AG28" s="3" t="s">
        <v>768</v>
      </c>
      <c r="AH28" s="3">
        <f>AI28/AQ28</f>
        <v>15.247435731247242</v>
      </c>
      <c r="AI28" s="3">
        <v>76968.87</v>
      </c>
      <c r="AJ28" s="3">
        <f>AI28*3.65</f>
        <v>280936.37549999997</v>
      </c>
      <c r="AK28" s="3">
        <f>AJ28/AQ28</f>
        <v>55.653140419052427</v>
      </c>
      <c r="AL28" s="4">
        <f>AM28/AQ28</f>
        <v>27.733822808813667</v>
      </c>
      <c r="AM28" s="4">
        <v>140000</v>
      </c>
      <c r="AN28" s="4">
        <f>107650/AQ28</f>
        <v>21.325328752634224</v>
      </c>
      <c r="AO28" s="4">
        <f>32320/AQ28</f>
        <v>6.4025510941489836</v>
      </c>
      <c r="AP28" t="s">
        <v>2248</v>
      </c>
      <c r="AQ28">
        <f>((1995*2396.34)+(2003*5421.87)+(2014*7302.78))/(1995+2003+2014)</f>
        <v>5047.9878293413167</v>
      </c>
      <c r="AR28" s="7" t="s">
        <v>763</v>
      </c>
      <c r="AS28" t="s">
        <v>763</v>
      </c>
      <c r="AT28" t="s">
        <v>763</v>
      </c>
      <c r="AU28" t="s">
        <v>763</v>
      </c>
    </row>
    <row r="29" spans="1:47" x14ac:dyDescent="0.35">
      <c r="A29" s="3">
        <v>36</v>
      </c>
      <c r="B29" s="3">
        <v>29</v>
      </c>
      <c r="C29" s="15" t="s">
        <v>235</v>
      </c>
      <c r="D29" s="3" t="s">
        <v>237</v>
      </c>
      <c r="E29" s="3" t="s">
        <v>751</v>
      </c>
      <c r="F29" s="3">
        <v>2021</v>
      </c>
      <c r="G29" s="27">
        <v>42401</v>
      </c>
      <c r="H29" s="3" t="s">
        <v>753</v>
      </c>
      <c r="I29" s="3" t="s">
        <v>754</v>
      </c>
      <c r="J29" s="3">
        <v>10.775556</v>
      </c>
      <c r="K29" s="3">
        <v>106.701944</v>
      </c>
      <c r="L29" s="3" t="s">
        <v>1204</v>
      </c>
      <c r="M29" s="11">
        <v>8993082</v>
      </c>
      <c r="N29" s="11">
        <v>4363</v>
      </c>
      <c r="O29" s="3" t="s">
        <v>2327</v>
      </c>
      <c r="P29" s="3" t="s">
        <v>1202</v>
      </c>
      <c r="Q29" s="3" t="s">
        <v>2095</v>
      </c>
      <c r="R29" s="3">
        <v>1909</v>
      </c>
      <c r="S29" s="3">
        <v>27</v>
      </c>
      <c r="T29" s="3" t="s">
        <v>1016</v>
      </c>
      <c r="U29" s="3" t="s">
        <v>2303</v>
      </c>
      <c r="V29" s="3" t="s">
        <v>1560</v>
      </c>
      <c r="W29" s="3" t="s">
        <v>787</v>
      </c>
      <c r="X29" s="29" t="s">
        <v>1235</v>
      </c>
      <c r="Y29" s="3" t="s">
        <v>1205</v>
      </c>
      <c r="Z29" s="3" t="s">
        <v>1744</v>
      </c>
      <c r="AA29" s="3" t="s">
        <v>2165</v>
      </c>
      <c r="AB29" s="3" t="s">
        <v>787</v>
      </c>
      <c r="AC29" s="3">
        <f>AE29/3.65</f>
        <v>8473277</v>
      </c>
      <c r="AD29" s="3">
        <f>AF29/3.65</f>
        <v>2724526.3665594854</v>
      </c>
      <c r="AE29" s="3">
        <f>84732.77*365</f>
        <v>30927461.050000001</v>
      </c>
      <c r="AF29" s="3">
        <f>AE29/AQ29</f>
        <v>9944521.2379421219</v>
      </c>
      <c r="AG29" s="3" t="s">
        <v>789</v>
      </c>
      <c r="AH29" s="7" t="s">
        <v>763</v>
      </c>
      <c r="AI29" s="7" t="s">
        <v>763</v>
      </c>
      <c r="AJ29" s="7" t="s">
        <v>763</v>
      </c>
      <c r="AK29" s="7" t="s">
        <v>763</v>
      </c>
      <c r="AL29" s="7" t="s">
        <v>763</v>
      </c>
      <c r="AM29" s="7" t="s">
        <v>763</v>
      </c>
      <c r="AN29" s="3" t="s">
        <v>763</v>
      </c>
      <c r="AO29" s="3" t="s">
        <v>763</v>
      </c>
      <c r="AP29" s="8">
        <v>3.11</v>
      </c>
      <c r="AQ29" s="8">
        <v>3.11</v>
      </c>
      <c r="AR29" s="7" t="s">
        <v>763</v>
      </c>
      <c r="AS29" s="7" t="s">
        <v>2013</v>
      </c>
      <c r="AT29" s="7" t="s">
        <v>763</v>
      </c>
      <c r="AU29" s="7" t="s">
        <v>763</v>
      </c>
    </row>
    <row r="30" spans="1:47" s="3" customFormat="1" x14ac:dyDescent="0.35">
      <c r="A30">
        <v>37</v>
      </c>
      <c r="B30" s="3">
        <v>30</v>
      </c>
      <c r="C30" t="s">
        <v>254</v>
      </c>
      <c r="D30" t="s">
        <v>256</v>
      </c>
      <c r="E30" s="3" t="s">
        <v>751</v>
      </c>
      <c r="F30" s="3">
        <v>2017</v>
      </c>
      <c r="G30" s="3">
        <v>2007</v>
      </c>
      <c r="H30" s="3" t="s">
        <v>753</v>
      </c>
      <c r="I30" s="3" t="s">
        <v>754</v>
      </c>
      <c r="J30" s="3">
        <v>6.2319440000000004</v>
      </c>
      <c r="K30" s="3">
        <v>-75.568055999999999</v>
      </c>
      <c r="L30" t="s">
        <v>1214</v>
      </c>
      <c r="M30" s="11">
        <v>2427129</v>
      </c>
      <c r="N30" s="11">
        <v>6475</v>
      </c>
      <c r="O30" s="3" t="s">
        <v>2325</v>
      </c>
      <c r="P30" s="3" t="s">
        <v>1213</v>
      </c>
      <c r="Q30" s="3" t="s">
        <v>2094</v>
      </c>
      <c r="R30">
        <v>1687</v>
      </c>
      <c r="S30">
        <v>22.5</v>
      </c>
      <c r="T30" s="3" t="s">
        <v>763</v>
      </c>
      <c r="U30" t="s">
        <v>2300</v>
      </c>
      <c r="V30" s="3" t="s">
        <v>2166</v>
      </c>
      <c r="W30" s="3" t="s">
        <v>787</v>
      </c>
      <c r="X30" s="3" t="s">
        <v>1031</v>
      </c>
      <c r="Y30" s="8" t="s">
        <v>1222</v>
      </c>
      <c r="Z30" s="29" t="s">
        <v>2032</v>
      </c>
      <c r="AA30" s="3" t="s">
        <v>766</v>
      </c>
      <c r="AB30" s="3" t="s">
        <v>787</v>
      </c>
      <c r="AC30" s="3">
        <f>AE30/3.65</f>
        <v>569.04109589041093</v>
      </c>
      <c r="AD30" s="3">
        <f>AF30/3.65</f>
        <v>2.7161736501993355E-3</v>
      </c>
      <c r="AE30">
        <v>2077</v>
      </c>
      <c r="AF30" s="3">
        <f>AE30/AQ30</f>
        <v>9.9140338232275738E-3</v>
      </c>
      <c r="AG30" s="3" t="s">
        <v>768</v>
      </c>
      <c r="AH30" s="7">
        <f>AI30/AQ30</f>
        <v>0.1357694503436182</v>
      </c>
      <c r="AI30" s="7">
        <f>AJ30/3.65</f>
        <v>28443.835616438359</v>
      </c>
      <c r="AJ30" s="7">
        <v>103820</v>
      </c>
      <c r="AK30" s="7">
        <f>AJ30/AQ30</f>
        <v>0.49555849375420641</v>
      </c>
      <c r="AL30" s="7">
        <f>AH30/0.47</f>
        <v>0.28887117094386855</v>
      </c>
      <c r="AM30" s="7">
        <f>AI30/0.47</f>
        <v>60518.799183911404</v>
      </c>
      <c r="AN30" s="3">
        <f>AH30/1.24</f>
        <v>0.10949149221259533</v>
      </c>
      <c r="AO30" s="3">
        <f t="shared" ref="AO30:AO35" si="5">AN30*0.24</f>
        <v>2.6277958131022877E-2</v>
      </c>
      <c r="AP30" s="33" t="s">
        <v>2197</v>
      </c>
      <c r="AQ30" s="33">
        <v>209501</v>
      </c>
      <c r="AR30" s="7" t="s">
        <v>763</v>
      </c>
      <c r="AS30" s="7" t="s">
        <v>763</v>
      </c>
      <c r="AT30" s="7" t="s">
        <v>763</v>
      </c>
      <c r="AU30" s="7" t="s">
        <v>763</v>
      </c>
    </row>
    <row r="31" spans="1:47" x14ac:dyDescent="0.35">
      <c r="A31">
        <v>91</v>
      </c>
      <c r="B31" s="3">
        <v>68</v>
      </c>
      <c r="C31" s="8" t="s">
        <v>1759</v>
      </c>
      <c r="D31" s="8" t="s">
        <v>1760</v>
      </c>
      <c r="E31" s="7" t="s">
        <v>751</v>
      </c>
      <c r="F31" s="7">
        <v>2016</v>
      </c>
      <c r="G31" s="33" t="s">
        <v>1767</v>
      </c>
      <c r="H31" s="7" t="s">
        <v>795</v>
      </c>
      <c r="I31" s="7" t="s">
        <v>776</v>
      </c>
      <c r="J31" s="3">
        <v>-6.5590339999999996</v>
      </c>
      <c r="K31" s="3">
        <v>106.725227</v>
      </c>
      <c r="L31" s="30" t="s">
        <v>1757</v>
      </c>
      <c r="M31" s="11">
        <v>950334</v>
      </c>
      <c r="N31" s="11">
        <v>8505</v>
      </c>
      <c r="O31" s="33" t="s">
        <v>2327</v>
      </c>
      <c r="P31" s="8" t="s">
        <v>832</v>
      </c>
      <c r="Q31" s="7" t="s">
        <v>2082</v>
      </c>
      <c r="R31" s="8">
        <v>374.3</v>
      </c>
      <c r="S31" s="8">
        <v>25</v>
      </c>
      <c r="T31" s="7" t="s">
        <v>2080</v>
      </c>
      <c r="U31" t="s">
        <v>2300</v>
      </c>
      <c r="V31" t="s">
        <v>1560</v>
      </c>
      <c r="W31" s="7" t="s">
        <v>762</v>
      </c>
      <c r="X31" s="7" t="s">
        <v>865</v>
      </c>
      <c r="Y31" s="7" t="s">
        <v>1987</v>
      </c>
      <c r="Z31" s="8" t="s">
        <v>2037</v>
      </c>
      <c r="AA31" s="7" t="s">
        <v>766</v>
      </c>
      <c r="AB31" s="7" t="s">
        <v>787</v>
      </c>
      <c r="AC31" s="7" t="s">
        <v>763</v>
      </c>
      <c r="AD31" s="7" t="s">
        <v>763</v>
      </c>
      <c r="AE31" s="7" t="s">
        <v>763</v>
      </c>
      <c r="AF31" s="7" t="s">
        <v>763</v>
      </c>
      <c r="AG31" s="7" t="s">
        <v>789</v>
      </c>
      <c r="AH31" s="8">
        <v>27.36</v>
      </c>
      <c r="AI31" s="8">
        <f>((1989*21096.98)+(1999*15653.6)+(2009*16771.36)+(2014*7031.57))/(1989+1999+2009+2014)</f>
        <v>15117.798507052805</v>
      </c>
      <c r="AJ31" s="8">
        <f t="shared" ref="AJ31:AJ45" si="6">AI31*3.65</f>
        <v>55179.964550742734</v>
      </c>
      <c r="AK31" s="8">
        <f>AH31*3.65</f>
        <v>99.86399999999999</v>
      </c>
      <c r="AL31" s="33">
        <f>AN31+AO31</f>
        <v>72.192800000000005</v>
      </c>
      <c r="AM31" s="8">
        <f>((1989*44887.19)+(1999* 33305.53)+(2009*35683.74)+(2014*14960.79))/(1989+1999+2009+2014)</f>
        <v>32165.527412308074</v>
      </c>
      <c r="AN31" s="7">
        <v>58.22</v>
      </c>
      <c r="AO31" s="33">
        <f t="shared" si="5"/>
        <v>13.972799999999999</v>
      </c>
      <c r="AP31">
        <v>2153</v>
      </c>
      <c r="AQ31">
        <v>2153</v>
      </c>
      <c r="AR31" s="7" t="s">
        <v>763</v>
      </c>
      <c r="AS31" s="7" t="s">
        <v>2014</v>
      </c>
      <c r="AT31">
        <f>182044/AQ31</f>
        <v>84.553646075243847</v>
      </c>
      <c r="AU31" s="7" t="s">
        <v>763</v>
      </c>
    </row>
    <row r="32" spans="1:47" s="8" customFormat="1" x14ac:dyDescent="0.35">
      <c r="A32">
        <v>38</v>
      </c>
      <c r="B32" s="7">
        <v>31</v>
      </c>
      <c r="C32" s="8" t="s">
        <v>259</v>
      </c>
      <c r="D32" s="8" t="s">
        <v>261</v>
      </c>
      <c r="E32" s="7" t="s">
        <v>751</v>
      </c>
      <c r="F32" s="7">
        <v>2021</v>
      </c>
      <c r="G32" s="33" t="s">
        <v>1264</v>
      </c>
      <c r="H32" s="7" t="s">
        <v>795</v>
      </c>
      <c r="I32" s="7" t="s">
        <v>754</v>
      </c>
      <c r="J32" s="7">
        <v>22.574999999999999</v>
      </c>
      <c r="K32" s="7">
        <v>90.775000000000006</v>
      </c>
      <c r="L32" s="30" t="s">
        <v>1770</v>
      </c>
      <c r="M32" s="11">
        <v>203451</v>
      </c>
      <c r="N32" s="11">
        <v>9547</v>
      </c>
      <c r="O32" s="30" t="s">
        <v>2327</v>
      </c>
      <c r="P32" s="7" t="s">
        <v>985</v>
      </c>
      <c r="Q32" s="8" t="s">
        <v>2082</v>
      </c>
      <c r="R32" s="8">
        <v>3207</v>
      </c>
      <c r="S32" s="8">
        <v>26.2</v>
      </c>
      <c r="T32" s="7" t="s">
        <v>763</v>
      </c>
      <c r="U32" t="s">
        <v>2303</v>
      </c>
      <c r="V32" s="3" t="s">
        <v>2167</v>
      </c>
      <c r="W32" s="7" t="s">
        <v>787</v>
      </c>
      <c r="X32" s="36" t="s">
        <v>1238</v>
      </c>
      <c r="Y32" s="8" t="s">
        <v>1995</v>
      </c>
      <c r="Z32" s="8" t="s">
        <v>1744</v>
      </c>
      <c r="AA32" s="3" t="s">
        <v>2165</v>
      </c>
      <c r="AB32" s="7" t="s">
        <v>787</v>
      </c>
      <c r="AC32" s="7" t="s">
        <v>763</v>
      </c>
      <c r="AD32" s="7" t="s">
        <v>763</v>
      </c>
      <c r="AE32" s="7" t="s">
        <v>763</v>
      </c>
      <c r="AF32" s="7" t="s">
        <v>763</v>
      </c>
      <c r="AG32" s="7" t="s">
        <v>768</v>
      </c>
      <c r="AH32" s="7">
        <f>AI32/AQ32</f>
        <v>135.75913172250333</v>
      </c>
      <c r="AI32" s="8">
        <f>(((1988*23.85)+(1998*25.23)+(2008*25.01)+(2018*27.15))/(1988+1998+2008+2018))*1000000</f>
        <v>25316040.93859211</v>
      </c>
      <c r="AJ32" s="7">
        <f t="shared" si="6"/>
        <v>92403549.425861195</v>
      </c>
      <c r="AK32" s="7">
        <f>AJ32/AQ32</f>
        <v>495.52083078713713</v>
      </c>
      <c r="AL32" s="7">
        <f t="shared" ref="AL32:AM34" si="7">AH32/0.47</f>
        <v>288.84921643085818</v>
      </c>
      <c r="AM32" s="7">
        <f t="shared" si="7"/>
        <v>53863916.890621513</v>
      </c>
      <c r="AN32" s="3">
        <f>AH32/1.24</f>
        <v>109.48317074395429</v>
      </c>
      <c r="AO32" s="3">
        <f t="shared" si="5"/>
        <v>26.27596097854903</v>
      </c>
      <c r="AP32" s="48" t="s">
        <v>2251</v>
      </c>
      <c r="AQ32" s="48">
        <f>((1988*144110)+(1998*178640)+(2008*179820)+(2018*242600))/(1988+1998+2008+2018)</f>
        <v>186477.62855716425</v>
      </c>
      <c r="AR32" s="7" t="s">
        <v>763</v>
      </c>
      <c r="AS32" s="7" t="s">
        <v>763</v>
      </c>
      <c r="AT32" s="8" t="s">
        <v>763</v>
      </c>
      <c r="AU32" s="7" t="s">
        <v>763</v>
      </c>
    </row>
    <row r="33" spans="1:47" x14ac:dyDescent="0.35">
      <c r="A33">
        <v>39</v>
      </c>
      <c r="B33" s="3">
        <v>32</v>
      </c>
      <c r="C33" t="s">
        <v>263</v>
      </c>
      <c r="D33" t="s">
        <v>265</v>
      </c>
      <c r="E33" s="3" t="s">
        <v>751</v>
      </c>
      <c r="F33" s="3">
        <v>2009</v>
      </c>
      <c r="G33" s="3" t="s">
        <v>1901</v>
      </c>
      <c r="H33" s="3" t="s">
        <v>753</v>
      </c>
      <c r="I33" s="3" t="s">
        <v>754</v>
      </c>
      <c r="J33" s="3">
        <v>23.155556000000001</v>
      </c>
      <c r="K33" s="3">
        <v>77.366944000000004</v>
      </c>
      <c r="L33" t="s">
        <v>1012</v>
      </c>
      <c r="M33" s="11">
        <v>1798218</v>
      </c>
      <c r="N33" s="11">
        <v>6290</v>
      </c>
      <c r="O33" s="30" t="s">
        <v>2327</v>
      </c>
      <c r="P33" s="3" t="s">
        <v>756</v>
      </c>
      <c r="Q33" s="3" t="s">
        <v>2092</v>
      </c>
      <c r="R33" s="3">
        <v>1074</v>
      </c>
      <c r="S33" s="3">
        <v>25.3</v>
      </c>
      <c r="T33" s="3" t="s">
        <v>948</v>
      </c>
      <c r="U33" t="s">
        <v>2297</v>
      </c>
      <c r="V33" s="3" t="s">
        <v>2167</v>
      </c>
      <c r="W33" s="3" t="s">
        <v>787</v>
      </c>
      <c r="X33" s="3" t="s">
        <v>1238</v>
      </c>
      <c r="Y33" s="7" t="s">
        <v>764</v>
      </c>
      <c r="Z33" s="8" t="s">
        <v>2026</v>
      </c>
      <c r="AA33" s="3" t="s">
        <v>766</v>
      </c>
      <c r="AB33" s="3" t="s">
        <v>787</v>
      </c>
      <c r="AC33" s="3" t="s">
        <v>763</v>
      </c>
      <c r="AD33" s="3" t="s">
        <v>763</v>
      </c>
      <c r="AE33" s="3" t="s">
        <v>763</v>
      </c>
      <c r="AF33" s="3" t="s">
        <v>763</v>
      </c>
      <c r="AG33" s="3" t="s">
        <v>789</v>
      </c>
      <c r="AH33">
        <v>12.544</v>
      </c>
      <c r="AI33">
        <v>6.6020000000000003</v>
      </c>
      <c r="AJ33" s="7">
        <f t="shared" si="6"/>
        <v>24.097300000000001</v>
      </c>
      <c r="AK33" s="7">
        <f>AJ33/AQ33</f>
        <v>1.5456895445798589E-2</v>
      </c>
      <c r="AL33" s="7">
        <f t="shared" si="7"/>
        <v>26.689361702127663</v>
      </c>
      <c r="AM33" s="7">
        <f t="shared" si="7"/>
        <v>14.0468085106383</v>
      </c>
      <c r="AN33" s="3">
        <f>AH33/1.24</f>
        <v>10.116129032258065</v>
      </c>
      <c r="AO33" s="3">
        <f t="shared" si="5"/>
        <v>2.4278709677419354</v>
      </c>
      <c r="AP33">
        <v>1559</v>
      </c>
      <c r="AQ33">
        <v>1559</v>
      </c>
      <c r="AR33" s="7" t="s">
        <v>763</v>
      </c>
      <c r="AS33" s="8" t="s">
        <v>2271</v>
      </c>
      <c r="AT33">
        <f>308/AQ33</f>
        <v>0.19756254008980115</v>
      </c>
      <c r="AU33" s="7" t="s">
        <v>763</v>
      </c>
    </row>
    <row r="34" spans="1:47" x14ac:dyDescent="0.35">
      <c r="A34">
        <v>40</v>
      </c>
      <c r="B34" s="3">
        <v>33</v>
      </c>
      <c r="C34" t="s">
        <v>268</v>
      </c>
      <c r="D34" t="s">
        <v>270</v>
      </c>
      <c r="E34" s="3" t="s">
        <v>751</v>
      </c>
      <c r="F34" s="3">
        <v>2024</v>
      </c>
      <c r="G34" s="3" t="s">
        <v>763</v>
      </c>
      <c r="H34" s="3" t="s">
        <v>753</v>
      </c>
      <c r="I34" s="3" t="s">
        <v>754</v>
      </c>
      <c r="J34" s="3">
        <v>16.478860999999998</v>
      </c>
      <c r="K34" s="3">
        <v>120.586167</v>
      </c>
      <c r="L34" t="s">
        <v>1250</v>
      </c>
      <c r="M34" s="11">
        <v>137404</v>
      </c>
      <c r="N34" s="11">
        <v>1951</v>
      </c>
      <c r="O34" s="30" t="s">
        <v>2327</v>
      </c>
      <c r="P34" s="3" t="s">
        <v>1112</v>
      </c>
      <c r="Q34" s="8" t="s">
        <v>2082</v>
      </c>
      <c r="R34" s="3">
        <v>3463</v>
      </c>
      <c r="S34" s="3">
        <v>21.1</v>
      </c>
      <c r="T34" s="3" t="s">
        <v>763</v>
      </c>
      <c r="U34" t="s">
        <v>2304</v>
      </c>
      <c r="V34" s="3" t="s">
        <v>2167</v>
      </c>
      <c r="W34" s="3" t="s">
        <v>787</v>
      </c>
      <c r="X34" s="3" t="s">
        <v>1238</v>
      </c>
      <c r="Y34" s="7" t="s">
        <v>1996</v>
      </c>
      <c r="Z34" t="s">
        <v>2031</v>
      </c>
      <c r="AA34" s="3" t="s">
        <v>766</v>
      </c>
      <c r="AB34" s="3" t="s">
        <v>787</v>
      </c>
      <c r="AC34" s="3" t="s">
        <v>763</v>
      </c>
      <c r="AD34" s="3" t="s">
        <v>763</v>
      </c>
      <c r="AE34" s="3" t="s">
        <v>763</v>
      </c>
      <c r="AF34" s="3" t="s">
        <v>763</v>
      </c>
      <c r="AG34" s="3" t="s">
        <v>768</v>
      </c>
      <c r="AH34">
        <v>192.54</v>
      </c>
      <c r="AI34">
        <v>6931.44</v>
      </c>
      <c r="AJ34" s="7">
        <f t="shared" si="6"/>
        <v>25299.755999999998</v>
      </c>
      <c r="AK34" s="7">
        <f>AJ34/AQ34</f>
        <v>702.77099999999996</v>
      </c>
      <c r="AL34" s="7">
        <f t="shared" si="7"/>
        <v>409.65957446808511</v>
      </c>
      <c r="AM34" s="7">
        <f t="shared" si="7"/>
        <v>14747.744680851063</v>
      </c>
      <c r="AN34" s="3">
        <f>AH34/1.24</f>
        <v>155.2741935483871</v>
      </c>
      <c r="AO34" s="3">
        <f t="shared" si="5"/>
        <v>37.265806451612903</v>
      </c>
      <c r="AP34">
        <v>36</v>
      </c>
      <c r="AQ34">
        <v>36</v>
      </c>
      <c r="AR34">
        <v>102</v>
      </c>
      <c r="AS34" t="s">
        <v>2015</v>
      </c>
      <c r="AT34" t="s">
        <v>763</v>
      </c>
      <c r="AU34" s="7" t="s">
        <v>763</v>
      </c>
    </row>
    <row r="35" spans="1:47" x14ac:dyDescent="0.35">
      <c r="A35">
        <v>41</v>
      </c>
      <c r="B35" s="3">
        <v>34</v>
      </c>
      <c r="C35" t="s">
        <v>273</v>
      </c>
      <c r="D35" t="s">
        <v>275</v>
      </c>
      <c r="E35" s="3" t="s">
        <v>751</v>
      </c>
      <c r="F35" s="3">
        <v>2023</v>
      </c>
      <c r="G35" s="3">
        <v>2017</v>
      </c>
      <c r="H35" s="3" t="s">
        <v>753</v>
      </c>
      <c r="I35" s="3" t="s">
        <v>754</v>
      </c>
      <c r="J35" s="3">
        <v>23.2</v>
      </c>
      <c r="K35" s="3">
        <v>83.033332999999999</v>
      </c>
      <c r="L35" t="s">
        <v>1358</v>
      </c>
      <c r="M35" s="11">
        <v>121071</v>
      </c>
      <c r="N35" s="11">
        <v>3014</v>
      </c>
      <c r="O35" s="30" t="s">
        <v>2327</v>
      </c>
      <c r="P35" s="3" t="s">
        <v>756</v>
      </c>
      <c r="Q35" s="3" t="s">
        <v>2092</v>
      </c>
      <c r="R35">
        <v>1200</v>
      </c>
      <c r="S35">
        <v>24</v>
      </c>
      <c r="T35" s="3" t="s">
        <v>763</v>
      </c>
      <c r="U35" t="s">
        <v>2300</v>
      </c>
      <c r="V35" s="3" t="s">
        <v>2166</v>
      </c>
      <c r="W35" s="3" t="s">
        <v>787</v>
      </c>
      <c r="X35" s="3" t="s">
        <v>1031</v>
      </c>
      <c r="Y35" s="7" t="s">
        <v>764</v>
      </c>
      <c r="Z35" s="7" t="s">
        <v>2031</v>
      </c>
      <c r="AA35" s="3" t="s">
        <v>766</v>
      </c>
      <c r="AB35" s="3" t="s">
        <v>787</v>
      </c>
      <c r="AC35" s="3" t="s">
        <v>763</v>
      </c>
      <c r="AD35" s="3" t="s">
        <v>763</v>
      </c>
      <c r="AE35" s="3" t="s">
        <v>763</v>
      </c>
      <c r="AF35" s="3" t="s">
        <v>763</v>
      </c>
      <c r="AG35" s="3" t="s">
        <v>789</v>
      </c>
      <c r="AH35">
        <v>189.85</v>
      </c>
      <c r="AI35">
        <f>AH35*AQ35</f>
        <v>422169445</v>
      </c>
      <c r="AJ35" s="7">
        <f t="shared" si="6"/>
        <v>1540918474.25</v>
      </c>
      <c r="AK35">
        <v>696.77</v>
      </c>
      <c r="AL35" s="4">
        <f>AN35+AO35</f>
        <v>390.27760000000001</v>
      </c>
      <c r="AM35" s="4">
        <f>AL35*AQ35</f>
        <v>867860299.12</v>
      </c>
      <c r="AN35" s="3">
        <v>314.74</v>
      </c>
      <c r="AO35" s="4">
        <f t="shared" si="5"/>
        <v>75.537599999999998</v>
      </c>
      <c r="AP35">
        <v>2223700</v>
      </c>
      <c r="AQ35">
        <v>2223700</v>
      </c>
      <c r="AR35" t="s">
        <v>763</v>
      </c>
      <c r="AS35" s="8" t="s">
        <v>2272</v>
      </c>
      <c r="AT35" s="7">
        <v>205</v>
      </c>
      <c r="AU35" s="7" t="s">
        <v>763</v>
      </c>
    </row>
    <row r="36" spans="1:47" x14ac:dyDescent="0.35">
      <c r="A36">
        <v>42</v>
      </c>
      <c r="B36" s="3">
        <v>35</v>
      </c>
      <c r="C36" t="s">
        <v>283</v>
      </c>
      <c r="D36" t="s">
        <v>1158</v>
      </c>
      <c r="E36" s="3" t="s">
        <v>751</v>
      </c>
      <c r="F36" s="3">
        <v>2017</v>
      </c>
      <c r="G36" s="3" t="s">
        <v>763</v>
      </c>
      <c r="H36" s="3" t="s">
        <v>753</v>
      </c>
      <c r="I36" s="3" t="s">
        <v>754</v>
      </c>
      <c r="J36" s="3">
        <v>8.75</v>
      </c>
      <c r="K36" s="3">
        <v>38.65</v>
      </c>
      <c r="L36" t="s">
        <v>1104</v>
      </c>
      <c r="M36" s="11">
        <v>3860000</v>
      </c>
      <c r="N36" s="11">
        <v>7324</v>
      </c>
      <c r="O36" t="s">
        <v>2326</v>
      </c>
      <c r="P36" s="3" t="s">
        <v>1102</v>
      </c>
      <c r="Q36" s="3" t="s">
        <v>2093</v>
      </c>
      <c r="R36" s="3">
        <v>1874</v>
      </c>
      <c r="S36" s="3">
        <v>15.6</v>
      </c>
      <c r="T36" s="3" t="s">
        <v>763</v>
      </c>
      <c r="U36" t="s">
        <v>2306</v>
      </c>
      <c r="V36" s="3" t="s">
        <v>2167</v>
      </c>
      <c r="W36" s="3" t="s">
        <v>787</v>
      </c>
      <c r="X36" s="3" t="s">
        <v>1238</v>
      </c>
      <c r="Y36" s="7" t="s">
        <v>764</v>
      </c>
      <c r="Z36" s="7" t="s">
        <v>2031</v>
      </c>
      <c r="AA36" s="3" t="s">
        <v>766</v>
      </c>
      <c r="AB36" s="3" t="s">
        <v>787</v>
      </c>
      <c r="AC36" s="3" t="s">
        <v>763</v>
      </c>
      <c r="AD36" s="3" t="s">
        <v>763</v>
      </c>
      <c r="AE36" s="3" t="s">
        <v>763</v>
      </c>
      <c r="AF36" s="3" t="s">
        <v>763</v>
      </c>
      <c r="AG36" s="3" t="s">
        <v>768</v>
      </c>
      <c r="AH36">
        <v>171</v>
      </c>
      <c r="AI36">
        <v>552415</v>
      </c>
      <c r="AJ36" s="7">
        <f t="shared" si="6"/>
        <v>2016314.75</v>
      </c>
      <c r="AK36">
        <f>AJ36/AQ36</f>
        <v>624.82638673690735</v>
      </c>
      <c r="AL36" s="3">
        <f>AM36/AQ36</f>
        <v>342.37682057638676</v>
      </c>
      <c r="AM36" s="3">
        <v>1104850</v>
      </c>
      <c r="AN36" s="3">
        <f>905615/AQ36</f>
        <v>280.6368143786799</v>
      </c>
      <c r="AO36" s="3">
        <f>199235/AQ36</f>
        <v>61.740006197706848</v>
      </c>
      <c r="AP36">
        <v>3227</v>
      </c>
      <c r="AQ36">
        <v>3227</v>
      </c>
      <c r="AR36" t="s">
        <v>763</v>
      </c>
      <c r="AS36" s="8" t="s">
        <v>2278</v>
      </c>
      <c r="AT36">
        <f>2420/AQ36</f>
        <v>0.74992252866439413</v>
      </c>
      <c r="AU36" s="7" t="s">
        <v>763</v>
      </c>
    </row>
    <row r="37" spans="1:47" x14ac:dyDescent="0.35">
      <c r="A37">
        <v>43</v>
      </c>
      <c r="B37" s="3">
        <v>36</v>
      </c>
      <c r="C37" t="s">
        <v>292</v>
      </c>
      <c r="D37" t="s">
        <v>294</v>
      </c>
      <c r="E37" s="3" t="s">
        <v>751</v>
      </c>
      <c r="F37" s="3">
        <v>2023</v>
      </c>
      <c r="G37" s="3" t="s">
        <v>1282</v>
      </c>
      <c r="H37" s="3" t="s">
        <v>795</v>
      </c>
      <c r="I37" s="3" t="s">
        <v>754</v>
      </c>
      <c r="J37" s="3">
        <v>6.6678009999999999</v>
      </c>
      <c r="K37" s="3">
        <v>2.1480250000000001</v>
      </c>
      <c r="L37" t="s">
        <v>1788</v>
      </c>
      <c r="M37" s="11">
        <v>127512</v>
      </c>
      <c r="N37">
        <v>334.7</v>
      </c>
      <c r="O37" t="s">
        <v>2326</v>
      </c>
      <c r="P37" s="3" t="s">
        <v>1280</v>
      </c>
      <c r="Q37" s="3" t="s">
        <v>2095</v>
      </c>
      <c r="R37" s="3">
        <v>1353</v>
      </c>
      <c r="S37" s="3">
        <v>26.3</v>
      </c>
      <c r="T37" s="3" t="s">
        <v>763</v>
      </c>
      <c r="U37" t="s">
        <v>2298</v>
      </c>
      <c r="V37" s="3" t="s">
        <v>2167</v>
      </c>
      <c r="W37" s="3" t="s">
        <v>787</v>
      </c>
      <c r="X37" s="3" t="s">
        <v>1235</v>
      </c>
      <c r="Y37" s="7" t="s">
        <v>1281</v>
      </c>
      <c r="Z37" t="s">
        <v>1744</v>
      </c>
      <c r="AA37" s="3" t="s">
        <v>2165</v>
      </c>
      <c r="AB37" s="3" t="s">
        <v>787</v>
      </c>
      <c r="AC37" s="3" t="s">
        <v>763</v>
      </c>
      <c r="AD37" s="3" t="s">
        <v>763</v>
      </c>
      <c r="AE37" s="3" t="s">
        <v>763</v>
      </c>
      <c r="AF37" s="3" t="s">
        <v>763</v>
      </c>
      <c r="AG37" s="3" t="s">
        <v>768</v>
      </c>
      <c r="AH37" s="8">
        <f>AI37/AQ37</f>
        <v>279.41176470588238</v>
      </c>
      <c r="AI37" s="26">
        <v>171000</v>
      </c>
      <c r="AJ37" s="7">
        <f t="shared" si="6"/>
        <v>624150</v>
      </c>
      <c r="AK37">
        <f>AJ37/AQ37</f>
        <v>1019.8529411764706</v>
      </c>
      <c r="AL37" s="7">
        <v>279</v>
      </c>
      <c r="AM37" s="7">
        <f>AL37*AQ37</f>
        <v>170748</v>
      </c>
      <c r="AN37" s="7">
        <v>225</v>
      </c>
      <c r="AO37" s="7">
        <v>54</v>
      </c>
      <c r="AP37" s="8">
        <v>612</v>
      </c>
      <c r="AQ37" s="8">
        <v>612</v>
      </c>
      <c r="AR37" t="s">
        <v>763</v>
      </c>
      <c r="AS37" s="8" t="s">
        <v>2016</v>
      </c>
      <c r="AT37" t="s">
        <v>763</v>
      </c>
      <c r="AU37" s="7" t="s">
        <v>763</v>
      </c>
    </row>
    <row r="38" spans="1:47" x14ac:dyDescent="0.35">
      <c r="A38">
        <v>45</v>
      </c>
      <c r="B38" s="3">
        <v>37</v>
      </c>
      <c r="C38" t="s">
        <v>330</v>
      </c>
      <c r="D38" t="s">
        <v>332</v>
      </c>
      <c r="E38" s="3" t="s">
        <v>751</v>
      </c>
      <c r="F38" s="3">
        <v>2016</v>
      </c>
      <c r="G38" s="3">
        <v>2013</v>
      </c>
      <c r="H38" s="3" t="s">
        <v>753</v>
      </c>
      <c r="I38" s="3" t="s">
        <v>754</v>
      </c>
      <c r="J38" s="3">
        <v>19.283332999999999</v>
      </c>
      <c r="K38" s="3">
        <v>-99.183333000000005</v>
      </c>
      <c r="L38" t="s">
        <v>1292</v>
      </c>
      <c r="M38" s="11">
        <v>7412566</v>
      </c>
      <c r="N38" s="11">
        <v>4567</v>
      </c>
      <c r="O38" t="s">
        <v>2325</v>
      </c>
      <c r="P38" s="3" t="s">
        <v>1213</v>
      </c>
      <c r="Q38" s="3" t="s">
        <v>2088</v>
      </c>
      <c r="R38">
        <v>600</v>
      </c>
      <c r="S38">
        <v>14</v>
      </c>
      <c r="T38" s="3" t="s">
        <v>763</v>
      </c>
      <c r="U38" t="s">
        <v>2304</v>
      </c>
      <c r="V38" s="3" t="s">
        <v>2167</v>
      </c>
      <c r="W38" s="3" t="s">
        <v>787</v>
      </c>
      <c r="X38" s="3" t="s">
        <v>865</v>
      </c>
      <c r="Y38" s="7" t="s">
        <v>764</v>
      </c>
      <c r="Z38" s="7" t="s">
        <v>2031</v>
      </c>
      <c r="AA38" s="7" t="s">
        <v>766</v>
      </c>
      <c r="AB38" s="3" t="s">
        <v>787</v>
      </c>
      <c r="AC38" s="3" t="s">
        <v>763</v>
      </c>
      <c r="AD38" s="3" t="s">
        <v>763</v>
      </c>
      <c r="AE38" s="3" t="s">
        <v>763</v>
      </c>
      <c r="AF38" s="3" t="s">
        <v>763</v>
      </c>
      <c r="AG38" s="3" t="s">
        <v>789</v>
      </c>
      <c r="AH38" s="33">
        <f>AN38*0.47</f>
        <v>37.256899999999995</v>
      </c>
      <c r="AI38" s="33">
        <f>AH38*AQ38</f>
        <v>11.922207999999998</v>
      </c>
      <c r="AJ38" s="33">
        <f t="shared" si="6"/>
        <v>43.516059199999994</v>
      </c>
      <c r="AK38" s="33">
        <f>AH38*3.65</f>
        <v>135.98768499999997</v>
      </c>
      <c r="AL38" s="4">
        <f>AN38+AO38</f>
        <v>98.294799999999995</v>
      </c>
      <c r="AM38" s="4">
        <f>AL38*AQ38</f>
        <v>31.454335999999998</v>
      </c>
      <c r="AN38" s="7">
        <v>79.27</v>
      </c>
      <c r="AO38" s="4">
        <f t="shared" ref="AO38:AO43" si="8">AN38*0.24</f>
        <v>19.024799999999999</v>
      </c>
      <c r="AP38" s="8">
        <v>0.32</v>
      </c>
      <c r="AQ38" s="8">
        <v>0.32</v>
      </c>
      <c r="AR38" s="8" t="s">
        <v>763</v>
      </c>
      <c r="AS38" s="8" t="s">
        <v>2279</v>
      </c>
      <c r="AT38">
        <f>1354/AQ38</f>
        <v>4231.25</v>
      </c>
      <c r="AU38" t="s">
        <v>763</v>
      </c>
    </row>
    <row r="39" spans="1:47" ht="15.5" x14ac:dyDescent="0.35">
      <c r="A39">
        <v>46</v>
      </c>
      <c r="B39" s="3">
        <v>38</v>
      </c>
      <c r="C39" t="s">
        <v>335</v>
      </c>
      <c r="D39" t="s">
        <v>337</v>
      </c>
      <c r="E39" s="3" t="s">
        <v>751</v>
      </c>
      <c r="F39" s="3">
        <v>2022</v>
      </c>
      <c r="G39" s="4" t="s">
        <v>1304</v>
      </c>
      <c r="H39" s="3" t="s">
        <v>795</v>
      </c>
      <c r="I39" s="3" t="s">
        <v>754</v>
      </c>
      <c r="J39" s="3">
        <v>18.159199999999998</v>
      </c>
      <c r="K39" s="3">
        <v>42.397908000000001</v>
      </c>
      <c r="L39" t="s">
        <v>1301</v>
      </c>
      <c r="M39" s="11">
        <v>334290</v>
      </c>
      <c r="N39">
        <v>61.84</v>
      </c>
      <c r="O39" t="s">
        <v>2327</v>
      </c>
      <c r="P39" s="3" t="s">
        <v>1300</v>
      </c>
      <c r="Q39" s="3" t="s">
        <v>2092</v>
      </c>
      <c r="R39">
        <v>245</v>
      </c>
      <c r="S39">
        <v>20.100000000000001</v>
      </c>
      <c r="T39" s="3" t="s">
        <v>763</v>
      </c>
      <c r="U39" t="s">
        <v>2308</v>
      </c>
      <c r="V39" s="3" t="s">
        <v>2166</v>
      </c>
      <c r="W39" s="4" t="s">
        <v>787</v>
      </c>
      <c r="X39" s="4" t="s">
        <v>1031</v>
      </c>
      <c r="Y39" s="8" t="s">
        <v>1997</v>
      </c>
      <c r="Z39" t="s">
        <v>1744</v>
      </c>
      <c r="AA39" s="3" t="s">
        <v>2165</v>
      </c>
      <c r="AB39" s="3" t="s">
        <v>787</v>
      </c>
      <c r="AC39" s="3" t="s">
        <v>763</v>
      </c>
      <c r="AD39" s="3" t="s">
        <v>763</v>
      </c>
      <c r="AE39" s="3" t="s">
        <v>763</v>
      </c>
      <c r="AF39" s="3" t="s">
        <v>763</v>
      </c>
      <c r="AG39" s="3" t="s">
        <v>768</v>
      </c>
      <c r="AH39" s="43">
        <f>AI39/AQ39</f>
        <v>2.9708386341410913</v>
      </c>
      <c r="AI39" s="9">
        <f>((1990*18524.96)+(2000*31195.78)+(2020*80561.01))/(1990+2000+2020)</f>
        <v>43592.258003327785</v>
      </c>
      <c r="AJ39" s="43">
        <f t="shared" si="6"/>
        <v>159111.74171214641</v>
      </c>
      <c r="AK39" s="33">
        <f>AH39*3.65</f>
        <v>10.843561014614982</v>
      </c>
      <c r="AL39" s="7">
        <f t="shared" ref="AL39:AM42" si="9">AH39/0.47</f>
        <v>6.320933264129982</v>
      </c>
      <c r="AM39" s="7">
        <f t="shared" si="9"/>
        <v>92749.485113463379</v>
      </c>
      <c r="AN39" s="3">
        <f>AH39/1.24</f>
        <v>2.3958376081782995</v>
      </c>
      <c r="AO39" s="3">
        <f t="shared" si="8"/>
        <v>0.5750010259627919</v>
      </c>
      <c r="AP39" t="s">
        <v>2252</v>
      </c>
      <c r="AQ39">
        <f>((1990*6237.36)+(2000*10503.63)+(2018*27124.92))/(1990+2000+2018)</f>
        <v>14673.384647137149</v>
      </c>
      <c r="AR39" s="8" t="s">
        <v>763</v>
      </c>
      <c r="AS39" s="8" t="s">
        <v>2280</v>
      </c>
      <c r="AT39" s="8" t="s">
        <v>763</v>
      </c>
      <c r="AU39" s="8">
        <v>14621.97</v>
      </c>
    </row>
    <row r="40" spans="1:47" x14ac:dyDescent="0.35">
      <c r="A40">
        <v>11</v>
      </c>
      <c r="B40" s="3">
        <v>9</v>
      </c>
      <c r="C40" s="3" t="s">
        <v>888</v>
      </c>
      <c r="D40" s="3" t="s">
        <v>889</v>
      </c>
      <c r="E40" s="3" t="s">
        <v>873</v>
      </c>
      <c r="F40" s="3">
        <v>2022</v>
      </c>
      <c r="G40" s="3" t="s">
        <v>1895</v>
      </c>
      <c r="H40" s="3" t="s">
        <v>753</v>
      </c>
      <c r="I40" s="3" t="s">
        <v>754</v>
      </c>
      <c r="J40" s="3">
        <v>18.658055999999998</v>
      </c>
      <c r="K40" s="3">
        <v>-91.827777999999995</v>
      </c>
      <c r="L40" s="3" t="s">
        <v>893</v>
      </c>
      <c r="M40" s="11">
        <v>184300</v>
      </c>
      <c r="N40" s="11"/>
      <c r="O40" s="3" t="s">
        <v>2328</v>
      </c>
      <c r="P40" s="3" t="s">
        <v>894</v>
      </c>
      <c r="Q40" s="3" t="s">
        <v>2095</v>
      </c>
      <c r="R40" s="3">
        <v>1550</v>
      </c>
      <c r="S40" s="3">
        <v>26</v>
      </c>
      <c r="T40" s="3" t="s">
        <v>759</v>
      </c>
      <c r="U40" t="s">
        <v>2303</v>
      </c>
      <c r="V40" s="3" t="s">
        <v>2074</v>
      </c>
      <c r="W40" s="3" t="s">
        <v>762</v>
      </c>
      <c r="X40" s="3" t="s">
        <v>1031</v>
      </c>
      <c r="Y40" s="3" t="s">
        <v>764</v>
      </c>
      <c r="Z40" s="3" t="s">
        <v>2026</v>
      </c>
      <c r="AA40" s="3" t="s">
        <v>766</v>
      </c>
      <c r="AB40" s="3" t="s">
        <v>762</v>
      </c>
      <c r="AC40" s="3" t="s">
        <v>763</v>
      </c>
      <c r="AD40" s="3" t="s">
        <v>763</v>
      </c>
      <c r="AE40" s="3" t="s">
        <v>763</v>
      </c>
      <c r="AF40" s="3" t="s">
        <v>763</v>
      </c>
      <c r="AG40" s="3" t="s">
        <v>768</v>
      </c>
      <c r="AH40" s="3">
        <v>352</v>
      </c>
      <c r="AI40" s="3">
        <f>AH40*AQ40</f>
        <v>13552000</v>
      </c>
      <c r="AJ40" s="3">
        <f t="shared" si="6"/>
        <v>49464800</v>
      </c>
      <c r="AK40" s="3">
        <f>AJ40/AQ40</f>
        <v>1284.8</v>
      </c>
      <c r="AL40" s="4">
        <f t="shared" si="9"/>
        <v>748.936170212766</v>
      </c>
      <c r="AM40" s="4">
        <f t="shared" si="9"/>
        <v>28834042.55319149</v>
      </c>
      <c r="AN40" s="3">
        <f>AL40/1.24</f>
        <v>603.98078242965005</v>
      </c>
      <c r="AO40" s="3">
        <f t="shared" si="8"/>
        <v>144.95538778311601</v>
      </c>
      <c r="AP40" s="8">
        <v>38500</v>
      </c>
      <c r="AQ40" s="8">
        <v>38500</v>
      </c>
      <c r="AR40" s="8" t="s">
        <v>763</v>
      </c>
      <c r="AS40" s="8" t="s">
        <v>763</v>
      </c>
      <c r="AT40" s="8" t="s">
        <v>763</v>
      </c>
      <c r="AU40" s="8">
        <f>AQ40*0.659</f>
        <v>25371.5</v>
      </c>
    </row>
    <row r="41" spans="1:47" x14ac:dyDescent="0.35">
      <c r="A41">
        <v>48</v>
      </c>
      <c r="B41" s="3">
        <v>39</v>
      </c>
      <c r="C41" s="8" t="s">
        <v>360</v>
      </c>
      <c r="D41" s="8" t="s">
        <v>362</v>
      </c>
      <c r="E41" s="7" t="s">
        <v>751</v>
      </c>
      <c r="F41" s="7">
        <v>2018</v>
      </c>
      <c r="G41" s="33" t="s">
        <v>1312</v>
      </c>
      <c r="H41" s="7" t="s">
        <v>795</v>
      </c>
      <c r="I41" s="7" t="s">
        <v>776</v>
      </c>
      <c r="J41" s="3">
        <v>4.5980559999999997</v>
      </c>
      <c r="K41" s="3">
        <v>-74.075833000000003</v>
      </c>
      <c r="L41" s="8" t="s">
        <v>1292</v>
      </c>
      <c r="M41" s="11">
        <v>7412566</v>
      </c>
      <c r="N41" s="11">
        <v>4567</v>
      </c>
      <c r="O41" s="8" t="s">
        <v>2325</v>
      </c>
      <c r="P41" s="7" t="s">
        <v>1213</v>
      </c>
      <c r="Q41" s="8" t="s">
        <v>2088</v>
      </c>
      <c r="R41" s="8">
        <v>1400</v>
      </c>
      <c r="S41" s="8">
        <v>12.5</v>
      </c>
      <c r="T41" s="7" t="s">
        <v>763</v>
      </c>
      <c r="U41" t="s">
        <v>2300</v>
      </c>
      <c r="V41" s="3" t="s">
        <v>1560</v>
      </c>
      <c r="W41" s="7" t="s">
        <v>787</v>
      </c>
      <c r="X41" s="8" t="s">
        <v>1235</v>
      </c>
      <c r="Y41" s="8" t="s">
        <v>1995</v>
      </c>
      <c r="Z41" t="s">
        <v>1744</v>
      </c>
      <c r="AA41" s="3" t="s">
        <v>2165</v>
      </c>
      <c r="AB41" s="7" t="s">
        <v>787</v>
      </c>
      <c r="AC41" s="7" t="s">
        <v>763</v>
      </c>
      <c r="AD41" s="7" t="s">
        <v>763</v>
      </c>
      <c r="AE41" s="7" t="s">
        <v>763</v>
      </c>
      <c r="AF41" s="7" t="s">
        <v>763</v>
      </c>
      <c r="AG41" s="3" t="s">
        <v>768</v>
      </c>
      <c r="AH41" s="8">
        <v>22.33</v>
      </c>
      <c r="AI41" s="8">
        <v>23210000</v>
      </c>
      <c r="AJ41" s="43">
        <f t="shared" si="6"/>
        <v>84716500</v>
      </c>
      <c r="AK41" s="8">
        <f>AH41*3.65</f>
        <v>81.504499999999993</v>
      </c>
      <c r="AL41" s="7">
        <f t="shared" si="9"/>
        <v>47.51063829787234</v>
      </c>
      <c r="AM41" s="7">
        <f t="shared" si="9"/>
        <v>49382978.723404258</v>
      </c>
      <c r="AN41" s="3">
        <f>AH41/1.24</f>
        <v>18.008064516129032</v>
      </c>
      <c r="AO41" s="3">
        <f t="shared" si="8"/>
        <v>4.3219354838709672</v>
      </c>
      <c r="AP41" s="8">
        <v>11721.1</v>
      </c>
      <c r="AQ41" s="8">
        <v>11721.1</v>
      </c>
      <c r="AR41" s="8" t="s">
        <v>763</v>
      </c>
      <c r="AS41" s="8" t="s">
        <v>763</v>
      </c>
      <c r="AT41" s="8" t="s">
        <v>763</v>
      </c>
      <c r="AU41" s="8" t="s">
        <v>763</v>
      </c>
    </row>
    <row r="42" spans="1:47" x14ac:dyDescent="0.35">
      <c r="A42">
        <v>49</v>
      </c>
      <c r="B42" s="3">
        <v>40</v>
      </c>
      <c r="C42" t="s">
        <v>364</v>
      </c>
      <c r="D42" t="s">
        <v>366</v>
      </c>
      <c r="E42" s="7" t="s">
        <v>751</v>
      </c>
      <c r="F42" s="7">
        <v>2021</v>
      </c>
      <c r="G42" s="3">
        <v>2018</v>
      </c>
      <c r="H42" s="7" t="s">
        <v>753</v>
      </c>
      <c r="I42" s="7" t="s">
        <v>754</v>
      </c>
      <c r="J42" s="3">
        <v>5.55</v>
      </c>
      <c r="K42" s="3">
        <v>-0.2</v>
      </c>
      <c r="L42" s="8" t="s">
        <v>1326</v>
      </c>
      <c r="M42">
        <v>1665086</v>
      </c>
      <c r="N42">
        <v>9816</v>
      </c>
      <c r="O42" s="8" t="s">
        <v>2326</v>
      </c>
      <c r="P42" s="7" t="s">
        <v>1325</v>
      </c>
      <c r="Q42" s="7" t="s">
        <v>2090</v>
      </c>
      <c r="R42" s="7">
        <v>809</v>
      </c>
      <c r="S42" s="7">
        <v>26.6</v>
      </c>
      <c r="T42" s="7" t="s">
        <v>763</v>
      </c>
      <c r="U42" t="s">
        <v>2298</v>
      </c>
      <c r="V42" s="3" t="s">
        <v>2166</v>
      </c>
      <c r="W42" s="7" t="s">
        <v>787</v>
      </c>
      <c r="X42" s="3" t="s">
        <v>1031</v>
      </c>
      <c r="Y42" s="8" t="s">
        <v>1998</v>
      </c>
      <c r="Z42" s="7" t="s">
        <v>1032</v>
      </c>
      <c r="AA42" s="7" t="s">
        <v>766</v>
      </c>
      <c r="AB42" s="7" t="s">
        <v>787</v>
      </c>
      <c r="AC42" s="7">
        <v>8440</v>
      </c>
      <c r="AD42" s="7">
        <f>AC42/AQ42</f>
        <v>1.1070304302203569</v>
      </c>
      <c r="AE42" s="7">
        <f>AC42*3.65</f>
        <v>30806</v>
      </c>
      <c r="AF42" s="7">
        <f>AD42*3.65</f>
        <v>4.040661070304302</v>
      </c>
      <c r="AG42" s="7" t="s">
        <v>789</v>
      </c>
      <c r="AH42" s="7">
        <f>AI42/AQ42</f>
        <v>27.81741867785939</v>
      </c>
      <c r="AI42" s="7">
        <v>212080</v>
      </c>
      <c r="AJ42" s="43">
        <f t="shared" si="6"/>
        <v>774092</v>
      </c>
      <c r="AK42" s="8">
        <f>AH42*3.65</f>
        <v>101.53357817418677</v>
      </c>
      <c r="AL42" s="7">
        <f t="shared" si="9"/>
        <v>59.185997186934877</v>
      </c>
      <c r="AM42" s="7">
        <f t="shared" si="9"/>
        <v>451234.04255319154</v>
      </c>
      <c r="AN42" s="3">
        <f>AH42/1.24</f>
        <v>22.433402159564025</v>
      </c>
      <c r="AO42" s="3">
        <f t="shared" si="8"/>
        <v>5.3840165182953656</v>
      </c>
      <c r="AP42">
        <v>7624</v>
      </c>
      <c r="AQ42">
        <v>7624</v>
      </c>
      <c r="AR42" s="8">
        <v>10.5</v>
      </c>
      <c r="AS42" s="8" t="s">
        <v>763</v>
      </c>
      <c r="AT42" s="8">
        <v>1323.03</v>
      </c>
      <c r="AU42" s="8" t="s">
        <v>763</v>
      </c>
    </row>
    <row r="43" spans="1:47" x14ac:dyDescent="0.35">
      <c r="A43">
        <v>50</v>
      </c>
      <c r="B43" s="3">
        <v>41</v>
      </c>
      <c r="C43" t="s">
        <v>374</v>
      </c>
      <c r="D43" t="s">
        <v>376</v>
      </c>
      <c r="E43" s="7" t="s">
        <v>751</v>
      </c>
      <c r="F43" s="7">
        <v>2010</v>
      </c>
      <c r="G43" s="3">
        <v>2009</v>
      </c>
      <c r="H43" s="7" t="s">
        <v>753</v>
      </c>
      <c r="I43" s="7" t="s">
        <v>776</v>
      </c>
      <c r="J43" s="3">
        <v>-23.15</v>
      </c>
      <c r="K43" s="3">
        <v>-46.333333000000003</v>
      </c>
      <c r="L43" s="8" t="s">
        <v>1349</v>
      </c>
      <c r="M43" s="11">
        <v>18217</v>
      </c>
      <c r="N43">
        <v>55.84</v>
      </c>
      <c r="O43" s="8" t="s">
        <v>2325</v>
      </c>
      <c r="P43" s="7" t="s">
        <v>846</v>
      </c>
      <c r="Q43" s="3" t="s">
        <v>2094</v>
      </c>
      <c r="R43" s="3">
        <v>1421</v>
      </c>
      <c r="S43" s="3">
        <v>18.899999999999999</v>
      </c>
      <c r="T43" s="3" t="s">
        <v>763</v>
      </c>
      <c r="U43" t="s">
        <v>2300</v>
      </c>
      <c r="V43" s="3" t="s">
        <v>2167</v>
      </c>
      <c r="W43" s="3" t="s">
        <v>787</v>
      </c>
      <c r="X43" s="7" t="s">
        <v>1238</v>
      </c>
      <c r="Y43" s="7" t="s">
        <v>764</v>
      </c>
      <c r="Z43" t="s">
        <v>2031</v>
      </c>
      <c r="AA43" s="7" t="s">
        <v>766</v>
      </c>
      <c r="AB43" s="7" t="s">
        <v>787</v>
      </c>
      <c r="AC43" s="7" t="s">
        <v>763</v>
      </c>
      <c r="AD43" s="7" t="s">
        <v>763</v>
      </c>
      <c r="AE43" s="7" t="s">
        <v>763</v>
      </c>
      <c r="AF43" s="7" t="s">
        <v>763</v>
      </c>
      <c r="AG43" s="3" t="s">
        <v>768</v>
      </c>
      <c r="AH43" s="8">
        <v>68.27</v>
      </c>
      <c r="AI43" s="8">
        <v>380984</v>
      </c>
      <c r="AJ43" s="43">
        <f t="shared" si="6"/>
        <v>1390591.5999999999</v>
      </c>
      <c r="AK43" s="8">
        <f>AH43*3.65</f>
        <v>249.18549999999999</v>
      </c>
      <c r="AL43" s="46">
        <v>136.55000000000001</v>
      </c>
      <c r="AM43" s="7">
        <f>AL43*AQ43</f>
        <v>27077865.000000004</v>
      </c>
      <c r="AN43" s="46">
        <v>136.55000000000001</v>
      </c>
      <c r="AO43" s="7">
        <f t="shared" si="8"/>
        <v>32.771999999999998</v>
      </c>
      <c r="AP43" s="8">
        <v>198300</v>
      </c>
      <c r="AQ43" s="8">
        <v>198300</v>
      </c>
      <c r="AR43" s="8" t="s">
        <v>763</v>
      </c>
      <c r="AS43" s="8" t="s">
        <v>2281</v>
      </c>
      <c r="AT43" s="8">
        <v>447333.33</v>
      </c>
      <c r="AU43" s="8" t="s">
        <v>763</v>
      </c>
    </row>
    <row r="44" spans="1:47" x14ac:dyDescent="0.35">
      <c r="A44">
        <v>51</v>
      </c>
      <c r="B44" s="3">
        <v>42</v>
      </c>
      <c r="C44" s="8" t="s">
        <v>394</v>
      </c>
      <c r="D44" s="8" t="s">
        <v>396</v>
      </c>
      <c r="E44" s="7" t="s">
        <v>751</v>
      </c>
      <c r="F44" s="7">
        <v>2019</v>
      </c>
      <c r="G44" s="7" t="s">
        <v>1357</v>
      </c>
      <c r="H44" s="7" t="s">
        <v>753</v>
      </c>
      <c r="I44" s="7" t="s">
        <v>754</v>
      </c>
      <c r="J44" s="3">
        <v>23.2</v>
      </c>
      <c r="K44" s="3">
        <v>83.033332999999999</v>
      </c>
      <c r="L44" s="8" t="s">
        <v>1358</v>
      </c>
      <c r="M44" s="11">
        <v>121071</v>
      </c>
      <c r="N44" s="11">
        <v>3014</v>
      </c>
      <c r="O44" s="8" t="s">
        <v>2327</v>
      </c>
      <c r="P44" s="7" t="s">
        <v>756</v>
      </c>
      <c r="Q44" s="3" t="s">
        <v>2092</v>
      </c>
      <c r="R44" s="7">
        <v>1383</v>
      </c>
      <c r="S44" s="7">
        <v>23.9</v>
      </c>
      <c r="T44" s="7" t="s">
        <v>2078</v>
      </c>
      <c r="U44" t="s">
        <v>2300</v>
      </c>
      <c r="V44" s="3" t="s">
        <v>2166</v>
      </c>
      <c r="W44" s="7" t="s">
        <v>787</v>
      </c>
      <c r="X44" s="3" t="s">
        <v>1031</v>
      </c>
      <c r="Y44" s="7" t="s">
        <v>925</v>
      </c>
      <c r="Z44" s="8" t="s">
        <v>2033</v>
      </c>
      <c r="AA44" s="7" t="s">
        <v>1359</v>
      </c>
      <c r="AB44" s="7" t="s">
        <v>787</v>
      </c>
      <c r="AC44" s="7" t="s">
        <v>763</v>
      </c>
      <c r="AD44" s="7" t="s">
        <v>763</v>
      </c>
      <c r="AE44" s="7" t="s">
        <v>763</v>
      </c>
      <c r="AF44" s="7" t="s">
        <v>763</v>
      </c>
      <c r="AG44" s="7" t="s">
        <v>768</v>
      </c>
      <c r="AH44" s="8">
        <v>187.08</v>
      </c>
      <c r="AI44" s="8">
        <f>AH44*AQ44</f>
        <v>46.77</v>
      </c>
      <c r="AJ44" s="43">
        <f t="shared" si="6"/>
        <v>170.7105</v>
      </c>
      <c r="AK44" s="8">
        <v>686.58</v>
      </c>
      <c r="AL44" s="7">
        <v>0.45662999999999998</v>
      </c>
      <c r="AM44" s="7">
        <f>AL44*AQ44</f>
        <v>0.1141575</v>
      </c>
      <c r="AN44" s="7">
        <v>0.37075000000000002</v>
      </c>
      <c r="AO44" s="7">
        <v>8.5542999999999994E-2</v>
      </c>
      <c r="AP44" s="8">
        <v>0.25</v>
      </c>
      <c r="AQ44" s="8">
        <v>0.25</v>
      </c>
      <c r="AR44" s="8" t="s">
        <v>763</v>
      </c>
      <c r="AS44" t="s">
        <v>2282</v>
      </c>
      <c r="AT44" s="8">
        <v>43.082000000000001</v>
      </c>
      <c r="AU44" s="8" t="s">
        <v>763</v>
      </c>
    </row>
    <row r="45" spans="1:47" x14ac:dyDescent="0.35">
      <c r="A45">
        <v>52</v>
      </c>
      <c r="B45" s="3">
        <v>43</v>
      </c>
      <c r="C45" s="8" t="s">
        <v>399</v>
      </c>
      <c r="D45" s="8" t="s">
        <v>401</v>
      </c>
      <c r="E45" s="7" t="s">
        <v>751</v>
      </c>
      <c r="F45" s="7">
        <v>2023</v>
      </c>
      <c r="G45" s="7" t="s">
        <v>1902</v>
      </c>
      <c r="H45" s="7" t="s">
        <v>753</v>
      </c>
      <c r="I45" s="7" t="s">
        <v>754</v>
      </c>
      <c r="J45" s="3">
        <v>11.183332999999999</v>
      </c>
      <c r="K45" s="3">
        <v>-4.2833329999999998</v>
      </c>
      <c r="L45" s="30" t="s">
        <v>1374</v>
      </c>
      <c r="M45" s="11">
        <v>984603</v>
      </c>
      <c r="N45">
        <v>545.20000000000005</v>
      </c>
      <c r="O45" s="30" t="s">
        <v>2326</v>
      </c>
      <c r="P45" s="7" t="s">
        <v>1373</v>
      </c>
      <c r="Q45" s="3" t="s">
        <v>2095</v>
      </c>
      <c r="R45" s="7">
        <v>1000</v>
      </c>
      <c r="S45" s="7">
        <v>27.9</v>
      </c>
      <c r="T45" s="7" t="s">
        <v>881</v>
      </c>
      <c r="U45" t="s">
        <v>2298</v>
      </c>
      <c r="V45" s="3" t="s">
        <v>2118</v>
      </c>
      <c r="W45" s="7" t="s">
        <v>787</v>
      </c>
      <c r="X45" s="7" t="s">
        <v>865</v>
      </c>
      <c r="Y45" s="7" t="s">
        <v>764</v>
      </c>
      <c r="Z45" s="8" t="s">
        <v>2026</v>
      </c>
      <c r="AA45" s="7" t="s">
        <v>766</v>
      </c>
      <c r="AB45" s="7" t="s">
        <v>787</v>
      </c>
      <c r="AC45" s="7" t="s">
        <v>763</v>
      </c>
      <c r="AD45" s="7" t="s">
        <v>763</v>
      </c>
      <c r="AE45" s="7" t="s">
        <v>763</v>
      </c>
      <c r="AF45" s="7" t="s">
        <v>763</v>
      </c>
      <c r="AG45" s="7" t="s">
        <v>789</v>
      </c>
      <c r="AH45" s="7">
        <v>3.91</v>
      </c>
      <c r="AI45" s="8" t="e">
        <f>AH45*AQ45</f>
        <v>#VALUE!</v>
      </c>
      <c r="AJ45" s="43" t="e">
        <f t="shared" si="6"/>
        <v>#VALUE!</v>
      </c>
      <c r="AK45" s="7">
        <f>AH45*3.65</f>
        <v>14.2715</v>
      </c>
      <c r="AL45" s="4">
        <f>AN45+AO45</f>
        <v>9.6980399999999989</v>
      </c>
      <c r="AM45" s="4" t="e">
        <f>AL45*AQ45</f>
        <v>#VALUE!</v>
      </c>
      <c r="AN45" s="7">
        <v>7.8209999999999997</v>
      </c>
      <c r="AO45" s="4">
        <f>AN45*0.24</f>
        <v>1.8770399999999998</v>
      </c>
      <c r="AP45" s="35" t="s">
        <v>1389</v>
      </c>
      <c r="AQ45" s="35" t="s">
        <v>763</v>
      </c>
      <c r="AR45" s="8" t="s">
        <v>763</v>
      </c>
      <c r="AS45" s="8" t="s">
        <v>2283</v>
      </c>
      <c r="AT45" t="s">
        <v>763</v>
      </c>
      <c r="AU45" s="8" t="s">
        <v>763</v>
      </c>
    </row>
    <row r="46" spans="1:47" x14ac:dyDescent="0.35">
      <c r="A46">
        <v>54</v>
      </c>
      <c r="B46" s="3">
        <v>44</v>
      </c>
      <c r="C46" t="s">
        <v>414</v>
      </c>
      <c r="D46" t="s">
        <v>416</v>
      </c>
      <c r="E46" s="7" t="s">
        <v>873</v>
      </c>
      <c r="F46" s="7">
        <v>2018</v>
      </c>
      <c r="G46" s="27">
        <v>41913</v>
      </c>
      <c r="H46" s="7" t="s">
        <v>753</v>
      </c>
      <c r="I46" s="7" t="s">
        <v>754</v>
      </c>
      <c r="J46" s="3">
        <v>7.0998609999999998</v>
      </c>
      <c r="K46" s="3">
        <v>-73.111500000000007</v>
      </c>
      <c r="L46" s="30" t="s">
        <v>1384</v>
      </c>
      <c r="M46" s="11">
        <v>581130</v>
      </c>
      <c r="N46" s="11">
        <v>3800</v>
      </c>
      <c r="O46" s="30" t="s">
        <v>2325</v>
      </c>
      <c r="P46" s="7" t="s">
        <v>1213</v>
      </c>
      <c r="Q46" s="3" t="s">
        <v>2077</v>
      </c>
      <c r="R46" s="3">
        <v>4426</v>
      </c>
      <c r="S46" s="3">
        <v>19.7</v>
      </c>
      <c r="T46" s="7" t="s">
        <v>881</v>
      </c>
      <c r="U46" t="s">
        <v>2300</v>
      </c>
      <c r="V46" s="3" t="s">
        <v>2166</v>
      </c>
      <c r="W46" s="7" t="s">
        <v>762</v>
      </c>
      <c r="X46" s="3" t="s">
        <v>1031</v>
      </c>
      <c r="Y46" s="7" t="s">
        <v>1386</v>
      </c>
      <c r="Z46" s="7" t="s">
        <v>2026</v>
      </c>
      <c r="AA46" s="7" t="s">
        <v>766</v>
      </c>
      <c r="AB46" s="7" t="s">
        <v>762</v>
      </c>
      <c r="AC46" s="7" t="s">
        <v>763</v>
      </c>
      <c r="AD46" s="7" t="s">
        <v>763</v>
      </c>
      <c r="AE46" s="7" t="s">
        <v>763</v>
      </c>
      <c r="AF46" s="7" t="s">
        <v>763</v>
      </c>
      <c r="AG46" s="7" t="s">
        <v>768</v>
      </c>
      <c r="AH46" s="7" t="s">
        <v>763</v>
      </c>
      <c r="AI46" s="7">
        <f>AJ46/3.65</f>
        <v>38.484109589041097</v>
      </c>
      <c r="AJ46" s="7">
        <v>140.46700000000001</v>
      </c>
      <c r="AK46" s="7" t="s">
        <v>763</v>
      </c>
      <c r="AL46" s="7" t="s">
        <v>763</v>
      </c>
      <c r="AM46" s="7">
        <v>1139.5419999999999</v>
      </c>
      <c r="AN46" s="7" t="s">
        <v>763</v>
      </c>
      <c r="AO46" s="7" t="s">
        <v>763</v>
      </c>
      <c r="AP46" s="30" t="s">
        <v>2244</v>
      </c>
      <c r="AQ46" s="30">
        <f>177+104.59</f>
        <v>281.59000000000003</v>
      </c>
      <c r="AR46" s="8" t="s">
        <v>763</v>
      </c>
      <c r="AS46" s="8" t="s">
        <v>2284</v>
      </c>
      <c r="AT46" s="8" t="s">
        <v>763</v>
      </c>
      <c r="AU46" s="8" t="s">
        <v>763</v>
      </c>
    </row>
    <row r="47" spans="1:47" x14ac:dyDescent="0.35">
      <c r="A47">
        <v>55</v>
      </c>
      <c r="B47" s="3">
        <v>45</v>
      </c>
      <c r="C47" t="s">
        <v>434</v>
      </c>
      <c r="D47" t="s">
        <v>436</v>
      </c>
      <c r="E47" s="7" t="s">
        <v>751</v>
      </c>
      <c r="F47" s="7">
        <v>2019</v>
      </c>
      <c r="G47" s="3" t="s">
        <v>1903</v>
      </c>
      <c r="H47" s="7" t="s">
        <v>753</v>
      </c>
      <c r="I47" s="7" t="s">
        <v>754</v>
      </c>
      <c r="J47" s="3">
        <v>22.033332999999999</v>
      </c>
      <c r="K47" s="3">
        <v>96.458736000000002</v>
      </c>
      <c r="L47" s="19" t="s">
        <v>1395</v>
      </c>
      <c r="M47" s="11">
        <v>361096</v>
      </c>
      <c r="N47">
        <v>181.4</v>
      </c>
      <c r="O47" s="19" t="s">
        <v>2327</v>
      </c>
      <c r="P47" s="7" t="s">
        <v>1396</v>
      </c>
      <c r="Q47" s="3" t="s">
        <v>2095</v>
      </c>
      <c r="R47">
        <v>1450</v>
      </c>
      <c r="S47">
        <v>20.5</v>
      </c>
      <c r="T47" s="3" t="s">
        <v>1016</v>
      </c>
      <c r="U47" t="s">
        <v>2300</v>
      </c>
      <c r="V47" s="3" t="s">
        <v>2167</v>
      </c>
      <c r="W47" s="7" t="s">
        <v>787</v>
      </c>
      <c r="X47" s="7" t="s">
        <v>1235</v>
      </c>
      <c r="Y47" s="7" t="s">
        <v>764</v>
      </c>
      <c r="Z47" s="7" t="s">
        <v>2026</v>
      </c>
      <c r="AA47" s="3" t="s">
        <v>2165</v>
      </c>
      <c r="AB47" s="7" t="s">
        <v>787</v>
      </c>
      <c r="AC47" s="7" t="s">
        <v>763</v>
      </c>
      <c r="AD47" s="7" t="s">
        <v>763</v>
      </c>
      <c r="AE47" s="7" t="s">
        <v>763</v>
      </c>
      <c r="AF47" s="7" t="s">
        <v>763</v>
      </c>
      <c r="AG47" s="7" t="s">
        <v>768</v>
      </c>
      <c r="AH47" s="8">
        <f>((177.07*177)+(71.94*104.59))/(177+104.59)</f>
        <v>138.02192762527076</v>
      </c>
      <c r="AI47" s="8">
        <f>AH47*AQ47</f>
        <v>748868.36278525309</v>
      </c>
      <c r="AJ47" s="8">
        <f>AI47*3.65</f>
        <v>2733369.5241661738</v>
      </c>
      <c r="AK47" s="8">
        <f>AH47*3.65</f>
        <v>503.7800358322383</v>
      </c>
      <c r="AL47" s="33">
        <f>AH47/0.47</f>
        <v>293.66367579844842</v>
      </c>
      <c r="AM47" s="7">
        <v>1139.5419999999999</v>
      </c>
      <c r="AN47" s="33">
        <f>(((142.9*177.07)+( 71.94*104.59))/(177+104.59))/0.47</f>
        <v>248.04062946505138</v>
      </c>
      <c r="AO47" s="33">
        <f>(((34.17*177.07)+(13.71*104.59))/(177+104.59))/0.47</f>
        <v>56.551291941732089</v>
      </c>
      <c r="AP47" t="s">
        <v>2254</v>
      </c>
      <c r="AQ47">
        <f>((1988*5245.47)+(1998*4353)+(2008*6111.9)+(2018*5982.6))/(1988+1998+2008+2018)</f>
        <v>5425.7202146779828</v>
      </c>
      <c r="AR47" s="8" t="s">
        <v>763</v>
      </c>
      <c r="AS47" s="8" t="s">
        <v>763</v>
      </c>
      <c r="AT47" s="8" t="s">
        <v>763</v>
      </c>
      <c r="AU47" s="8" t="s">
        <v>763</v>
      </c>
    </row>
    <row r="48" spans="1:47" x14ac:dyDescent="0.35">
      <c r="A48">
        <v>57</v>
      </c>
      <c r="B48" s="3">
        <v>46</v>
      </c>
      <c r="C48" t="s">
        <v>457</v>
      </c>
      <c r="D48" t="s">
        <v>459</v>
      </c>
      <c r="E48" s="7" t="s">
        <v>751</v>
      </c>
      <c r="F48" s="7">
        <v>2021</v>
      </c>
      <c r="G48" s="33" t="s">
        <v>1414</v>
      </c>
      <c r="H48" s="7" t="s">
        <v>795</v>
      </c>
      <c r="I48" s="7" t="s">
        <v>754</v>
      </c>
      <c r="J48" s="3">
        <v>9.0875000000000004</v>
      </c>
      <c r="K48" s="3">
        <v>38.905833000000001</v>
      </c>
      <c r="L48" s="19" t="s">
        <v>1104</v>
      </c>
      <c r="M48" s="11">
        <v>3860000</v>
      </c>
      <c r="N48" s="11">
        <v>7324</v>
      </c>
      <c r="O48" s="19" t="s">
        <v>2326</v>
      </c>
      <c r="P48" s="7" t="s">
        <v>1102</v>
      </c>
      <c r="Q48" s="3" t="s">
        <v>2093</v>
      </c>
      <c r="R48">
        <v>1200</v>
      </c>
      <c r="S48">
        <v>16.5</v>
      </c>
      <c r="T48" s="3" t="s">
        <v>763</v>
      </c>
      <c r="U48" t="s">
        <v>2306</v>
      </c>
      <c r="V48" s="3" t="s">
        <v>2167</v>
      </c>
      <c r="W48" s="7" t="s">
        <v>787</v>
      </c>
      <c r="X48" s="7" t="s">
        <v>1235</v>
      </c>
      <c r="Y48" s="7" t="s">
        <v>1999</v>
      </c>
      <c r="Z48" t="s">
        <v>1744</v>
      </c>
      <c r="AA48" s="3" t="s">
        <v>2165</v>
      </c>
      <c r="AB48" s="7" t="s">
        <v>787</v>
      </c>
      <c r="AC48" s="7" t="s">
        <v>763</v>
      </c>
      <c r="AD48" s="7" t="s">
        <v>763</v>
      </c>
      <c r="AE48" s="7" t="s">
        <v>763</v>
      </c>
      <c r="AF48" s="7" t="s">
        <v>763</v>
      </c>
      <c r="AG48" s="7" t="s">
        <v>768</v>
      </c>
      <c r="AH48" s="8">
        <f>AI48/AQ48</f>
        <v>832.74404804291703</v>
      </c>
      <c r="AI48" s="8">
        <f>((1988*968310.07)+(1998*803563.8)+(2008*1128011.22)+(2018*1104781.17))/(1988+1998+2008+2018)</f>
        <v>1001624.5409860208</v>
      </c>
      <c r="AJ48" s="8">
        <f>AI48*3.65</f>
        <v>3655929.5745989759</v>
      </c>
      <c r="AK48" s="8">
        <f>AJ48/AQ48</f>
        <v>3039.5157753566473</v>
      </c>
      <c r="AL48" s="7">
        <f>AH48/0.47</f>
        <v>1771.7958468998236</v>
      </c>
      <c r="AM48" s="7">
        <f>AI48/0.47</f>
        <v>2131116.0446511083</v>
      </c>
      <c r="AN48" s="3">
        <f>AH48/1.24</f>
        <v>671.56778067977177</v>
      </c>
      <c r="AO48" s="3">
        <f>AN48*0.24</f>
        <v>161.17626736314523</v>
      </c>
      <c r="AP48" s="8" t="s">
        <v>2126</v>
      </c>
      <c r="AQ48" s="8">
        <f>1144+ 26.16+17.47+15.17</f>
        <v>1202.8000000000002</v>
      </c>
      <c r="AR48" s="33" t="s">
        <v>763</v>
      </c>
      <c r="AS48" s="8" t="s">
        <v>763</v>
      </c>
      <c r="AT48" s="8" t="s">
        <v>763</v>
      </c>
      <c r="AU48" s="8" t="s">
        <v>763</v>
      </c>
    </row>
    <row r="49" spans="1:47" s="3" customFormat="1" x14ac:dyDescent="0.35">
      <c r="A49">
        <v>60</v>
      </c>
      <c r="B49" s="3">
        <v>47</v>
      </c>
      <c r="C49" t="s">
        <v>466</v>
      </c>
      <c r="D49" t="s">
        <v>468</v>
      </c>
      <c r="E49" s="7" t="s">
        <v>751</v>
      </c>
      <c r="F49" s="7">
        <v>2016</v>
      </c>
      <c r="G49" s="3" t="s">
        <v>1904</v>
      </c>
      <c r="H49" s="7" t="s">
        <v>753</v>
      </c>
      <c r="I49" s="7" t="s">
        <v>776</v>
      </c>
      <c r="J49" s="3">
        <v>1.517139</v>
      </c>
      <c r="K49" s="3">
        <v>103.667556</v>
      </c>
      <c r="L49" s="19" t="s">
        <v>1778</v>
      </c>
      <c r="M49" s="11">
        <v>1711191</v>
      </c>
      <c r="N49" s="11">
        <v>1608</v>
      </c>
      <c r="O49" s="19" t="s">
        <v>2327</v>
      </c>
      <c r="P49" s="7" t="s">
        <v>799</v>
      </c>
      <c r="Q49" s="3" t="s">
        <v>2077</v>
      </c>
      <c r="R49" s="3">
        <v>2662</v>
      </c>
      <c r="S49" s="3">
        <v>26.3</v>
      </c>
      <c r="T49" s="7" t="s">
        <v>2078</v>
      </c>
      <c r="U49" t="s">
        <v>2300</v>
      </c>
      <c r="V49" s="3" t="s">
        <v>2167</v>
      </c>
      <c r="W49" s="7" t="s">
        <v>787</v>
      </c>
      <c r="X49" s="7" t="s">
        <v>1235</v>
      </c>
      <c r="Y49" s="7" t="s">
        <v>2000</v>
      </c>
      <c r="Z49" s="8" t="s">
        <v>2027</v>
      </c>
      <c r="AA49" s="7" t="s">
        <v>766</v>
      </c>
      <c r="AB49" s="7" t="s">
        <v>787</v>
      </c>
      <c r="AC49" s="7" t="s">
        <v>763</v>
      </c>
      <c r="AD49" s="7" t="s">
        <v>763</v>
      </c>
      <c r="AE49" s="7" t="s">
        <v>763</v>
      </c>
      <c r="AF49" s="7" t="s">
        <v>763</v>
      </c>
      <c r="AG49" s="7" t="s">
        <v>789</v>
      </c>
      <c r="AH49" s="8">
        <f>((161.7*1114)+(48.81*17.47)+(43.06*15.17)+(34.03*26.16))/(1144+26.16+17.47+15.17)</f>
        <v>151.75420327569003</v>
      </c>
      <c r="AI49" s="7">
        <f>AH49*AQ49</f>
        <v>2107.8658834993348</v>
      </c>
      <c r="AJ49" s="8">
        <f>AI49*3.65</f>
        <v>7693.7104747725716</v>
      </c>
      <c r="AK49" s="8">
        <f>AJ49/AQ49</f>
        <v>553.90284195626862</v>
      </c>
      <c r="AL49" s="33">
        <f>AN49+AO49</f>
        <v>88.442349669072144</v>
      </c>
      <c r="AM49" s="33">
        <f>AL49*AQ49</f>
        <v>1228.464236903412</v>
      </c>
      <c r="AN49" s="33">
        <f>AH49*0.47</f>
        <v>71.324475539574308</v>
      </c>
      <c r="AO49" s="33">
        <f>AN49*0.24</f>
        <v>17.117874129497835</v>
      </c>
      <c r="AP49" s="3" t="s">
        <v>1438</v>
      </c>
      <c r="AQ49" s="3">
        <v>13.89</v>
      </c>
      <c r="AR49" s="7" t="s">
        <v>763</v>
      </c>
      <c r="AS49" s="7" t="s">
        <v>763</v>
      </c>
      <c r="AT49" s="3">
        <f>765/AQ49</f>
        <v>55.0755939524838</v>
      </c>
      <c r="AU49" s="7" t="s">
        <v>763</v>
      </c>
    </row>
    <row r="50" spans="1:47" x14ac:dyDescent="0.35">
      <c r="A50" s="3">
        <v>63</v>
      </c>
      <c r="B50" s="3">
        <v>48</v>
      </c>
      <c r="C50" s="15" t="s">
        <v>476</v>
      </c>
      <c r="D50" s="3" t="s">
        <v>478</v>
      </c>
      <c r="E50" s="7" t="s">
        <v>751</v>
      </c>
      <c r="F50" s="7">
        <v>2023</v>
      </c>
      <c r="G50" s="3">
        <v>2021</v>
      </c>
      <c r="H50" s="7" t="s">
        <v>753</v>
      </c>
      <c r="I50" s="7" t="s">
        <v>754</v>
      </c>
      <c r="J50" s="3">
        <v>19.997499999999999</v>
      </c>
      <c r="K50" s="3">
        <v>73.789805999999999</v>
      </c>
      <c r="L50" s="33" t="s">
        <v>1431</v>
      </c>
      <c r="M50" s="11">
        <v>1486053</v>
      </c>
      <c r="N50" s="11">
        <v>5735</v>
      </c>
      <c r="O50" s="19" t="s">
        <v>2327</v>
      </c>
      <c r="P50" s="7" t="s">
        <v>756</v>
      </c>
      <c r="Q50" s="3" t="s">
        <v>2095</v>
      </c>
      <c r="R50" s="3">
        <v>1134</v>
      </c>
      <c r="S50" s="3">
        <v>24.1</v>
      </c>
      <c r="T50" s="3" t="s">
        <v>763</v>
      </c>
      <c r="U50" s="3" t="s">
        <v>2297</v>
      </c>
      <c r="V50" s="3" t="s">
        <v>1560</v>
      </c>
      <c r="W50" s="7" t="s">
        <v>787</v>
      </c>
      <c r="X50" s="3" t="s">
        <v>1031</v>
      </c>
      <c r="Y50" s="7" t="s">
        <v>764</v>
      </c>
      <c r="Z50" s="7" t="s">
        <v>2026</v>
      </c>
      <c r="AA50" s="7" t="s">
        <v>766</v>
      </c>
      <c r="AB50" s="7" t="s">
        <v>787</v>
      </c>
      <c r="AC50" s="7">
        <v>357.42</v>
      </c>
      <c r="AD50" s="7" t="e">
        <f>AC50/AQ50</f>
        <v>#VALUE!</v>
      </c>
      <c r="AE50" s="7">
        <f>AC50*3.65</f>
        <v>1304.5830000000001</v>
      </c>
      <c r="AF50" s="7" t="e">
        <f>AD50*3.65</f>
        <v>#VALUE!</v>
      </c>
      <c r="AG50" s="7" t="s">
        <v>768</v>
      </c>
      <c r="AH50" s="7" t="e">
        <f>AI50/AQ50</f>
        <v>#VALUE!</v>
      </c>
      <c r="AI50" s="7">
        <v>233.71</v>
      </c>
      <c r="AJ50" s="7">
        <f>AI50*3.65</f>
        <v>853.04150000000004</v>
      </c>
      <c r="AK50" s="7" t="e">
        <f>AJ50/AQ50</f>
        <v>#VALUE!</v>
      </c>
      <c r="AL50" s="7" t="e">
        <f>AM50/AQ50</f>
        <v>#VALUE!</v>
      </c>
      <c r="AM50" s="7">
        <v>467.42599999999999</v>
      </c>
      <c r="AN50" s="7">
        <v>431.47649999999999</v>
      </c>
      <c r="AO50" s="7">
        <v>35.950299999999999</v>
      </c>
      <c r="AP50" s="32" t="s">
        <v>763</v>
      </c>
      <c r="AQ50" s="32" t="s">
        <v>763</v>
      </c>
      <c r="AR50" s="8" t="s">
        <v>763</v>
      </c>
      <c r="AS50" s="8" t="s">
        <v>2287</v>
      </c>
      <c r="AT50" s="3" t="s">
        <v>763</v>
      </c>
      <c r="AU50" s="8" t="s">
        <v>763</v>
      </c>
    </row>
    <row r="51" spans="1:47" x14ac:dyDescent="0.35">
      <c r="A51">
        <v>64</v>
      </c>
      <c r="B51" s="3">
        <v>49</v>
      </c>
      <c r="C51" t="s">
        <v>481</v>
      </c>
      <c r="D51" t="s">
        <v>483</v>
      </c>
      <c r="E51" s="7" t="s">
        <v>751</v>
      </c>
      <c r="F51" s="7">
        <v>2022</v>
      </c>
      <c r="G51" s="3" t="s">
        <v>763</v>
      </c>
      <c r="H51" s="7" t="s">
        <v>753</v>
      </c>
      <c r="I51" s="7" t="s">
        <v>754</v>
      </c>
      <c r="J51" s="3">
        <v>11.016667</v>
      </c>
      <c r="K51" s="3">
        <v>76.966667000000001</v>
      </c>
      <c r="L51" s="33" t="s">
        <v>1441</v>
      </c>
      <c r="M51" s="11">
        <v>3458045</v>
      </c>
      <c r="N51">
        <v>730.8</v>
      </c>
      <c r="O51" s="19" t="s">
        <v>2327</v>
      </c>
      <c r="P51" s="7" t="s">
        <v>756</v>
      </c>
      <c r="Q51" s="3" t="s">
        <v>2095</v>
      </c>
      <c r="R51">
        <v>618</v>
      </c>
      <c r="S51">
        <v>29.5</v>
      </c>
      <c r="T51" s="3" t="s">
        <v>763</v>
      </c>
      <c r="U51" t="s">
        <v>2300</v>
      </c>
      <c r="V51" s="30" t="s">
        <v>2130</v>
      </c>
      <c r="W51" s="7" t="s">
        <v>787</v>
      </c>
      <c r="X51" s="3" t="s">
        <v>1031</v>
      </c>
      <c r="Y51" s="7" t="s">
        <v>2005</v>
      </c>
      <c r="Z51" s="7" t="s">
        <v>2027</v>
      </c>
      <c r="AA51" s="7" t="s">
        <v>766</v>
      </c>
      <c r="AB51" s="7" t="s">
        <v>787</v>
      </c>
      <c r="AC51" s="7">
        <v>8.0894899999999996</v>
      </c>
      <c r="AD51" s="7" t="s">
        <v>763</v>
      </c>
      <c r="AE51" s="7">
        <f>AC51*3.65</f>
        <v>29.526638499999997</v>
      </c>
      <c r="AF51" s="7" t="s">
        <v>763</v>
      </c>
      <c r="AG51" s="7" t="s">
        <v>768</v>
      </c>
      <c r="AH51" s="7" t="s">
        <v>763</v>
      </c>
      <c r="AI51" s="7">
        <v>81.273880000000005</v>
      </c>
      <c r="AJ51" s="7">
        <v>297.89400000000001</v>
      </c>
      <c r="AK51" s="7" t="s">
        <v>763</v>
      </c>
      <c r="AL51" s="7" t="s">
        <v>763</v>
      </c>
      <c r="AM51" s="7">
        <v>162.54776000000001</v>
      </c>
      <c r="AN51" s="35" t="s">
        <v>2240</v>
      </c>
      <c r="AO51" s="35" t="s">
        <v>2241</v>
      </c>
      <c r="AP51">
        <v>3184</v>
      </c>
      <c r="AQ51">
        <v>3184</v>
      </c>
      <c r="AR51" s="8" t="s">
        <v>763</v>
      </c>
      <c r="AS51" s="8" t="s">
        <v>2288</v>
      </c>
      <c r="AT51">
        <f>277/AQ51</f>
        <v>8.6997487437185925E-2</v>
      </c>
      <c r="AU51" s="8" t="s">
        <v>763</v>
      </c>
    </row>
    <row r="52" spans="1:47" x14ac:dyDescent="0.35">
      <c r="A52">
        <v>65</v>
      </c>
      <c r="B52" s="3">
        <v>50</v>
      </c>
      <c r="C52" t="s">
        <v>486</v>
      </c>
      <c r="D52" t="s">
        <v>488</v>
      </c>
      <c r="E52" s="7" t="s">
        <v>751</v>
      </c>
      <c r="F52" s="7">
        <v>2018</v>
      </c>
      <c r="G52" s="3" t="s">
        <v>1905</v>
      </c>
      <c r="H52" s="7" t="s">
        <v>753</v>
      </c>
      <c r="I52" s="7" t="s">
        <v>754</v>
      </c>
      <c r="J52" s="3">
        <v>4.6626940000000001</v>
      </c>
      <c r="K52" s="3">
        <v>9.3976749999999996</v>
      </c>
      <c r="L52" s="33" t="s">
        <v>1456</v>
      </c>
      <c r="M52" s="11">
        <v>144268</v>
      </c>
      <c r="N52" s="33"/>
      <c r="O52" s="33" t="s">
        <v>2326</v>
      </c>
      <c r="P52" s="7" t="s">
        <v>1457</v>
      </c>
      <c r="Q52" s="7" t="s">
        <v>2082</v>
      </c>
      <c r="R52">
        <v>3500</v>
      </c>
      <c r="S52">
        <v>29.5</v>
      </c>
      <c r="T52" s="7" t="s">
        <v>2078</v>
      </c>
      <c r="U52" t="s">
        <v>2300</v>
      </c>
      <c r="V52" s="3" t="s">
        <v>2167</v>
      </c>
      <c r="W52" s="7" t="s">
        <v>787</v>
      </c>
      <c r="X52" s="7" t="s">
        <v>865</v>
      </c>
      <c r="Y52" s="7" t="s">
        <v>764</v>
      </c>
      <c r="Z52" s="7" t="s">
        <v>2031</v>
      </c>
      <c r="AA52" s="7" t="s">
        <v>766</v>
      </c>
      <c r="AB52" s="7" t="s">
        <v>787</v>
      </c>
      <c r="AC52" s="7" t="s">
        <v>763</v>
      </c>
      <c r="AD52" s="7" t="s">
        <v>763</v>
      </c>
      <c r="AE52" s="7" t="s">
        <v>763</v>
      </c>
      <c r="AF52" s="7" t="s">
        <v>763</v>
      </c>
      <c r="AG52" s="7" t="s">
        <v>789</v>
      </c>
      <c r="AH52" s="7">
        <v>79.48</v>
      </c>
      <c r="AI52" s="7">
        <f>AH52*AQ52</f>
        <v>118107.28</v>
      </c>
      <c r="AJ52" s="7">
        <f>AI52*3.65</f>
        <v>431091.57199999999</v>
      </c>
      <c r="AK52" s="7">
        <f t="shared" ref="AK52:AK58" si="10">AH52*3.65</f>
        <v>290.10200000000003</v>
      </c>
      <c r="AL52" s="33">
        <f>AN52+AO52</f>
        <v>197.37079999999997</v>
      </c>
      <c r="AM52" s="33">
        <f>AL52*AQ52</f>
        <v>293293.00879999995</v>
      </c>
      <c r="AN52" s="7">
        <v>159.16999999999999</v>
      </c>
      <c r="AO52" s="33">
        <f t="shared" ref="AO52:AO58" si="11">AN52*0.24</f>
        <v>38.200799999999994</v>
      </c>
      <c r="AP52" s="8">
        <v>1486</v>
      </c>
      <c r="AQ52" s="8">
        <v>1486</v>
      </c>
      <c r="AR52" s="8">
        <v>47</v>
      </c>
      <c r="AS52" s="8" t="s">
        <v>2289</v>
      </c>
      <c r="AT52">
        <f>5000000/AQ52</f>
        <v>3364.7375504710631</v>
      </c>
      <c r="AU52" s="8" t="s">
        <v>763</v>
      </c>
    </row>
    <row r="53" spans="1:47" x14ac:dyDescent="0.35">
      <c r="A53">
        <v>66</v>
      </c>
      <c r="B53" s="3">
        <v>51</v>
      </c>
      <c r="C53" t="s">
        <v>516</v>
      </c>
      <c r="D53" t="s">
        <v>518</v>
      </c>
      <c r="E53" s="7" t="s">
        <v>751</v>
      </c>
      <c r="F53" s="7">
        <v>2021</v>
      </c>
      <c r="G53" s="3">
        <v>2017</v>
      </c>
      <c r="H53" s="7" t="s">
        <v>753</v>
      </c>
      <c r="I53" s="7" t="s">
        <v>754</v>
      </c>
      <c r="J53" s="3">
        <v>18.428277999999999</v>
      </c>
      <c r="K53" s="3">
        <v>-66.037861000000007</v>
      </c>
      <c r="L53" s="33" t="s">
        <v>1858</v>
      </c>
      <c r="M53" s="11">
        <v>342259</v>
      </c>
      <c r="N53" s="11">
        <v>1850</v>
      </c>
      <c r="O53" s="33" t="s">
        <v>2328</v>
      </c>
      <c r="P53" s="7" t="s">
        <v>1502</v>
      </c>
      <c r="Q53" s="8" t="s">
        <v>2082</v>
      </c>
      <c r="R53" s="3">
        <v>1431.3</v>
      </c>
      <c r="S53" s="3">
        <v>27.2</v>
      </c>
      <c r="T53" s="3" t="s">
        <v>763</v>
      </c>
      <c r="U53" t="s">
        <v>2303</v>
      </c>
      <c r="V53" s="3" t="s">
        <v>2167</v>
      </c>
      <c r="W53" s="7" t="s">
        <v>787</v>
      </c>
      <c r="X53" s="7" t="s">
        <v>865</v>
      </c>
      <c r="Y53" s="7" t="s">
        <v>764</v>
      </c>
      <c r="Z53" s="7" t="s">
        <v>2031</v>
      </c>
      <c r="AA53" s="7" t="s">
        <v>766</v>
      </c>
      <c r="AB53" s="7" t="s">
        <v>787</v>
      </c>
      <c r="AC53" s="7">
        <f>AD53*AQ53</f>
        <v>130</v>
      </c>
      <c r="AD53" s="7">
        <v>5.2</v>
      </c>
      <c r="AE53" s="7">
        <f>AC53*3.65</f>
        <v>474.5</v>
      </c>
      <c r="AF53" s="7">
        <f>AD53*3.65</f>
        <v>18.98</v>
      </c>
      <c r="AG53" s="7" t="s">
        <v>789</v>
      </c>
      <c r="AH53" s="7">
        <v>90.1</v>
      </c>
      <c r="AI53" s="7">
        <v>208308</v>
      </c>
      <c r="AJ53" s="7">
        <f>AI53*3.65</f>
        <v>760324.2</v>
      </c>
      <c r="AK53" s="7">
        <f t="shared" si="10"/>
        <v>328.86499999999995</v>
      </c>
      <c r="AL53" s="33">
        <f>AN53+AO53</f>
        <v>237.71063829787235</v>
      </c>
      <c r="AM53" s="33">
        <f>AL53*AQ53</f>
        <v>5942.7659574468089</v>
      </c>
      <c r="AN53" s="33">
        <f>AH53/0.47</f>
        <v>191.70212765957447</v>
      </c>
      <c r="AO53" s="33">
        <f t="shared" si="11"/>
        <v>46.008510638297871</v>
      </c>
      <c r="AP53" t="s">
        <v>1518</v>
      </c>
      <c r="AQ53">
        <v>25</v>
      </c>
      <c r="AR53" s="8" t="s">
        <v>763</v>
      </c>
      <c r="AS53" s="8" t="s">
        <v>2021</v>
      </c>
      <c r="AT53" t="s">
        <v>763</v>
      </c>
      <c r="AU53" s="8" t="s">
        <v>763</v>
      </c>
    </row>
    <row r="54" spans="1:47" x14ac:dyDescent="0.35">
      <c r="A54">
        <v>67</v>
      </c>
      <c r="B54" s="3">
        <v>52</v>
      </c>
      <c r="C54" t="s">
        <v>521</v>
      </c>
      <c r="D54" t="s">
        <v>523</v>
      </c>
      <c r="E54" s="7" t="s">
        <v>751</v>
      </c>
      <c r="F54" s="7">
        <v>2014</v>
      </c>
      <c r="G54" s="3">
        <v>2010</v>
      </c>
      <c r="H54" s="7" t="s">
        <v>753</v>
      </c>
      <c r="I54" s="7" t="s">
        <v>754</v>
      </c>
      <c r="J54" s="3">
        <v>1.5100750000000001</v>
      </c>
      <c r="K54" s="3">
        <v>103.632458</v>
      </c>
      <c r="L54" s="33" t="s">
        <v>1778</v>
      </c>
      <c r="M54" s="11">
        <v>1711191</v>
      </c>
      <c r="N54" s="11">
        <v>1608</v>
      </c>
      <c r="O54" s="33" t="s">
        <v>2327</v>
      </c>
      <c r="P54" s="8" t="s">
        <v>799</v>
      </c>
      <c r="Q54" s="3" t="s">
        <v>2077</v>
      </c>
      <c r="R54" s="3">
        <v>2662</v>
      </c>
      <c r="S54" s="3">
        <v>28</v>
      </c>
      <c r="T54" s="3" t="s">
        <v>763</v>
      </c>
      <c r="U54" t="s">
        <v>2300</v>
      </c>
      <c r="V54" s="3" t="s">
        <v>2167</v>
      </c>
      <c r="W54" s="7" t="s">
        <v>762</v>
      </c>
      <c r="X54" s="3" t="s">
        <v>1031</v>
      </c>
      <c r="Y54" s="7" t="s">
        <v>2002</v>
      </c>
      <c r="Z54" t="s">
        <v>2031</v>
      </c>
      <c r="AA54" s="7" t="s">
        <v>766</v>
      </c>
      <c r="AB54" s="7" t="s">
        <v>787</v>
      </c>
      <c r="AC54" s="7" t="s">
        <v>763</v>
      </c>
      <c r="AD54" s="7" t="s">
        <v>763</v>
      </c>
      <c r="AE54" s="7" t="s">
        <v>763</v>
      </c>
      <c r="AF54" s="7" t="s">
        <v>763</v>
      </c>
      <c r="AG54" s="7" t="s">
        <v>789</v>
      </c>
      <c r="AH54" s="7">
        <v>70</v>
      </c>
      <c r="AI54" s="7">
        <f>AH54*AQ54</f>
        <v>8792000</v>
      </c>
      <c r="AJ54" s="7">
        <f>AI54*3.65</f>
        <v>32090800</v>
      </c>
      <c r="AK54" s="7">
        <f t="shared" si="10"/>
        <v>255.5</v>
      </c>
      <c r="AL54" s="7">
        <f>AH54/0.47</f>
        <v>148.93617021276597</v>
      </c>
      <c r="AM54" s="7">
        <f>AI54/0.47</f>
        <v>18706382.978723407</v>
      </c>
      <c r="AN54" s="3">
        <f>AH54/1.24</f>
        <v>56.451612903225808</v>
      </c>
      <c r="AO54" s="3">
        <f t="shared" si="11"/>
        <v>13.548387096774194</v>
      </c>
      <c r="AP54" t="s">
        <v>2199</v>
      </c>
      <c r="AQ54">
        <v>125600</v>
      </c>
      <c r="AR54" s="8" t="s">
        <v>763</v>
      </c>
      <c r="AS54" s="8" t="s">
        <v>763</v>
      </c>
      <c r="AT54" s="8" t="s">
        <v>763</v>
      </c>
      <c r="AU54" s="8">
        <f>AQ54*0.455</f>
        <v>57148</v>
      </c>
    </row>
    <row r="55" spans="1:47" x14ac:dyDescent="0.35">
      <c r="A55">
        <v>68</v>
      </c>
      <c r="B55" s="3">
        <v>53</v>
      </c>
      <c r="C55" t="s">
        <v>535</v>
      </c>
      <c r="D55" t="s">
        <v>537</v>
      </c>
      <c r="E55" s="7" t="s">
        <v>751</v>
      </c>
      <c r="F55" s="7">
        <v>2025</v>
      </c>
      <c r="G55" s="4" t="s">
        <v>1534</v>
      </c>
      <c r="H55" s="7" t="s">
        <v>795</v>
      </c>
      <c r="I55" s="7" t="s">
        <v>754</v>
      </c>
      <c r="J55" s="3">
        <v>22.410833</v>
      </c>
      <c r="K55" s="3">
        <v>88.188610999999995</v>
      </c>
      <c r="L55" s="19" t="s">
        <v>1538</v>
      </c>
      <c r="M55" s="11">
        <v>4496694</v>
      </c>
      <c r="N55" s="11">
        <v>24306</v>
      </c>
      <c r="O55" s="19" t="s">
        <v>2327</v>
      </c>
      <c r="P55" s="8" t="s">
        <v>756</v>
      </c>
      <c r="Q55" s="3" t="s">
        <v>2095</v>
      </c>
      <c r="R55" s="3">
        <v>1656</v>
      </c>
      <c r="S55" s="3">
        <v>26</v>
      </c>
      <c r="T55" s="3" t="s">
        <v>1016</v>
      </c>
      <c r="U55" t="s">
        <v>2300</v>
      </c>
      <c r="V55" s="3" t="s">
        <v>2167</v>
      </c>
      <c r="W55" s="7" t="s">
        <v>762</v>
      </c>
      <c r="X55" s="7" t="s">
        <v>1235</v>
      </c>
      <c r="Y55" s="7" t="s">
        <v>1541</v>
      </c>
      <c r="Z55" t="s">
        <v>1744</v>
      </c>
      <c r="AA55" s="3" t="s">
        <v>2165</v>
      </c>
      <c r="AB55" s="7" t="s">
        <v>762</v>
      </c>
      <c r="AC55" s="7" t="e">
        <f>AD55*AQ55</f>
        <v>#VALUE!</v>
      </c>
      <c r="AD55" s="7">
        <f>AF55/3.65</f>
        <v>6.1273972602739722E-2</v>
      </c>
      <c r="AE55" s="7" t="e">
        <f>AF55*AQ55</f>
        <v>#VALUE!</v>
      </c>
      <c r="AF55" s="7">
        <v>0.22364999999999999</v>
      </c>
      <c r="AG55" s="7" t="s">
        <v>768</v>
      </c>
      <c r="AH55" s="7" t="e">
        <f>AI55/AQ55</f>
        <v>#VALUE!</v>
      </c>
      <c r="AI55" s="7">
        <f>((1992*6039109)+(2022*4007357))/(1992+2022)</f>
        <v>5015640.5037369207</v>
      </c>
      <c r="AJ55" s="7">
        <f>AI55*3.65</f>
        <v>18307087.838639759</v>
      </c>
      <c r="AK55" s="7" t="e">
        <f t="shared" si="10"/>
        <v>#VALUE!</v>
      </c>
      <c r="AL55" s="7" t="e">
        <f>AH55/0.47</f>
        <v>#VALUE!</v>
      </c>
      <c r="AM55" s="7">
        <f>AI55/0.47</f>
        <v>10671575.53986579</v>
      </c>
      <c r="AN55" s="3" t="e">
        <f>AH55/1.24</f>
        <v>#VALUE!</v>
      </c>
      <c r="AO55" s="3" t="e">
        <f t="shared" si="11"/>
        <v>#VALUE!</v>
      </c>
      <c r="AP55" t="s">
        <v>763</v>
      </c>
      <c r="AQ55" t="s">
        <v>763</v>
      </c>
      <c r="AR55" s="8" t="s">
        <v>763</v>
      </c>
      <c r="AS55" s="8" t="s">
        <v>2293</v>
      </c>
      <c r="AT55" s="8">
        <v>1450</v>
      </c>
      <c r="AU55" s="8" t="s">
        <v>763</v>
      </c>
    </row>
    <row r="56" spans="1:47" x14ac:dyDescent="0.35">
      <c r="A56">
        <v>69</v>
      </c>
      <c r="B56" s="3">
        <v>54</v>
      </c>
      <c r="C56" t="s">
        <v>544</v>
      </c>
      <c r="D56" t="s">
        <v>546</v>
      </c>
      <c r="E56" s="7" t="s">
        <v>751</v>
      </c>
      <c r="F56" s="7">
        <v>2014</v>
      </c>
      <c r="G56" s="3" t="s">
        <v>763</v>
      </c>
      <c r="H56" s="7" t="s">
        <v>753</v>
      </c>
      <c r="I56" s="7" t="s">
        <v>754</v>
      </c>
      <c r="J56" s="3">
        <v>22.866667</v>
      </c>
      <c r="K56" s="3">
        <v>113.841667</v>
      </c>
      <c r="L56" s="19" t="s">
        <v>1550</v>
      </c>
      <c r="M56" s="11">
        <v>10466625</v>
      </c>
      <c r="N56" s="11">
        <v>4246</v>
      </c>
      <c r="O56" s="19" t="s">
        <v>2327</v>
      </c>
      <c r="P56" s="8" t="s">
        <v>1546</v>
      </c>
      <c r="Q56" s="3" t="s">
        <v>2092</v>
      </c>
      <c r="R56" s="3">
        <v>1956</v>
      </c>
      <c r="S56" s="3">
        <v>20.3</v>
      </c>
      <c r="T56" s="3" t="s">
        <v>763</v>
      </c>
      <c r="U56" t="s">
        <v>2300</v>
      </c>
      <c r="V56" s="30" t="s">
        <v>2130</v>
      </c>
      <c r="W56" s="7" t="s">
        <v>787</v>
      </c>
      <c r="X56" s="30" t="s">
        <v>1031</v>
      </c>
      <c r="Y56" s="7" t="s">
        <v>764</v>
      </c>
      <c r="Z56" s="7" t="s">
        <v>2026</v>
      </c>
      <c r="AA56" s="7" t="s">
        <v>766</v>
      </c>
      <c r="AB56" s="7" t="s">
        <v>787</v>
      </c>
      <c r="AC56" s="7" t="s">
        <v>763</v>
      </c>
      <c r="AD56" s="7" t="s">
        <v>763</v>
      </c>
      <c r="AE56" s="7" t="s">
        <v>763</v>
      </c>
      <c r="AF56" s="7" t="s">
        <v>763</v>
      </c>
      <c r="AG56" s="7" t="s">
        <v>789</v>
      </c>
      <c r="AH56" s="7">
        <v>125</v>
      </c>
      <c r="AI56" s="7" t="s">
        <v>763</v>
      </c>
      <c r="AJ56" s="7" t="s">
        <v>763</v>
      </c>
      <c r="AK56" s="7">
        <f t="shared" si="10"/>
        <v>456.25</v>
      </c>
      <c r="AL56" s="33">
        <f>AN56+AO56</f>
        <v>310</v>
      </c>
      <c r="AM56" s="33" t="s">
        <v>763</v>
      </c>
      <c r="AN56" s="7">
        <v>250</v>
      </c>
      <c r="AO56" s="33">
        <f t="shared" si="11"/>
        <v>60</v>
      </c>
      <c r="AP56">
        <v>4.7</v>
      </c>
      <c r="AQ56">
        <v>4.7</v>
      </c>
      <c r="AR56" s="8" t="s">
        <v>763</v>
      </c>
      <c r="AS56" s="8" t="s">
        <v>1569</v>
      </c>
      <c r="AT56">
        <f>3757/AQ56</f>
        <v>799.36170212765956</v>
      </c>
      <c r="AU56" s="8" t="s">
        <v>763</v>
      </c>
    </row>
    <row r="57" spans="1:47" x14ac:dyDescent="0.35">
      <c r="A57">
        <v>73</v>
      </c>
      <c r="B57" s="3">
        <v>56</v>
      </c>
      <c r="C57" t="s">
        <v>549</v>
      </c>
      <c r="D57" t="s">
        <v>551</v>
      </c>
      <c r="E57" s="7" t="s">
        <v>751</v>
      </c>
      <c r="F57" s="7">
        <v>2022</v>
      </c>
      <c r="G57" s="3">
        <v>2018</v>
      </c>
      <c r="H57" s="7" t="s">
        <v>753</v>
      </c>
      <c r="I57" s="7" t="s">
        <v>754</v>
      </c>
      <c r="J57" s="3">
        <v>13.7525</v>
      </c>
      <c r="K57" s="3">
        <v>100.494167</v>
      </c>
      <c r="L57" s="19" t="s">
        <v>1572</v>
      </c>
      <c r="M57" s="11">
        <v>9034000</v>
      </c>
      <c r="N57" s="56">
        <v>5294.2070000000003</v>
      </c>
      <c r="O57" s="19" t="s">
        <v>2327</v>
      </c>
      <c r="P57" s="8" t="s">
        <v>1068</v>
      </c>
      <c r="Q57" s="3" t="s">
        <v>2095</v>
      </c>
      <c r="R57" s="3">
        <v>1207</v>
      </c>
      <c r="S57" s="3">
        <v>27.7</v>
      </c>
      <c r="T57" s="3" t="s">
        <v>763</v>
      </c>
      <c r="U57" t="s">
        <v>2303</v>
      </c>
      <c r="V57" t="s">
        <v>1560</v>
      </c>
      <c r="W57" s="7" t="s">
        <v>787</v>
      </c>
      <c r="X57" s="7" t="s">
        <v>1235</v>
      </c>
      <c r="Y57" s="7" t="s">
        <v>764</v>
      </c>
      <c r="Z57" s="7" t="s">
        <v>2026</v>
      </c>
      <c r="AA57" s="7" t="s">
        <v>766</v>
      </c>
      <c r="AB57" s="7" t="s">
        <v>787</v>
      </c>
      <c r="AC57" s="7" t="s">
        <v>763</v>
      </c>
      <c r="AD57" s="7" t="s">
        <v>763</v>
      </c>
      <c r="AE57" s="7" t="s">
        <v>763</v>
      </c>
      <c r="AF57" s="7" t="s">
        <v>763</v>
      </c>
      <c r="AG57" s="7" t="s">
        <v>768</v>
      </c>
      <c r="AH57" s="7">
        <v>17.75</v>
      </c>
      <c r="AI57" s="7">
        <f>AH57*AQ57</f>
        <v>9940000</v>
      </c>
      <c r="AJ57" s="7">
        <f>AI57*3.65</f>
        <v>36281000</v>
      </c>
      <c r="AK57" s="7">
        <f t="shared" si="10"/>
        <v>64.787499999999994</v>
      </c>
      <c r="AL57" s="7">
        <v>6242.19</v>
      </c>
      <c r="AM57" s="7">
        <f>AL57*AQ57</f>
        <v>3495626400</v>
      </c>
      <c r="AN57" s="7">
        <f>AL57/1.24</f>
        <v>5034.0241935483864</v>
      </c>
      <c r="AO57" s="7">
        <f t="shared" si="11"/>
        <v>1208.1658064516128</v>
      </c>
      <c r="AP57" t="s">
        <v>2200</v>
      </c>
      <c r="AQ57">
        <v>560000</v>
      </c>
      <c r="AR57" s="8" t="s">
        <v>763</v>
      </c>
      <c r="AS57" s="8" t="s">
        <v>1570</v>
      </c>
      <c r="AT57" s="11">
        <f>7633/AQ57</f>
        <v>1.3630357142857144E-2</v>
      </c>
      <c r="AU57" s="8" t="s">
        <v>763</v>
      </c>
    </row>
    <row r="58" spans="1:47" x14ac:dyDescent="0.35">
      <c r="A58">
        <v>72</v>
      </c>
      <c r="B58" s="3">
        <v>55</v>
      </c>
      <c r="C58" t="s">
        <v>554</v>
      </c>
      <c r="D58" t="s">
        <v>556</v>
      </c>
      <c r="E58" s="7" t="s">
        <v>751</v>
      </c>
      <c r="F58" s="7">
        <v>2018</v>
      </c>
      <c r="G58" s="3">
        <v>2014</v>
      </c>
      <c r="H58" s="7" t="s">
        <v>753</v>
      </c>
      <c r="I58" s="7" t="s">
        <v>754</v>
      </c>
      <c r="J58" s="3">
        <v>6.6833330000000002</v>
      </c>
      <c r="K58" s="3">
        <v>-1.6166670000000001</v>
      </c>
      <c r="L58" s="19" t="s">
        <v>1554</v>
      </c>
      <c r="M58" s="33">
        <v>2500000</v>
      </c>
      <c r="N58" s="54">
        <v>8000</v>
      </c>
      <c r="O58" s="19" t="s">
        <v>2326</v>
      </c>
      <c r="P58" s="8" t="s">
        <v>1325</v>
      </c>
      <c r="Q58" s="3" t="s">
        <v>2095</v>
      </c>
      <c r="R58" s="8">
        <v>1250</v>
      </c>
      <c r="S58" s="28">
        <v>26.4</v>
      </c>
      <c r="T58" s="3" t="s">
        <v>763</v>
      </c>
      <c r="U58" t="s">
        <v>2300</v>
      </c>
      <c r="V58" t="s">
        <v>1560</v>
      </c>
      <c r="W58" s="7" t="s">
        <v>787</v>
      </c>
      <c r="X58" s="7" t="s">
        <v>1235</v>
      </c>
      <c r="Y58" s="7" t="s">
        <v>764</v>
      </c>
      <c r="Z58" s="7" t="s">
        <v>2026</v>
      </c>
      <c r="AA58" s="7" t="s">
        <v>766</v>
      </c>
      <c r="AB58" s="7" t="s">
        <v>787</v>
      </c>
      <c r="AC58" s="7" t="s">
        <v>763</v>
      </c>
      <c r="AD58" s="7" t="s">
        <v>763</v>
      </c>
      <c r="AE58" s="7" t="s">
        <v>763</v>
      </c>
      <c r="AF58" s="7" t="s">
        <v>763</v>
      </c>
      <c r="AG58" s="7" t="s">
        <v>789</v>
      </c>
      <c r="AH58" s="7">
        <v>228</v>
      </c>
      <c r="AI58" s="7">
        <v>1200000</v>
      </c>
      <c r="AJ58" s="7">
        <f>AI58*3.65</f>
        <v>4380000</v>
      </c>
      <c r="AK58" s="7">
        <f t="shared" si="10"/>
        <v>832.19999999999993</v>
      </c>
      <c r="AL58" s="33" t="e">
        <f>AN58+AO58</f>
        <v>#VALUE!</v>
      </c>
      <c r="AM58" s="33" t="e">
        <f>AL58*AQ58</f>
        <v>#VALUE!</v>
      </c>
      <c r="AN58" s="7" t="e">
        <f>2530000/AQ58</f>
        <v>#VALUE!</v>
      </c>
      <c r="AO58" s="33" t="e">
        <f t="shared" si="11"/>
        <v>#VALUE!</v>
      </c>
      <c r="AP58" s="32" t="s">
        <v>763</v>
      </c>
      <c r="AQ58" s="32" t="s">
        <v>763</v>
      </c>
      <c r="AR58" s="8" t="s">
        <v>763</v>
      </c>
      <c r="AS58" t="s">
        <v>1571</v>
      </c>
      <c r="AT58" t="s">
        <v>763</v>
      </c>
      <c r="AU58" s="8" t="s">
        <v>763</v>
      </c>
    </row>
    <row r="59" spans="1:47" x14ac:dyDescent="0.35">
      <c r="A59">
        <v>74</v>
      </c>
      <c r="B59" s="3">
        <v>57</v>
      </c>
      <c r="C59" t="s">
        <v>564</v>
      </c>
      <c r="D59" t="s">
        <v>566</v>
      </c>
      <c r="E59" s="7" t="s">
        <v>751</v>
      </c>
      <c r="F59" s="7">
        <v>2022</v>
      </c>
      <c r="G59" s="3" t="s">
        <v>1907</v>
      </c>
      <c r="H59" s="7" t="s">
        <v>753</v>
      </c>
      <c r="I59" s="7" t="s">
        <v>776</v>
      </c>
      <c r="J59" s="3">
        <v>-5.1166669999999996</v>
      </c>
      <c r="K59" s="3">
        <v>105.3</v>
      </c>
      <c r="L59" s="19" t="s">
        <v>2087</v>
      </c>
      <c r="M59" s="11">
        <v>142733</v>
      </c>
      <c r="N59" s="11">
        <v>1925</v>
      </c>
      <c r="O59" s="19" t="s">
        <v>2327</v>
      </c>
      <c r="P59" s="8" t="s">
        <v>832</v>
      </c>
      <c r="Q59" s="3" t="s">
        <v>2077</v>
      </c>
      <c r="R59" s="3">
        <v>2052</v>
      </c>
      <c r="S59" s="3">
        <v>25.9</v>
      </c>
      <c r="T59" s="3" t="s">
        <v>759</v>
      </c>
      <c r="U59" t="s">
        <v>2300</v>
      </c>
      <c r="V59" s="3" t="s">
        <v>2166</v>
      </c>
      <c r="W59" s="7" t="s">
        <v>762</v>
      </c>
      <c r="X59" s="3" t="s">
        <v>1031</v>
      </c>
      <c r="Y59" s="7" t="s">
        <v>764</v>
      </c>
      <c r="Z59" s="7" t="s">
        <v>2031</v>
      </c>
      <c r="AA59" s="7" t="s">
        <v>766</v>
      </c>
      <c r="AB59" s="7" t="s">
        <v>762</v>
      </c>
      <c r="AC59" s="7">
        <f>AE59/3.65</f>
        <v>15.731506849315069</v>
      </c>
      <c r="AD59" s="7" t="s">
        <v>763</v>
      </c>
      <c r="AE59" s="7">
        <v>57.42</v>
      </c>
      <c r="AF59" s="7" t="s">
        <v>763</v>
      </c>
      <c r="AG59" s="7" t="s">
        <v>789</v>
      </c>
      <c r="AH59" s="7" t="s">
        <v>763</v>
      </c>
      <c r="AI59" s="7">
        <v>15.65</v>
      </c>
      <c r="AJ59" s="7">
        <v>57.42</v>
      </c>
      <c r="AK59" s="7" t="s">
        <v>763</v>
      </c>
      <c r="AL59" s="33" t="s">
        <v>763</v>
      </c>
      <c r="AM59" s="33">
        <f>(34.02)+(34.02*0.24)</f>
        <v>42.184800000000003</v>
      </c>
      <c r="AN59" s="31" t="s">
        <v>2235</v>
      </c>
      <c r="AO59" s="33"/>
      <c r="AP59" s="8" t="s">
        <v>1600</v>
      </c>
      <c r="AQ59" s="8">
        <f>350+8500</f>
        <v>8850</v>
      </c>
      <c r="AR59" s="8" t="s">
        <v>763</v>
      </c>
      <c r="AS59" s="8" t="s">
        <v>2290</v>
      </c>
      <c r="AT59">
        <f>2993/AQ59</f>
        <v>0.3381920903954802</v>
      </c>
      <c r="AU59" s="8" t="s">
        <v>763</v>
      </c>
    </row>
    <row r="60" spans="1:47" x14ac:dyDescent="0.35">
      <c r="A60">
        <v>75</v>
      </c>
      <c r="B60" s="3">
        <v>58</v>
      </c>
      <c r="C60" t="s">
        <v>578</v>
      </c>
      <c r="D60" t="s">
        <v>580</v>
      </c>
      <c r="E60" s="7" t="s">
        <v>751</v>
      </c>
      <c r="F60" s="7">
        <v>2024</v>
      </c>
      <c r="G60" s="3" t="s">
        <v>763</v>
      </c>
      <c r="H60" s="7" t="s">
        <v>753</v>
      </c>
      <c r="I60" s="7" t="s">
        <v>754</v>
      </c>
      <c r="J60" s="3">
        <v>11.183332999999999</v>
      </c>
      <c r="K60" s="3">
        <v>-4.2833329999999998</v>
      </c>
      <c r="L60" s="19" t="s">
        <v>1374</v>
      </c>
      <c r="M60" s="11">
        <v>984603</v>
      </c>
      <c r="N60">
        <v>545.20000000000005</v>
      </c>
      <c r="O60" s="19" t="s">
        <v>2326</v>
      </c>
      <c r="P60" s="8" t="s">
        <v>1373</v>
      </c>
      <c r="Q60" s="3" t="s">
        <v>2095</v>
      </c>
      <c r="R60" s="8">
        <v>1000</v>
      </c>
      <c r="S60" s="8">
        <v>22.5</v>
      </c>
      <c r="T60" s="3" t="s">
        <v>763</v>
      </c>
      <c r="U60" t="s">
        <v>2298</v>
      </c>
      <c r="V60" s="3" t="s">
        <v>2167</v>
      </c>
      <c r="W60" s="7" t="s">
        <v>787</v>
      </c>
      <c r="X60" s="7" t="s">
        <v>865</v>
      </c>
      <c r="Y60" s="7" t="s">
        <v>764</v>
      </c>
      <c r="Z60" s="7" t="s">
        <v>2026</v>
      </c>
      <c r="AA60" s="7" t="s">
        <v>766</v>
      </c>
      <c r="AB60" s="7" t="s">
        <v>787</v>
      </c>
      <c r="AC60" s="7" t="s">
        <v>763</v>
      </c>
      <c r="AD60" s="7" t="s">
        <v>763</v>
      </c>
      <c r="AE60" s="7" t="s">
        <v>763</v>
      </c>
      <c r="AF60" s="7" t="s">
        <v>763</v>
      </c>
      <c r="AG60" s="7" t="s">
        <v>789</v>
      </c>
      <c r="AH60" s="7">
        <f>((26.21*350)+(13.39*8500))/(350+8500)</f>
        <v>13.897005649717514</v>
      </c>
      <c r="AI60" s="7">
        <f>AH60*AQ60</f>
        <v>69.485028248587568</v>
      </c>
      <c r="AJ60" s="7">
        <f>AI60*3.65</f>
        <v>253.62035310734461</v>
      </c>
      <c r="AK60" s="7">
        <f>AH60*3.65</f>
        <v>50.724070621468925</v>
      </c>
      <c r="AL60" s="33">
        <f>AN60+AO60</f>
        <v>8.6104338983050841</v>
      </c>
      <c r="AM60" s="33">
        <f>AL60*AQ60</f>
        <v>43.052169491525419</v>
      </c>
      <c r="AN60" s="7">
        <f>((13.11*350)+(6.69*8500))/(350+8500)</f>
        <v>6.9438983050847458</v>
      </c>
      <c r="AO60" s="33">
        <f>AN60*0.24</f>
        <v>1.666535593220339</v>
      </c>
      <c r="AP60" s="8" t="s">
        <v>1604</v>
      </c>
      <c r="AQ60" s="8">
        <v>5</v>
      </c>
      <c r="AR60" s="8" t="s">
        <v>763</v>
      </c>
      <c r="AS60" s="8" t="s">
        <v>2291</v>
      </c>
      <c r="AT60">
        <f>1607/AQ60</f>
        <v>321.39999999999998</v>
      </c>
      <c r="AU60" s="8" t="s">
        <v>763</v>
      </c>
    </row>
    <row r="61" spans="1:47" x14ac:dyDescent="0.35">
      <c r="A61">
        <v>76</v>
      </c>
      <c r="B61" s="3">
        <v>59</v>
      </c>
      <c r="C61" t="s">
        <v>593</v>
      </c>
      <c r="D61" t="s">
        <v>595</v>
      </c>
      <c r="E61" s="7" t="s">
        <v>751</v>
      </c>
      <c r="F61" s="7">
        <v>2025</v>
      </c>
      <c r="G61" s="3" t="s">
        <v>830</v>
      </c>
      <c r="H61" s="7" t="s">
        <v>753</v>
      </c>
      <c r="I61" s="7" t="s">
        <v>776</v>
      </c>
      <c r="J61" s="3">
        <v>-6.8848890000000003</v>
      </c>
      <c r="K61" s="3">
        <v>107.61061100000001</v>
      </c>
      <c r="L61" s="19" t="s">
        <v>831</v>
      </c>
      <c r="M61" s="11">
        <v>2394873</v>
      </c>
      <c r="N61" s="11">
        <v>14251</v>
      </c>
      <c r="O61" s="19" t="s">
        <v>2327</v>
      </c>
      <c r="P61" s="8" t="s">
        <v>832</v>
      </c>
      <c r="Q61" s="3" t="s">
        <v>2077</v>
      </c>
      <c r="R61">
        <v>3710</v>
      </c>
      <c r="S61" s="3">
        <v>22.4</v>
      </c>
      <c r="T61" s="3" t="s">
        <v>759</v>
      </c>
      <c r="U61" t="s">
        <v>2300</v>
      </c>
      <c r="V61" s="3" t="s">
        <v>2167</v>
      </c>
      <c r="W61" s="7" t="s">
        <v>762</v>
      </c>
      <c r="X61" s="3" t="s">
        <v>1031</v>
      </c>
      <c r="Y61" s="7" t="s">
        <v>2003</v>
      </c>
      <c r="Z61" s="7" t="s">
        <v>2035</v>
      </c>
      <c r="AA61" s="7" t="s">
        <v>766</v>
      </c>
      <c r="AB61" s="7" t="s">
        <v>787</v>
      </c>
      <c r="AC61" s="7">
        <v>25.17</v>
      </c>
      <c r="AD61" s="7">
        <f>AC61/AQ61</f>
        <v>0.32063694267515924</v>
      </c>
      <c r="AE61" s="7">
        <f>AC61*3.65</f>
        <v>91.870500000000007</v>
      </c>
      <c r="AF61" s="7">
        <f>AE61/AQ61</f>
        <v>1.1703248407643314</v>
      </c>
      <c r="AG61" s="7" t="s">
        <v>768</v>
      </c>
      <c r="AH61" s="8">
        <f>AI61/AQ61</f>
        <v>4.8535031847133761</v>
      </c>
      <c r="AI61" s="8">
        <v>381</v>
      </c>
      <c r="AJ61" s="7">
        <f>AI61*3.65</f>
        <v>1390.6499999999999</v>
      </c>
      <c r="AK61" s="7">
        <f>AH61*3.65</f>
        <v>17.715286624203824</v>
      </c>
      <c r="AL61" s="7">
        <f>AH61/0.47</f>
        <v>10.326602520666759</v>
      </c>
      <c r="AM61" s="7">
        <f>AI61/0.47</f>
        <v>810.63829787234044</v>
      </c>
      <c r="AN61" s="3">
        <f>AH61/1.24</f>
        <v>3.9141154715430453</v>
      </c>
      <c r="AO61" s="3">
        <f>AN61*0.24</f>
        <v>0.93938771317033087</v>
      </c>
      <c r="AP61" s="8" t="s">
        <v>1624</v>
      </c>
      <c r="AQ61" s="8">
        <v>78.5</v>
      </c>
      <c r="AR61" s="8" t="s">
        <v>763</v>
      </c>
      <c r="AS61" s="8" t="s">
        <v>1636</v>
      </c>
      <c r="AT61">
        <f>(2789+1566+244)/AQ61</f>
        <v>58.585987261146499</v>
      </c>
      <c r="AU61" s="8" t="s">
        <v>763</v>
      </c>
    </row>
    <row r="62" spans="1:47" x14ac:dyDescent="0.35">
      <c r="A62">
        <v>77</v>
      </c>
      <c r="B62" s="3">
        <v>60</v>
      </c>
      <c r="C62" s="15" t="s">
        <v>607</v>
      </c>
      <c r="D62" t="s">
        <v>1611</v>
      </c>
      <c r="E62" s="7" t="s">
        <v>751</v>
      </c>
      <c r="F62" s="7">
        <v>2013</v>
      </c>
      <c r="G62" s="3" t="s">
        <v>1626</v>
      </c>
      <c r="H62" s="7" t="s">
        <v>795</v>
      </c>
      <c r="I62" s="7" t="s">
        <v>754</v>
      </c>
      <c r="J62" s="3">
        <v>1.3142940000000001</v>
      </c>
      <c r="K62" s="3">
        <v>103.911197</v>
      </c>
      <c r="L62" s="19" t="s">
        <v>1159</v>
      </c>
      <c r="M62" s="11">
        <v>6111175</v>
      </c>
      <c r="N62" s="11">
        <v>8681</v>
      </c>
      <c r="O62" s="19" t="s">
        <v>2327</v>
      </c>
      <c r="P62" s="8" t="s">
        <v>1159</v>
      </c>
      <c r="Q62" s="8" t="s">
        <v>2082</v>
      </c>
      <c r="R62" s="8">
        <v>197.5</v>
      </c>
      <c r="S62">
        <v>27.5</v>
      </c>
      <c r="T62" s="7" t="s">
        <v>2078</v>
      </c>
      <c r="U62" t="s">
        <v>2300</v>
      </c>
      <c r="V62" t="s">
        <v>1560</v>
      </c>
      <c r="W62" s="7" t="s">
        <v>787</v>
      </c>
      <c r="X62" s="3" t="s">
        <v>1031</v>
      </c>
      <c r="Y62" s="7" t="s">
        <v>764</v>
      </c>
      <c r="Z62" s="7" t="s">
        <v>2027</v>
      </c>
      <c r="AA62" s="3" t="s">
        <v>2165</v>
      </c>
      <c r="AB62" s="7" t="s">
        <v>787</v>
      </c>
      <c r="AC62" s="8">
        <f>AE62/3.65</f>
        <v>1.3972602739726028</v>
      </c>
      <c r="AD62" s="8">
        <f>AC62/AQ62</f>
        <v>0.21832191780821916</v>
      </c>
      <c r="AE62" s="8">
        <v>5.0999999999999996</v>
      </c>
      <c r="AF62" s="8">
        <f>AE62/AQ62</f>
        <v>0.79687499999999989</v>
      </c>
      <c r="AG62" s="7" t="s">
        <v>768</v>
      </c>
      <c r="AH62" s="8">
        <f>AK62/3.65</f>
        <v>1.7361643835616438</v>
      </c>
      <c r="AI62" s="8">
        <f>AH62*AQ62</f>
        <v>11.111452054794521</v>
      </c>
      <c r="AJ62" s="8">
        <f>AK62*AQ62</f>
        <v>40.556800000000003</v>
      </c>
      <c r="AK62" s="8">
        <v>6.3369999999999997</v>
      </c>
      <c r="AL62" s="3">
        <v>3.484</v>
      </c>
      <c r="AM62" s="7">
        <f>AL62*AQ62</f>
        <v>22.297600000000003</v>
      </c>
      <c r="AN62" s="7">
        <f>AL62/1.24</f>
        <v>2.8096774193548386</v>
      </c>
      <c r="AO62" s="7">
        <f>AN62*0.24</f>
        <v>0.67432258064516126</v>
      </c>
      <c r="AP62" s="8" t="s">
        <v>1639</v>
      </c>
      <c r="AQ62" s="8">
        <v>6.4</v>
      </c>
      <c r="AR62" s="8" t="s">
        <v>763</v>
      </c>
      <c r="AS62" s="8" t="s">
        <v>1640</v>
      </c>
      <c r="AT62">
        <f>129/AQ62</f>
        <v>20.15625</v>
      </c>
      <c r="AU62" s="8" t="s">
        <v>763</v>
      </c>
    </row>
    <row r="63" spans="1:47" x14ac:dyDescent="0.35">
      <c r="A63">
        <v>78</v>
      </c>
      <c r="B63" s="3">
        <v>61</v>
      </c>
      <c r="C63" t="s">
        <v>624</v>
      </c>
      <c r="D63" t="s">
        <v>626</v>
      </c>
      <c r="E63" s="7" t="s">
        <v>751</v>
      </c>
      <c r="F63" s="7">
        <v>2020</v>
      </c>
      <c r="G63" s="3" t="s">
        <v>763</v>
      </c>
      <c r="H63" s="7" t="s">
        <v>753</v>
      </c>
      <c r="I63" s="7" t="s">
        <v>776</v>
      </c>
      <c r="J63" s="3">
        <v>-1.4837</v>
      </c>
      <c r="K63" s="3">
        <v>-78.002600000000001</v>
      </c>
      <c r="L63" s="19" t="s">
        <v>1628</v>
      </c>
      <c r="M63" s="11">
        <v>39473</v>
      </c>
      <c r="N63">
        <v>430.8</v>
      </c>
      <c r="O63" s="19" t="s">
        <v>2325</v>
      </c>
      <c r="P63" t="s">
        <v>1627</v>
      </c>
      <c r="Q63" s="8" t="s">
        <v>2077</v>
      </c>
      <c r="R63" s="8">
        <v>2500</v>
      </c>
      <c r="S63" s="8">
        <v>21.35</v>
      </c>
      <c r="T63" s="3" t="s">
        <v>763</v>
      </c>
      <c r="U63" t="s">
        <v>2300</v>
      </c>
      <c r="V63" s="3" t="s">
        <v>2167</v>
      </c>
      <c r="W63" s="7" t="s">
        <v>787</v>
      </c>
      <c r="X63" s="7" t="s">
        <v>865</v>
      </c>
      <c r="Y63" s="7" t="s">
        <v>764</v>
      </c>
      <c r="Z63" s="7" t="s">
        <v>2036</v>
      </c>
      <c r="AA63" s="33" t="s">
        <v>1241</v>
      </c>
      <c r="AB63" s="7" t="s">
        <v>787</v>
      </c>
      <c r="AC63" s="7" t="s">
        <v>763</v>
      </c>
      <c r="AD63" s="7" t="s">
        <v>763</v>
      </c>
      <c r="AE63" s="7" t="s">
        <v>763</v>
      </c>
      <c r="AF63" s="7" t="s">
        <v>763</v>
      </c>
      <c r="AG63" s="7" t="s">
        <v>789</v>
      </c>
      <c r="AH63" s="8">
        <v>91.46</v>
      </c>
      <c r="AI63" s="8">
        <f>AH63*AQ63</f>
        <v>274.38</v>
      </c>
      <c r="AJ63" s="8">
        <v>1664683</v>
      </c>
      <c r="AK63" s="8">
        <f>AH63*3.65</f>
        <v>333.82899999999995</v>
      </c>
      <c r="AL63" s="33">
        <f>AN63+AO63</f>
        <v>146.5804</v>
      </c>
      <c r="AM63" s="33">
        <f>AL63*AQ63</f>
        <v>439.74119999999999</v>
      </c>
      <c r="AN63" s="7">
        <v>118.21</v>
      </c>
      <c r="AO63" s="33">
        <f>AN63*0.24</f>
        <v>28.370399999999997</v>
      </c>
      <c r="AP63" s="8">
        <v>3</v>
      </c>
      <c r="AQ63" s="8">
        <v>3</v>
      </c>
      <c r="AR63" s="8" t="s">
        <v>763</v>
      </c>
      <c r="AS63" s="8" t="s">
        <v>1665</v>
      </c>
      <c r="AT63">
        <f>438/AQ63</f>
        <v>146</v>
      </c>
      <c r="AU63" s="8" t="s">
        <v>763</v>
      </c>
    </row>
    <row r="64" spans="1:47" x14ac:dyDescent="0.35">
      <c r="A64">
        <v>95</v>
      </c>
      <c r="B64" s="7">
        <v>71</v>
      </c>
      <c r="C64" s="8" t="s">
        <v>639</v>
      </c>
      <c r="D64" s="8" t="s">
        <v>1642</v>
      </c>
      <c r="E64" s="7" t="s">
        <v>751</v>
      </c>
      <c r="F64" s="7">
        <v>2020</v>
      </c>
      <c r="G64" s="7" t="s">
        <v>1641</v>
      </c>
      <c r="H64" s="7" t="s">
        <v>753</v>
      </c>
      <c r="I64" s="7" t="s">
        <v>754</v>
      </c>
      <c r="J64" s="8">
        <v>4.7894439999999996</v>
      </c>
      <c r="K64" s="8">
        <v>6.9730559999999997</v>
      </c>
      <c r="L64" s="8" t="s">
        <v>1797</v>
      </c>
      <c r="M64" s="11">
        <v>1148665</v>
      </c>
      <c r="N64">
        <v>13132.9</v>
      </c>
      <c r="O64" s="8" t="s">
        <v>2326</v>
      </c>
      <c r="P64" s="8" t="s">
        <v>823</v>
      </c>
      <c r="Q64" t="s">
        <v>2096</v>
      </c>
      <c r="R64" s="26">
        <v>2708</v>
      </c>
      <c r="S64" s="8">
        <v>26.4</v>
      </c>
      <c r="T64" s="7" t="s">
        <v>2078</v>
      </c>
      <c r="U64" t="s">
        <v>2300</v>
      </c>
      <c r="V64" s="8" t="s">
        <v>1560</v>
      </c>
      <c r="W64" s="7" t="s">
        <v>914</v>
      </c>
      <c r="X64" s="7" t="s">
        <v>1031</v>
      </c>
      <c r="Y64" s="7" t="s">
        <v>764</v>
      </c>
      <c r="Z64" s="7" t="s">
        <v>2039</v>
      </c>
      <c r="AA64" s="7" t="s">
        <v>766</v>
      </c>
      <c r="AB64" s="7" t="s">
        <v>787</v>
      </c>
      <c r="AC64" s="7" t="s">
        <v>763</v>
      </c>
      <c r="AD64" s="7" t="s">
        <v>763</v>
      </c>
      <c r="AE64" s="7" t="s">
        <v>763</v>
      </c>
      <c r="AF64" s="7" t="s">
        <v>763</v>
      </c>
      <c r="AG64" s="7" t="s">
        <v>768</v>
      </c>
      <c r="AH64" s="8">
        <v>136.15</v>
      </c>
      <c r="AI64" s="8">
        <v>67979.08</v>
      </c>
      <c r="AJ64" s="7">
        <f>AI64*3.65</f>
        <v>248123.64199999999</v>
      </c>
      <c r="AK64" s="7">
        <f>AH64*3.65</f>
        <v>496.94749999999999</v>
      </c>
      <c r="AL64" s="33">
        <f>AM64/AQ64</f>
        <v>36159.085106382983</v>
      </c>
      <c r="AM64" s="33">
        <f xml:space="preserve"> 67979.08/0.47</f>
        <v>144636.34042553193</v>
      </c>
      <c r="AN64" s="33">
        <f>(56649.23/0.47)/AQ64</f>
        <v>30132.569148936174</v>
      </c>
      <c r="AO64" s="33">
        <f>(11329.85/0.47)/AQ64</f>
        <v>6026.5159574468089</v>
      </c>
      <c r="AP64" s="8" t="s">
        <v>1670</v>
      </c>
      <c r="AQ64" s="8">
        <v>4</v>
      </c>
      <c r="AR64" s="8" t="s">
        <v>763</v>
      </c>
      <c r="AS64" s="8" t="s">
        <v>1676</v>
      </c>
      <c r="AT64">
        <f>992/AQ64</f>
        <v>248</v>
      </c>
      <c r="AU64" s="8" t="s">
        <v>763</v>
      </c>
    </row>
    <row r="65" spans="1:47" x14ac:dyDescent="0.35">
      <c r="A65">
        <v>79</v>
      </c>
      <c r="B65" s="3">
        <v>62</v>
      </c>
      <c r="C65" t="s">
        <v>640</v>
      </c>
      <c r="D65" t="s">
        <v>1656</v>
      </c>
      <c r="E65" s="7" t="s">
        <v>751</v>
      </c>
      <c r="F65" s="7">
        <v>2020</v>
      </c>
      <c r="G65" s="3" t="s">
        <v>1659</v>
      </c>
      <c r="H65" s="7" t="s">
        <v>753</v>
      </c>
      <c r="I65" s="7" t="s">
        <v>754</v>
      </c>
      <c r="J65" s="3">
        <v>22.09</v>
      </c>
      <c r="K65" s="3">
        <v>82.15</v>
      </c>
      <c r="L65" s="19" t="s">
        <v>1658</v>
      </c>
      <c r="M65" s="11">
        <v>1625502</v>
      </c>
      <c r="N65">
        <v>457.2</v>
      </c>
      <c r="O65" s="19" t="s">
        <v>2327</v>
      </c>
      <c r="P65" t="s">
        <v>756</v>
      </c>
      <c r="Q65" s="3" t="s">
        <v>2095</v>
      </c>
      <c r="R65" s="3">
        <v>1412</v>
      </c>
      <c r="S65" s="8">
        <v>28</v>
      </c>
      <c r="T65" s="3" t="s">
        <v>2080</v>
      </c>
      <c r="U65" t="s">
        <v>2300</v>
      </c>
      <c r="V65" s="3" t="s">
        <v>2166</v>
      </c>
      <c r="W65" s="7" t="s">
        <v>787</v>
      </c>
      <c r="X65" s="3" t="s">
        <v>1031</v>
      </c>
      <c r="Y65" s="7" t="s">
        <v>764</v>
      </c>
      <c r="Z65" s="7" t="s">
        <v>2026</v>
      </c>
      <c r="AA65" s="7" t="s">
        <v>766</v>
      </c>
      <c r="AB65" s="7" t="s">
        <v>787</v>
      </c>
      <c r="AC65" s="7" t="s">
        <v>763</v>
      </c>
      <c r="AD65" s="7" t="s">
        <v>763</v>
      </c>
      <c r="AE65" s="7" t="s">
        <v>763</v>
      </c>
      <c r="AF65" s="7" t="s">
        <v>763</v>
      </c>
      <c r="AG65" s="7" t="s">
        <v>768</v>
      </c>
      <c r="AH65" s="8">
        <f>AI65/AQ65</f>
        <v>2.8011627906976746</v>
      </c>
      <c r="AI65" s="8">
        <v>48.18</v>
      </c>
      <c r="AJ65" s="8">
        <v>176.64</v>
      </c>
      <c r="AK65" s="8">
        <f>AH65*3.65</f>
        <v>10.224244186046512</v>
      </c>
      <c r="AL65" s="7">
        <v>33.81</v>
      </c>
      <c r="AM65" s="7">
        <v>101.44</v>
      </c>
      <c r="AN65" s="33">
        <f>AL65/1.24</f>
        <v>27.266129032258068</v>
      </c>
      <c r="AO65" s="33">
        <f>AN65*0.24</f>
        <v>6.5438709677419356</v>
      </c>
      <c r="AP65" s="30">
        <v>8.6</v>
      </c>
      <c r="AQ65" s="30">
        <v>17.2</v>
      </c>
      <c r="AR65" s="30" t="s">
        <v>763</v>
      </c>
      <c r="AS65" s="30" t="s">
        <v>1688</v>
      </c>
      <c r="AT65" s="19" t="s">
        <v>763</v>
      </c>
      <c r="AU65" s="19">
        <v>8.6</v>
      </c>
    </row>
    <row r="66" spans="1:47" x14ac:dyDescent="0.35">
      <c r="A66">
        <v>80</v>
      </c>
      <c r="B66" s="3">
        <v>63</v>
      </c>
      <c r="C66" t="s">
        <v>646</v>
      </c>
      <c r="D66" t="s">
        <v>648</v>
      </c>
      <c r="E66" s="7" t="s">
        <v>751</v>
      </c>
      <c r="F66" s="7">
        <v>2021</v>
      </c>
      <c r="G66" s="7" t="s">
        <v>1669</v>
      </c>
      <c r="H66" s="7" t="s">
        <v>753</v>
      </c>
      <c r="I66" s="7" t="s">
        <v>754</v>
      </c>
      <c r="J66" s="3">
        <v>9.8333329999999997</v>
      </c>
      <c r="K66" s="3">
        <v>76.94</v>
      </c>
      <c r="L66" s="19" t="s">
        <v>2091</v>
      </c>
      <c r="M66" s="11">
        <v>1108974</v>
      </c>
      <c r="N66">
        <v>254.6</v>
      </c>
      <c r="O66" s="19" t="s">
        <v>2327</v>
      </c>
      <c r="P66" t="s">
        <v>756</v>
      </c>
      <c r="Q66" s="7" t="s">
        <v>2082</v>
      </c>
      <c r="R66">
        <v>3713</v>
      </c>
      <c r="S66" s="8">
        <v>27.6</v>
      </c>
      <c r="T66" s="3" t="s">
        <v>763</v>
      </c>
      <c r="U66" t="s">
        <v>2300</v>
      </c>
      <c r="V66" s="8" t="s">
        <v>2141</v>
      </c>
      <c r="W66" s="7" t="s">
        <v>787</v>
      </c>
      <c r="X66" s="3" t="s">
        <v>1031</v>
      </c>
      <c r="Y66" s="7" t="s">
        <v>764</v>
      </c>
      <c r="Z66" s="7" t="s">
        <v>2026</v>
      </c>
      <c r="AA66" s="7" t="s">
        <v>766</v>
      </c>
      <c r="AB66" s="7" t="s">
        <v>787</v>
      </c>
      <c r="AC66" s="7" t="s">
        <v>763</v>
      </c>
      <c r="AD66" s="7" t="s">
        <v>763</v>
      </c>
      <c r="AE66" s="7" t="s">
        <v>763</v>
      </c>
      <c r="AF66" s="7" t="s">
        <v>763</v>
      </c>
      <c r="AG66" s="7" t="s">
        <v>768</v>
      </c>
      <c r="AH66" s="7">
        <v>127.4</v>
      </c>
      <c r="AI66" s="7">
        <f>AH66*AQ66</f>
        <v>1320246.2</v>
      </c>
      <c r="AJ66" s="7">
        <f>AI66*3.65</f>
        <v>4818898.63</v>
      </c>
      <c r="AK66" s="8">
        <f>AH66*3.65</f>
        <v>465.01</v>
      </c>
      <c r="AL66" s="7">
        <v>268.20999999999998</v>
      </c>
      <c r="AM66" s="7">
        <f>AL66*AQ66</f>
        <v>2779460.23</v>
      </c>
      <c r="AN66" s="7">
        <v>211.86</v>
      </c>
      <c r="AO66" s="7">
        <v>56.35</v>
      </c>
      <c r="AP66" s="30" t="s">
        <v>2202</v>
      </c>
      <c r="AQ66" s="30">
        <f>(3667+1821+4875)</f>
        <v>10363</v>
      </c>
      <c r="AR66" s="30" t="s">
        <v>763</v>
      </c>
      <c r="AS66" s="30" t="s">
        <v>2024</v>
      </c>
      <c r="AT66" s="19" t="s">
        <v>763</v>
      </c>
      <c r="AU66" s="19" t="s">
        <v>763</v>
      </c>
    </row>
    <row r="67" spans="1:47" x14ac:dyDescent="0.35">
      <c r="A67">
        <v>81</v>
      </c>
      <c r="B67" s="15">
        <v>64</v>
      </c>
      <c r="C67" t="s">
        <v>651</v>
      </c>
      <c r="D67" t="s">
        <v>653</v>
      </c>
      <c r="E67" s="7" t="s">
        <v>751</v>
      </c>
      <c r="F67" s="7">
        <v>2021</v>
      </c>
      <c r="G67" s="3">
        <v>2016</v>
      </c>
      <c r="H67" s="7" t="s">
        <v>753</v>
      </c>
      <c r="I67" s="7" t="s">
        <v>754</v>
      </c>
      <c r="J67" s="3">
        <v>23.7</v>
      </c>
      <c r="K67" s="3">
        <v>90.366667000000007</v>
      </c>
      <c r="L67" s="19" t="s">
        <v>1679</v>
      </c>
      <c r="M67" s="11">
        <v>10295786</v>
      </c>
      <c r="N67" s="11">
        <v>33842</v>
      </c>
      <c r="O67" s="19" t="s">
        <v>2327</v>
      </c>
      <c r="P67" t="s">
        <v>985</v>
      </c>
      <c r="Q67" s="3" t="s">
        <v>2095</v>
      </c>
      <c r="R67" s="3">
        <v>2055</v>
      </c>
      <c r="S67" s="3">
        <v>25.3</v>
      </c>
      <c r="T67" s="3" t="s">
        <v>763</v>
      </c>
      <c r="U67" t="s">
        <v>2300</v>
      </c>
      <c r="V67" s="3" t="s">
        <v>2166</v>
      </c>
      <c r="W67" s="7" t="s">
        <v>787</v>
      </c>
      <c r="X67" s="3" t="s">
        <v>1031</v>
      </c>
      <c r="Y67" s="7" t="s">
        <v>764</v>
      </c>
      <c r="Z67" t="s">
        <v>2026</v>
      </c>
      <c r="AA67" s="7" t="s">
        <v>766</v>
      </c>
      <c r="AB67" s="7" t="s">
        <v>787</v>
      </c>
      <c r="AC67" s="7" t="s">
        <v>763</v>
      </c>
      <c r="AD67" s="7" t="s">
        <v>763</v>
      </c>
      <c r="AE67" s="7" t="s">
        <v>763</v>
      </c>
      <c r="AF67" s="7" t="s">
        <v>763</v>
      </c>
      <c r="AG67" s="7" t="s">
        <v>789</v>
      </c>
      <c r="AH67" s="8" t="e">
        <f>AI67/AQ67</f>
        <v>#VALUE!</v>
      </c>
      <c r="AI67" s="8">
        <v>528</v>
      </c>
      <c r="AJ67" s="8">
        <v>1938</v>
      </c>
      <c r="AK67" s="8" t="e">
        <f>AH67*3.65</f>
        <v>#VALUE!</v>
      </c>
      <c r="AL67" s="33" t="e">
        <f>AN67+AO67</f>
        <v>#VALUE!</v>
      </c>
      <c r="AM67" s="33" t="e">
        <f>AL67*AQ67</f>
        <v>#VALUE!</v>
      </c>
      <c r="AN67" s="7" t="e">
        <f>1123/AQ67</f>
        <v>#VALUE!</v>
      </c>
      <c r="AO67" s="33" t="e">
        <f>AN67*0.24</f>
        <v>#VALUE!</v>
      </c>
      <c r="AP67" s="33" t="s">
        <v>763</v>
      </c>
      <c r="AQ67" s="52" t="s">
        <v>763</v>
      </c>
      <c r="AR67" s="30" t="s">
        <v>763</v>
      </c>
      <c r="AS67" s="30" t="s">
        <v>763</v>
      </c>
      <c r="AT67" s="30" t="s">
        <v>763</v>
      </c>
      <c r="AU67" s="30" t="s">
        <v>763</v>
      </c>
    </row>
    <row r="68" spans="1:47" x14ac:dyDescent="0.35">
      <c r="A68">
        <v>83</v>
      </c>
      <c r="B68" s="3">
        <v>65</v>
      </c>
      <c r="C68" s="15" t="s">
        <v>655</v>
      </c>
      <c r="D68" t="s">
        <v>657</v>
      </c>
      <c r="E68" s="7" t="s">
        <v>751</v>
      </c>
      <c r="F68" s="7">
        <v>2023</v>
      </c>
      <c r="G68" s="3" t="s">
        <v>1908</v>
      </c>
      <c r="H68" s="7" t="s">
        <v>795</v>
      </c>
      <c r="I68" s="7" t="s">
        <v>776</v>
      </c>
      <c r="J68" s="3">
        <v>-12.05</v>
      </c>
      <c r="K68" s="3">
        <v>-77.033332999999999</v>
      </c>
      <c r="L68" s="33" t="s">
        <v>1694</v>
      </c>
      <c r="M68" s="11">
        <v>266887</v>
      </c>
      <c r="N68" s="11">
        <v>12378</v>
      </c>
      <c r="O68" s="33" t="s">
        <v>2325</v>
      </c>
      <c r="P68" t="s">
        <v>1689</v>
      </c>
      <c r="Q68" s="3" t="s">
        <v>2089</v>
      </c>
      <c r="R68" s="3">
        <v>203</v>
      </c>
      <c r="S68" s="3">
        <v>18.899999999999999</v>
      </c>
      <c r="T68" s="3" t="s">
        <v>763</v>
      </c>
      <c r="U68" t="s">
        <v>2308</v>
      </c>
      <c r="V68" s="3" t="s">
        <v>2166</v>
      </c>
      <c r="W68" s="7" t="s">
        <v>787</v>
      </c>
      <c r="X68" s="3" t="s">
        <v>1031</v>
      </c>
      <c r="Y68" s="7" t="s">
        <v>764</v>
      </c>
      <c r="Z68" s="7" t="s">
        <v>2031</v>
      </c>
      <c r="AA68" s="7" t="s">
        <v>766</v>
      </c>
      <c r="AB68" s="7" t="s">
        <v>787</v>
      </c>
      <c r="AC68" s="7">
        <f>AE68/3.65</f>
        <v>7.3354933659608257</v>
      </c>
      <c r="AD68" s="7">
        <f>AC68/AQ68</f>
        <v>116.80721920319787</v>
      </c>
      <c r="AE68" s="7">
        <f>AF68*AQ68</f>
        <v>26.774550785757015</v>
      </c>
      <c r="AF68" s="46">
        <f>((392.066*3667)+(253.524*1821)+(516.688*4875))/(3667+1821+4875)</f>
        <v>426.34635009167226</v>
      </c>
      <c r="AG68" s="7" t="s">
        <v>789</v>
      </c>
      <c r="AH68" s="7" t="s">
        <v>763</v>
      </c>
      <c r="AI68" s="7" t="s">
        <v>763</v>
      </c>
      <c r="AJ68" s="7" t="s">
        <v>763</v>
      </c>
      <c r="AK68" s="7" t="s">
        <v>763</v>
      </c>
      <c r="AL68" s="7" t="s">
        <v>763</v>
      </c>
      <c r="AM68" s="7" t="s">
        <v>763</v>
      </c>
      <c r="AN68" s="7" t="s">
        <v>763</v>
      </c>
      <c r="AO68" s="7" t="s">
        <v>763</v>
      </c>
      <c r="AP68" s="30" t="s">
        <v>2204</v>
      </c>
      <c r="AQ68" s="30">
        <v>6.2799999999999995E-2</v>
      </c>
      <c r="AR68" s="30" t="s">
        <v>763</v>
      </c>
      <c r="AS68" s="30" t="s">
        <v>2274</v>
      </c>
      <c r="AT68" s="30" t="s">
        <v>763</v>
      </c>
      <c r="AU68" s="30" t="s">
        <v>763</v>
      </c>
    </row>
    <row r="69" spans="1:47" x14ac:dyDescent="0.35">
      <c r="A69">
        <v>84</v>
      </c>
      <c r="B69" s="3">
        <v>66</v>
      </c>
      <c r="C69" t="s">
        <v>660</v>
      </c>
      <c r="D69" t="s">
        <v>1701</v>
      </c>
      <c r="E69" s="7" t="s">
        <v>751</v>
      </c>
      <c r="F69" s="7">
        <v>2017</v>
      </c>
      <c r="G69" s="3" t="s">
        <v>1700</v>
      </c>
      <c r="H69" s="7" t="s">
        <v>753</v>
      </c>
      <c r="I69" s="7" t="s">
        <v>754</v>
      </c>
      <c r="J69" s="3">
        <v>6.6833330000000002</v>
      </c>
      <c r="K69" s="3">
        <v>-1.6166670000000001</v>
      </c>
      <c r="L69" s="33" t="s">
        <v>1554</v>
      </c>
      <c r="M69" s="33">
        <v>2500000</v>
      </c>
      <c r="N69" s="54">
        <v>8000</v>
      </c>
      <c r="O69" s="33" t="s">
        <v>2326</v>
      </c>
      <c r="P69" t="s">
        <v>1325</v>
      </c>
      <c r="Q69" s="3" t="s">
        <v>2095</v>
      </c>
      <c r="R69">
        <v>1250</v>
      </c>
      <c r="S69">
        <v>26.4</v>
      </c>
      <c r="T69" s="3" t="s">
        <v>2081</v>
      </c>
      <c r="U69" t="s">
        <v>2300</v>
      </c>
      <c r="V69" s="8" t="s">
        <v>2118</v>
      </c>
      <c r="W69" s="7" t="s">
        <v>787</v>
      </c>
      <c r="X69" s="33" t="s">
        <v>2276</v>
      </c>
      <c r="Y69" s="7" t="s">
        <v>1988</v>
      </c>
      <c r="Z69" s="7" t="s">
        <v>2026</v>
      </c>
      <c r="AA69" s="3" t="s">
        <v>2165</v>
      </c>
      <c r="AB69" s="7" t="s">
        <v>787</v>
      </c>
      <c r="AC69" s="7" t="s">
        <v>763</v>
      </c>
      <c r="AD69" s="7" t="s">
        <v>763</v>
      </c>
      <c r="AE69" s="7" t="s">
        <v>763</v>
      </c>
      <c r="AF69" s="7" t="s">
        <v>763</v>
      </c>
      <c r="AG69" s="7" t="s">
        <v>768</v>
      </c>
      <c r="AH69" s="8">
        <v>149.33000000000001</v>
      </c>
      <c r="AI69" s="8">
        <f>333390+77645+18294</f>
        <v>429329</v>
      </c>
      <c r="AJ69" s="8">
        <f>AI69*3.65</f>
        <v>1567050.8499999999</v>
      </c>
      <c r="AK69" s="8">
        <f>AH69*3.65</f>
        <v>545.05450000000008</v>
      </c>
      <c r="AL69" s="46">
        <v>315.05</v>
      </c>
      <c r="AM69" s="7">
        <f>AI69/0.47</f>
        <v>913465.95744680858</v>
      </c>
      <c r="AN69" s="30">
        <f>((255.6 + 94.6 + 41.9)/3)/0.47</f>
        <v>278.08510638297872</v>
      </c>
      <c r="AO69" s="30">
        <f>((36+13.1+ 6.8)/3)/0.47</f>
        <v>39.645390070921984</v>
      </c>
      <c r="AP69" s="30" t="s">
        <v>1763</v>
      </c>
      <c r="AQ69" s="30">
        <v>256.97000000000003</v>
      </c>
      <c r="AR69" s="30" t="s">
        <v>763</v>
      </c>
      <c r="AS69" s="30" t="s">
        <v>763</v>
      </c>
      <c r="AT69" s="30" t="s">
        <v>763</v>
      </c>
      <c r="AU69" s="30" t="s">
        <v>763</v>
      </c>
    </row>
    <row r="70" spans="1:47" x14ac:dyDescent="0.35">
      <c r="A70">
        <v>12</v>
      </c>
      <c r="B70" s="3">
        <v>10</v>
      </c>
      <c r="C70" s="3" t="s">
        <v>905</v>
      </c>
      <c r="D70" s="3" t="s">
        <v>906</v>
      </c>
      <c r="E70" s="3" t="s">
        <v>873</v>
      </c>
      <c r="F70" s="3">
        <v>2023</v>
      </c>
      <c r="G70" s="3" t="s">
        <v>1896</v>
      </c>
      <c r="H70" s="3" t="s">
        <v>753</v>
      </c>
      <c r="I70" s="3" t="s">
        <v>754</v>
      </c>
      <c r="J70" s="3">
        <v>19.464027999999999</v>
      </c>
      <c r="K70" s="3">
        <v>-98.826291999999995</v>
      </c>
      <c r="L70" s="20" t="s">
        <v>1774</v>
      </c>
      <c r="M70" s="11">
        <v>35491</v>
      </c>
      <c r="N70" s="11">
        <v>6476</v>
      </c>
      <c r="O70" s="3" t="s">
        <v>2328</v>
      </c>
      <c r="P70" s="3" t="s">
        <v>894</v>
      </c>
      <c r="Q70" s="3" t="s">
        <v>2093</v>
      </c>
      <c r="R70" s="3">
        <v>613.20000000000005</v>
      </c>
      <c r="S70" s="3">
        <v>15</v>
      </c>
      <c r="T70" s="3" t="s">
        <v>2080</v>
      </c>
      <c r="U70" t="s">
        <v>2304</v>
      </c>
      <c r="V70" s="3" t="s">
        <v>2167</v>
      </c>
      <c r="W70" s="3" t="s">
        <v>787</v>
      </c>
      <c r="X70" s="3" t="s">
        <v>865</v>
      </c>
      <c r="Y70" s="7" t="s">
        <v>2003</v>
      </c>
      <c r="Z70" s="7" t="s">
        <v>2029</v>
      </c>
      <c r="AA70" s="3" t="s">
        <v>766</v>
      </c>
      <c r="AB70" s="3" t="s">
        <v>787</v>
      </c>
      <c r="AC70" s="3">
        <v>0.69025999999999998</v>
      </c>
      <c r="AD70" s="3">
        <f>AC70/AQ70</f>
        <v>3.1375454545454547E-2</v>
      </c>
      <c r="AE70" s="3">
        <f>AC70*3.65</f>
        <v>2.5194489999999998</v>
      </c>
      <c r="AF70" s="3">
        <f>AE70/AQ70</f>
        <v>0.11452040909090909</v>
      </c>
      <c r="AG70" s="3" t="s">
        <v>768</v>
      </c>
      <c r="AH70" s="3">
        <f>AI70/AQ70</f>
        <v>0.59272727272727266</v>
      </c>
      <c r="AI70" s="3">
        <v>13.04</v>
      </c>
      <c r="AJ70" s="3">
        <f>AI70*3.65</f>
        <v>47.595999999999997</v>
      </c>
      <c r="AK70" s="3">
        <f>AJ70/AQ70</f>
        <v>2.1634545454545453</v>
      </c>
      <c r="AL70" s="3">
        <f>AH70/0.47</f>
        <v>1.2611218568665377</v>
      </c>
      <c r="AM70" s="3">
        <f>AI70/0.47</f>
        <v>27.74468085106383</v>
      </c>
      <c r="AN70" s="3">
        <f>AH70/1.24</f>
        <v>0.47800586510263926</v>
      </c>
      <c r="AO70" s="3">
        <f>AN70*0.24</f>
        <v>0.11472140762463341</v>
      </c>
      <c r="AP70" s="33" t="s">
        <v>763</v>
      </c>
      <c r="AQ70" s="33">
        <v>22</v>
      </c>
      <c r="AR70" s="30">
        <v>33</v>
      </c>
      <c r="AS70" s="33" t="s">
        <v>1118</v>
      </c>
      <c r="AT70" s="33" t="s">
        <v>763</v>
      </c>
      <c r="AU70" s="33" t="s">
        <v>763</v>
      </c>
    </row>
    <row r="71" spans="1:47" x14ac:dyDescent="0.35">
      <c r="A71">
        <v>88</v>
      </c>
      <c r="B71" s="3">
        <v>67</v>
      </c>
      <c r="C71" s="8" t="s">
        <v>697</v>
      </c>
      <c r="D71" s="8" t="s">
        <v>699</v>
      </c>
      <c r="E71" s="7" t="s">
        <v>751</v>
      </c>
      <c r="F71" s="7">
        <v>2020</v>
      </c>
      <c r="G71" s="7" t="s">
        <v>1909</v>
      </c>
      <c r="H71" s="7" t="s">
        <v>753</v>
      </c>
      <c r="I71" s="7" t="s">
        <v>754</v>
      </c>
      <c r="J71" s="3">
        <v>21.15</v>
      </c>
      <c r="K71" s="3">
        <v>79.099999999999994</v>
      </c>
      <c r="L71" s="33" t="s">
        <v>1715</v>
      </c>
      <c r="M71" s="11">
        <v>2405665</v>
      </c>
      <c r="N71" s="11">
        <v>11057</v>
      </c>
      <c r="O71" s="33" t="s">
        <v>2327</v>
      </c>
      <c r="P71" s="8" t="s">
        <v>756</v>
      </c>
      <c r="Q71" s="3" t="s">
        <v>2095</v>
      </c>
      <c r="R71" s="8">
        <v>1162</v>
      </c>
      <c r="S71" s="8">
        <v>29</v>
      </c>
      <c r="T71" s="7" t="s">
        <v>1016</v>
      </c>
      <c r="U71" t="s">
        <v>2297</v>
      </c>
      <c r="V71" s="30" t="s">
        <v>2130</v>
      </c>
      <c r="W71" s="7" t="s">
        <v>787</v>
      </c>
      <c r="X71" s="3" t="s">
        <v>1031</v>
      </c>
      <c r="Y71" s="7" t="s">
        <v>764</v>
      </c>
      <c r="Z71" s="7" t="s">
        <v>2026</v>
      </c>
      <c r="AA71" s="7" t="s">
        <v>766</v>
      </c>
      <c r="AB71" s="7" t="s">
        <v>787</v>
      </c>
      <c r="AC71" s="7" t="s">
        <v>763</v>
      </c>
      <c r="AD71" s="7" t="s">
        <v>763</v>
      </c>
      <c r="AE71" s="7" t="s">
        <v>763</v>
      </c>
      <c r="AF71" s="7" t="s">
        <v>763</v>
      </c>
      <c r="AG71" s="7" t="s">
        <v>768</v>
      </c>
      <c r="AH71" s="7">
        <v>68.16</v>
      </c>
      <c r="AI71" s="7">
        <f>AH71*AQ71</f>
        <v>34030.924799999993</v>
      </c>
      <c r="AJ71" s="7">
        <f>AI71*3.65</f>
        <v>124212.87551999997</v>
      </c>
      <c r="AK71" s="8">
        <f>AH71*3.65</f>
        <v>248.78399999999999</v>
      </c>
      <c r="AL71" s="7">
        <v>143.5</v>
      </c>
      <c r="AM71" s="7">
        <f>AL71*AQ71</f>
        <v>71646.679999999993</v>
      </c>
      <c r="AN71" s="7">
        <f>AL71/1.24</f>
        <v>115.72580645161291</v>
      </c>
      <c r="AO71" s="7">
        <f>AN71*0.24</f>
        <v>27.774193548387096</v>
      </c>
      <c r="AP71" s="7" t="s">
        <v>763</v>
      </c>
      <c r="AQ71" s="8">
        <v>499.28</v>
      </c>
      <c r="AR71" s="8" t="s">
        <v>763</v>
      </c>
      <c r="AS71" s="8" t="s">
        <v>2222</v>
      </c>
      <c r="AT71" s="8">
        <f>746/AQ71</f>
        <v>1.4941515782727128</v>
      </c>
      <c r="AU71" s="8" t="s">
        <v>763</v>
      </c>
    </row>
    <row r="72" spans="1:47" x14ac:dyDescent="0.35">
      <c r="A72">
        <v>97</v>
      </c>
      <c r="B72" s="7">
        <v>72</v>
      </c>
      <c r="C72" s="8" t="s">
        <v>707</v>
      </c>
      <c r="D72" s="8" t="s">
        <v>709</v>
      </c>
      <c r="E72" s="7" t="s">
        <v>751</v>
      </c>
      <c r="F72" s="7">
        <v>2019</v>
      </c>
      <c r="G72" s="7" t="s">
        <v>763</v>
      </c>
      <c r="H72" s="7" t="s">
        <v>753</v>
      </c>
      <c r="I72" s="7" t="s">
        <v>754</v>
      </c>
      <c r="J72" s="8">
        <v>13.583333</v>
      </c>
      <c r="K72" s="8">
        <v>2.25</v>
      </c>
      <c r="L72" s="8" t="s">
        <v>1799</v>
      </c>
      <c r="M72" s="11">
        <v>1324700</v>
      </c>
      <c r="N72" s="11">
        <v>1977</v>
      </c>
      <c r="O72" s="8" t="s">
        <v>2326</v>
      </c>
      <c r="P72" s="8" t="s">
        <v>1729</v>
      </c>
      <c r="Q72" s="8" t="s">
        <v>2097</v>
      </c>
      <c r="R72" s="8">
        <v>340</v>
      </c>
      <c r="S72">
        <v>29.1</v>
      </c>
      <c r="T72" s="7" t="s">
        <v>763</v>
      </c>
      <c r="U72" t="s">
        <v>2298</v>
      </c>
      <c r="V72" s="8" t="s">
        <v>2167</v>
      </c>
      <c r="W72" s="7" t="s">
        <v>914</v>
      </c>
      <c r="X72" s="7" t="s">
        <v>865</v>
      </c>
      <c r="Y72" s="7" t="s">
        <v>764</v>
      </c>
      <c r="Z72" s="7" t="s">
        <v>2026</v>
      </c>
      <c r="AA72" s="7" t="s">
        <v>766</v>
      </c>
      <c r="AB72" s="7" t="s">
        <v>787</v>
      </c>
      <c r="AC72" s="7" t="s">
        <v>763</v>
      </c>
      <c r="AD72" s="7" t="s">
        <v>763</v>
      </c>
      <c r="AE72" s="7" t="s">
        <v>763</v>
      </c>
      <c r="AF72" s="7" t="s">
        <v>763</v>
      </c>
      <c r="AG72" s="7" t="s">
        <v>768</v>
      </c>
      <c r="AH72" s="8">
        <v>17.809999999999999</v>
      </c>
      <c r="AI72" s="8" t="s">
        <v>763</v>
      </c>
      <c r="AJ72" s="7" t="s">
        <v>763</v>
      </c>
      <c r="AK72" s="7">
        <f>AH72*3.65</f>
        <v>65.006499999999988</v>
      </c>
      <c r="AL72" s="8">
        <f>AN72+AO72</f>
        <v>37.596800000000002</v>
      </c>
      <c r="AM72" s="8" t="s">
        <v>763</v>
      </c>
      <c r="AN72" s="8">
        <v>30.32</v>
      </c>
      <c r="AO72" s="8">
        <f>AN72*0.24</f>
        <v>7.2767999999999997</v>
      </c>
      <c r="AP72" s="7" t="s">
        <v>763</v>
      </c>
      <c r="AQ72" s="8" t="s">
        <v>763</v>
      </c>
      <c r="AR72" s="8" t="s">
        <v>763</v>
      </c>
      <c r="AS72" t="s">
        <v>2243</v>
      </c>
      <c r="AT72" s="8" t="s">
        <v>763</v>
      </c>
      <c r="AU72" s="8" t="s">
        <v>763</v>
      </c>
    </row>
    <row r="73" spans="1:47" x14ac:dyDescent="0.35">
      <c r="A73">
        <v>101</v>
      </c>
      <c r="B73" s="3">
        <v>69</v>
      </c>
      <c r="C73" t="s">
        <v>712</v>
      </c>
      <c r="D73" t="s">
        <v>714</v>
      </c>
      <c r="E73" s="7" t="s">
        <v>751</v>
      </c>
      <c r="F73" s="7">
        <v>2025</v>
      </c>
      <c r="G73" s="7" t="s">
        <v>1742</v>
      </c>
      <c r="H73" s="7" t="s">
        <v>795</v>
      </c>
      <c r="I73" s="7" t="s">
        <v>776</v>
      </c>
      <c r="J73">
        <v>-10.9095</v>
      </c>
      <c r="K73">
        <v>-37.074800000000003</v>
      </c>
      <c r="L73" t="s">
        <v>1801</v>
      </c>
      <c r="M73" s="11">
        <v>602757</v>
      </c>
      <c r="N73" s="11">
        <v>3309</v>
      </c>
      <c r="O73" t="s">
        <v>2325</v>
      </c>
      <c r="P73" s="8" t="s">
        <v>846</v>
      </c>
      <c r="Q73" t="s">
        <v>2096</v>
      </c>
      <c r="R73" s="3">
        <v>1222</v>
      </c>
      <c r="S73" s="3">
        <v>24.5</v>
      </c>
      <c r="T73" s="3" t="s">
        <v>763</v>
      </c>
      <c r="U73" t="s">
        <v>2303</v>
      </c>
      <c r="V73" s="8" t="s">
        <v>1560</v>
      </c>
      <c r="W73" s="3" t="s">
        <v>914</v>
      </c>
      <c r="X73" s="7" t="s">
        <v>1031</v>
      </c>
      <c r="Y73" s="7" t="s">
        <v>1745</v>
      </c>
      <c r="Z73" s="7" t="s">
        <v>1744</v>
      </c>
      <c r="AA73" s="7" t="s">
        <v>2165</v>
      </c>
      <c r="AB73" s="7" t="s">
        <v>787</v>
      </c>
      <c r="AC73" s="8">
        <v>5320</v>
      </c>
      <c r="AD73" s="8">
        <f>AC73/AQ73</f>
        <v>0.62906468014662409</v>
      </c>
      <c r="AE73" s="7">
        <v>19500</v>
      </c>
      <c r="AF73" s="7">
        <f>AE73/AQ73</f>
        <v>2.3057821922667614</v>
      </c>
      <c r="AG73" s="7" t="s">
        <v>768</v>
      </c>
      <c r="AH73" s="8">
        <f>AI73/AQ73</f>
        <v>12.989239683102754</v>
      </c>
      <c r="AI73" s="8">
        <v>109850</v>
      </c>
      <c r="AJ73" s="8">
        <v>402780</v>
      </c>
      <c r="AK73" s="8">
        <f>AJ73/AQ73</f>
        <v>47.626818020574675</v>
      </c>
      <c r="AL73" s="8">
        <f>AH73/0.47</f>
        <v>27.636680176814373</v>
      </c>
      <c r="AM73" s="8">
        <f>AI73/0.47</f>
        <v>233723.40425531915</v>
      </c>
      <c r="AN73" s="7">
        <f>AL73/1.24</f>
        <v>22.287645303882559</v>
      </c>
      <c r="AO73" s="7">
        <f>AN73*0.24</f>
        <v>5.3490348729318145</v>
      </c>
      <c r="AP73" s="7" t="s">
        <v>763</v>
      </c>
      <c r="AQ73">
        <v>8457</v>
      </c>
      <c r="AR73" s="8" t="s">
        <v>763</v>
      </c>
      <c r="AS73" s="8" t="s">
        <v>763</v>
      </c>
      <c r="AT73" s="8" t="s">
        <v>763</v>
      </c>
      <c r="AU73" s="8" t="s">
        <v>763</v>
      </c>
    </row>
  </sheetData>
  <autoFilter ref="A1:AO56" xr:uid="{4DCA69EF-7491-4A61-8A24-17E9235A1061}">
    <sortState xmlns:xlrd2="http://schemas.microsoft.com/office/spreadsheetml/2017/richdata2" ref="A2:AO73">
      <sortCondition ref="C1:C56"/>
    </sortState>
  </autoFilter>
  <hyperlinks>
    <hyperlink ref="D24" r:id="rId1" display="https://www.sciencedirect.com/author/57219425459/erik-velasco" xr:uid="{E715F695-31BA-49D1-B0DC-EB43F3A3D1FE}"/>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E9AE-8136-4654-BEAD-36CA8B265A5C}">
  <dimension ref="A1:AU91"/>
  <sheetViews>
    <sheetView workbookViewId="0">
      <pane ySplit="1" topLeftCell="A2" activePane="bottomLeft" state="frozen"/>
      <selection pane="bottomLeft" activeCell="M32" sqref="M32"/>
    </sheetView>
  </sheetViews>
  <sheetFormatPr defaultRowHeight="14.5" x14ac:dyDescent="0.35"/>
  <cols>
    <col min="13" max="13" width="9.7265625" bestFit="1" customWidth="1"/>
    <col min="17" max="17" width="9" customWidth="1"/>
    <col min="29" max="29" width="9.81640625" bestFit="1" customWidth="1"/>
    <col min="31" max="31" width="10.81640625" bestFit="1" customWidth="1"/>
    <col min="32" max="32" width="11.36328125" bestFit="1" customWidth="1"/>
    <col min="34" max="34" width="10.81640625" bestFit="1" customWidth="1"/>
    <col min="35" max="35" width="8.90625" customWidth="1"/>
    <col min="36" max="36" width="10.81640625" customWidth="1"/>
    <col min="39" max="39" width="10.81640625" bestFit="1" customWidth="1"/>
  </cols>
  <sheetData>
    <row r="1" spans="1:47" x14ac:dyDescent="0.35">
      <c r="A1" t="s">
        <v>2295</v>
      </c>
      <c r="B1" s="2" t="s">
        <v>721</v>
      </c>
      <c r="C1" s="2" t="s">
        <v>2070</v>
      </c>
      <c r="D1" s="2" t="s">
        <v>722</v>
      </c>
      <c r="E1" s="2" t="s">
        <v>723</v>
      </c>
      <c r="F1" s="2" t="s">
        <v>724</v>
      </c>
      <c r="G1" s="2" t="s">
        <v>725</v>
      </c>
      <c r="H1" s="2" t="s">
        <v>726</v>
      </c>
      <c r="I1" s="2" t="s">
        <v>727</v>
      </c>
      <c r="J1" s="2" t="s">
        <v>728</v>
      </c>
      <c r="K1" s="2" t="s">
        <v>729</v>
      </c>
      <c r="L1" s="2" t="s">
        <v>730</v>
      </c>
      <c r="M1" s="2" t="s">
        <v>2330</v>
      </c>
      <c r="N1" s="2" t="s">
        <v>2329</v>
      </c>
      <c r="O1" s="2" t="s">
        <v>2324</v>
      </c>
      <c r="P1" s="2" t="s">
        <v>731</v>
      </c>
      <c r="Q1" s="2" t="s">
        <v>732</v>
      </c>
      <c r="R1" s="2" t="s">
        <v>2073</v>
      </c>
      <c r="S1" s="2" t="s">
        <v>2076</v>
      </c>
      <c r="T1" s="2" t="s">
        <v>735</v>
      </c>
      <c r="U1" s="2" t="s">
        <v>736</v>
      </c>
      <c r="V1" s="2" t="s">
        <v>737</v>
      </c>
      <c r="W1" s="2" t="s">
        <v>738</v>
      </c>
      <c r="X1" s="2" t="s">
        <v>739</v>
      </c>
      <c r="Y1" s="2" t="s">
        <v>740</v>
      </c>
      <c r="Z1" s="2" t="s">
        <v>741</v>
      </c>
      <c r="AA1" s="2" t="s">
        <v>742</v>
      </c>
      <c r="AB1" s="2" t="s">
        <v>2294</v>
      </c>
      <c r="AC1" s="12" t="s">
        <v>2227</v>
      </c>
      <c r="AD1" s="47" t="s">
        <v>2226</v>
      </c>
      <c r="AE1" s="12" t="s">
        <v>2214</v>
      </c>
      <c r="AF1" s="47" t="s">
        <v>2225</v>
      </c>
      <c r="AG1" s="2" t="s">
        <v>745</v>
      </c>
      <c r="AH1" s="47" t="s">
        <v>2215</v>
      </c>
      <c r="AI1" s="12" t="s">
        <v>2224</v>
      </c>
      <c r="AJ1" s="12" t="s">
        <v>2216</v>
      </c>
      <c r="AK1" s="47" t="s">
        <v>2229</v>
      </c>
      <c r="AL1" s="12" t="s">
        <v>2217</v>
      </c>
      <c r="AM1" s="12" t="s">
        <v>2218</v>
      </c>
      <c r="AN1" s="12" t="s">
        <v>2219</v>
      </c>
      <c r="AO1" s="12" t="s">
        <v>2220</v>
      </c>
      <c r="AP1" s="2" t="s">
        <v>748</v>
      </c>
      <c r="AQ1" s="47" t="s">
        <v>2221</v>
      </c>
      <c r="AR1" s="2" t="s">
        <v>2223</v>
      </c>
      <c r="AS1" s="2" t="s">
        <v>750</v>
      </c>
      <c r="AT1" s="47" t="s">
        <v>2285</v>
      </c>
      <c r="AU1" s="47" t="s">
        <v>2286</v>
      </c>
    </row>
    <row r="2" spans="1:47" x14ac:dyDescent="0.35">
      <c r="A2">
        <v>1</v>
      </c>
      <c r="B2" s="3">
        <v>1</v>
      </c>
      <c r="C2" s="3" t="s">
        <v>33</v>
      </c>
      <c r="D2" s="3" t="s">
        <v>35</v>
      </c>
      <c r="E2" s="3" t="s">
        <v>751</v>
      </c>
      <c r="F2" s="3">
        <v>2025</v>
      </c>
      <c r="G2" s="3" t="s">
        <v>752</v>
      </c>
      <c r="H2" s="3" t="s">
        <v>753</v>
      </c>
      <c r="I2" s="3" t="s">
        <v>754</v>
      </c>
      <c r="J2" s="3">
        <v>13.01784</v>
      </c>
      <c r="K2" s="3">
        <v>80.268242000000001</v>
      </c>
      <c r="L2" s="3" t="s">
        <v>755</v>
      </c>
      <c r="M2" s="3">
        <v>6672194</v>
      </c>
      <c r="N2" s="11">
        <v>15286</v>
      </c>
      <c r="O2" s="3" t="s">
        <v>2327</v>
      </c>
      <c r="P2" s="3" t="s">
        <v>756</v>
      </c>
      <c r="Q2" s="3" t="s">
        <v>2335</v>
      </c>
      <c r="R2" s="3">
        <v>1400</v>
      </c>
      <c r="S2" s="3">
        <v>27.9</v>
      </c>
      <c r="T2" s="3" t="s">
        <v>759</v>
      </c>
      <c r="U2" t="s">
        <v>2303</v>
      </c>
      <c r="V2" s="3" t="s">
        <v>2353</v>
      </c>
      <c r="W2" s="3" t="s">
        <v>762</v>
      </c>
      <c r="X2" s="3" t="s">
        <v>2348</v>
      </c>
      <c r="Y2" s="3" t="s">
        <v>764</v>
      </c>
      <c r="Z2" s="3" t="s">
        <v>2026</v>
      </c>
      <c r="AA2" s="3" t="s">
        <v>766</v>
      </c>
      <c r="AB2" s="3" t="s">
        <v>762</v>
      </c>
      <c r="AC2" s="3">
        <v>325.70999999999998</v>
      </c>
      <c r="AD2" s="3">
        <f>AC2/AQ2</f>
        <v>1.4219908920284947</v>
      </c>
      <c r="AE2" s="3">
        <v>1195.42</v>
      </c>
      <c r="AF2" s="3">
        <f>AE2/AQ2</f>
        <v>5.2189872959034211</v>
      </c>
      <c r="AG2" s="3" t="s">
        <v>768</v>
      </c>
      <c r="AH2" s="3">
        <v>99.89</v>
      </c>
      <c r="AI2" s="3">
        <v>2288</v>
      </c>
      <c r="AJ2" s="3">
        <v>8397.0499999999993</v>
      </c>
      <c r="AK2" s="3">
        <f>AJ2/AQ2</f>
        <v>36.660000061121465</v>
      </c>
      <c r="AL2" s="3">
        <v>222.26</v>
      </c>
      <c r="AM2" s="3">
        <f>AL2*AQ2</f>
        <v>50909.119745999997</v>
      </c>
      <c r="AN2" s="3">
        <f>AL2/1.24</f>
        <v>179.24193548387098</v>
      </c>
      <c r="AO2" s="3">
        <f>AN2*0.24</f>
        <v>43.01806451612903</v>
      </c>
      <c r="AP2" s="3">
        <v>229.0521</v>
      </c>
      <c r="AQ2" s="3">
        <v>229.0521</v>
      </c>
      <c r="AR2" s="3">
        <v>14</v>
      </c>
      <c r="AS2" s="3" t="s">
        <v>2008</v>
      </c>
      <c r="AT2" s="3">
        <v>3900</v>
      </c>
      <c r="AU2" s="3" t="s">
        <v>763</v>
      </c>
    </row>
    <row r="3" spans="1:47" x14ac:dyDescent="0.35">
      <c r="A3">
        <v>2</v>
      </c>
      <c r="B3" s="3">
        <v>2</v>
      </c>
      <c r="C3" s="3" t="s">
        <v>38</v>
      </c>
      <c r="D3" s="3" t="s">
        <v>40</v>
      </c>
      <c r="E3" s="3" t="s">
        <v>751</v>
      </c>
      <c r="F3" s="3">
        <v>2023</v>
      </c>
      <c r="G3" s="3" t="s">
        <v>1890</v>
      </c>
      <c r="H3" s="3" t="s">
        <v>753</v>
      </c>
      <c r="I3" s="3" t="s">
        <v>776</v>
      </c>
      <c r="J3" s="3">
        <v>-12.816667000000001</v>
      </c>
      <c r="K3" s="3">
        <v>28.2</v>
      </c>
      <c r="L3" s="3" t="s">
        <v>779</v>
      </c>
      <c r="M3" s="3">
        <v>522092</v>
      </c>
      <c r="N3">
        <v>819.6</v>
      </c>
      <c r="O3" s="3" t="s">
        <v>2326</v>
      </c>
      <c r="P3" s="3" t="s">
        <v>780</v>
      </c>
      <c r="Q3" s="3" t="s">
        <v>2333</v>
      </c>
      <c r="R3" s="3">
        <v>1226</v>
      </c>
      <c r="S3" s="3">
        <v>22.3</v>
      </c>
      <c r="T3" s="3" t="s">
        <v>2079</v>
      </c>
      <c r="U3" t="s">
        <v>2298</v>
      </c>
      <c r="V3" s="3" t="s">
        <v>2351</v>
      </c>
      <c r="W3" s="3" t="s">
        <v>787</v>
      </c>
      <c r="X3" s="3" t="s">
        <v>2348</v>
      </c>
      <c r="Y3" s="3" t="s">
        <v>764</v>
      </c>
      <c r="Z3" s="3" t="s">
        <v>2027</v>
      </c>
      <c r="AA3" s="3" t="s">
        <v>766</v>
      </c>
      <c r="AB3" s="3" t="s">
        <v>787</v>
      </c>
      <c r="AC3" s="3" t="s">
        <v>763</v>
      </c>
      <c r="AD3" s="3" t="s">
        <v>763</v>
      </c>
      <c r="AE3" s="3" t="s">
        <v>763</v>
      </c>
      <c r="AF3" s="3" t="s">
        <v>763</v>
      </c>
      <c r="AG3" s="3" t="s">
        <v>789</v>
      </c>
      <c r="AH3" s="4">
        <f>AI3/AQ3</f>
        <v>3.6859716859716858E-3</v>
      </c>
      <c r="AI3" s="4">
        <v>286.39999999999998</v>
      </c>
      <c r="AJ3" s="4">
        <v>1211.93</v>
      </c>
      <c r="AK3" s="4">
        <f>AJ3/AQ3</f>
        <v>1.5597554697554698E-2</v>
      </c>
      <c r="AL3" s="4">
        <f>AN3+AO3</f>
        <v>9.1412097812097817E-3</v>
      </c>
      <c r="AM3" s="4">
        <f>AL3*AQ3</f>
        <v>710.27200000000005</v>
      </c>
      <c r="AN3" s="4">
        <f>572.8/AQ3</f>
        <v>7.3719433719433717E-3</v>
      </c>
      <c r="AO3" s="4">
        <f>AN3*0.24</f>
        <v>1.7692664092664092E-3</v>
      </c>
      <c r="AP3" s="3">
        <v>77700</v>
      </c>
      <c r="AQ3" s="3">
        <v>77700</v>
      </c>
      <c r="AR3" s="3" t="s">
        <v>763</v>
      </c>
      <c r="AS3" s="3" t="s">
        <v>792</v>
      </c>
      <c r="AT3" s="3">
        <f>991/AQ3</f>
        <v>1.2754182754182754E-2</v>
      </c>
      <c r="AU3" s="3" t="s">
        <v>763</v>
      </c>
    </row>
    <row r="4" spans="1:47" x14ac:dyDescent="0.35">
      <c r="A4">
        <v>3</v>
      </c>
      <c r="B4" s="15">
        <v>3</v>
      </c>
      <c r="C4" s="3" t="s">
        <v>43</v>
      </c>
      <c r="D4" s="3" t="s">
        <v>45</v>
      </c>
      <c r="E4" s="3" t="s">
        <v>751</v>
      </c>
      <c r="F4" s="3">
        <v>2022</v>
      </c>
      <c r="G4" s="3" t="s">
        <v>794</v>
      </c>
      <c r="H4" s="3" t="s">
        <v>795</v>
      </c>
      <c r="I4" s="3" t="s">
        <v>754</v>
      </c>
      <c r="J4" s="3">
        <v>4.6785030000000001</v>
      </c>
      <c r="K4" s="3">
        <v>101.07940000000001</v>
      </c>
      <c r="L4" s="3" t="s">
        <v>798</v>
      </c>
      <c r="M4" s="11">
        <v>35577</v>
      </c>
      <c r="N4" s="5">
        <v>1986</v>
      </c>
      <c r="O4" s="3" t="s">
        <v>2327</v>
      </c>
      <c r="P4" s="3" t="s">
        <v>799</v>
      </c>
      <c r="Q4" s="3" t="s">
        <v>2340</v>
      </c>
      <c r="R4">
        <v>2298</v>
      </c>
      <c r="S4" s="3">
        <v>25.8</v>
      </c>
      <c r="T4" s="3" t="s">
        <v>763</v>
      </c>
      <c r="U4" t="s">
        <v>2300</v>
      </c>
      <c r="V4" s="19" t="s">
        <v>2354</v>
      </c>
      <c r="W4" s="3" t="s">
        <v>762</v>
      </c>
      <c r="X4" s="3" t="s">
        <v>2346</v>
      </c>
      <c r="Y4" s="3" t="s">
        <v>801</v>
      </c>
      <c r="Z4" s="3" t="s">
        <v>802</v>
      </c>
      <c r="AA4" s="3" t="s">
        <v>766</v>
      </c>
      <c r="AB4" s="3" t="s">
        <v>762</v>
      </c>
      <c r="AC4" s="3" t="s">
        <v>763</v>
      </c>
      <c r="AD4" s="3" t="s">
        <v>763</v>
      </c>
      <c r="AE4" s="3" t="s">
        <v>763</v>
      </c>
      <c r="AF4" s="3" t="s">
        <v>763</v>
      </c>
      <c r="AG4" s="3" t="s">
        <v>789</v>
      </c>
      <c r="AH4">
        <f>AI4/AQ4</f>
        <v>15.056274620843656</v>
      </c>
      <c r="AI4" s="3">
        <f xml:space="preserve"> ((1995*48.953)+(2005*662.568)+(2015*860.027))/(1995+2005+2015)</f>
        <v>525.19775228595176</v>
      </c>
      <c r="AJ4" s="3">
        <f>AI4*3.67</f>
        <v>1927.4757508894429</v>
      </c>
      <c r="AK4" s="3">
        <f>AH4*3.67</f>
        <v>55.256527858496213</v>
      </c>
      <c r="AL4" s="4">
        <f t="shared" ref="AL4" si="0">AN4+AO4</f>
        <v>37.339584876621622</v>
      </c>
      <c r="AM4" s="4">
        <f>AL4*AQ4</f>
        <v>1302.4912564588531</v>
      </c>
      <c r="AN4" s="3">
        <f>(((1995*97.906)+(2005*1325.136)+(2015*1720.056))/(1995+2005+2015))/AQ4</f>
        <v>30.112568448888403</v>
      </c>
      <c r="AO4" s="4">
        <f t="shared" ref="AO4" si="1">AN4*0.24</f>
        <v>7.2270164277332167</v>
      </c>
      <c r="AP4" t="s">
        <v>2246</v>
      </c>
      <c r="AQ4">
        <f>((1995*52.951)+(2005*31.599)+(2015*20.26))/(1995+2005+2015)</f>
        <v>34.882317539484617</v>
      </c>
      <c r="AR4" s="3" t="s">
        <v>763</v>
      </c>
      <c r="AS4" s="3" t="s">
        <v>763</v>
      </c>
      <c r="AT4" s="3" t="s">
        <v>763</v>
      </c>
      <c r="AU4" s="3" t="s">
        <v>763</v>
      </c>
    </row>
    <row r="5" spans="1:47" x14ac:dyDescent="0.35">
      <c r="A5">
        <v>5</v>
      </c>
      <c r="B5" s="3">
        <v>4</v>
      </c>
      <c r="C5" s="3" t="s">
        <v>53</v>
      </c>
      <c r="D5" s="3" t="s">
        <v>55</v>
      </c>
      <c r="E5" s="3" t="s">
        <v>751</v>
      </c>
      <c r="F5" s="3">
        <v>2016</v>
      </c>
      <c r="G5" s="3" t="s">
        <v>1892</v>
      </c>
      <c r="H5" s="3" t="s">
        <v>753</v>
      </c>
      <c r="I5" s="3" t="s">
        <v>754</v>
      </c>
      <c r="J5" s="3">
        <v>7.25</v>
      </c>
      <c r="K5" s="3">
        <v>5.1950000000000003</v>
      </c>
      <c r="L5" s="3" t="s">
        <v>822</v>
      </c>
      <c r="M5" s="3">
        <v>500000</v>
      </c>
      <c r="N5">
        <v>489</v>
      </c>
      <c r="O5" s="3" t="s">
        <v>2326</v>
      </c>
      <c r="P5" s="3" t="s">
        <v>823</v>
      </c>
      <c r="Q5" s="3" t="s">
        <v>2335</v>
      </c>
      <c r="R5">
        <v>1711</v>
      </c>
      <c r="S5" s="3">
        <v>25.1</v>
      </c>
      <c r="T5" s="3" t="s">
        <v>2079</v>
      </c>
      <c r="U5" t="s">
        <v>2300</v>
      </c>
      <c r="V5" s="3" t="s">
        <v>2351</v>
      </c>
      <c r="W5" s="3" t="s">
        <v>787</v>
      </c>
      <c r="X5" s="3" t="s">
        <v>2348</v>
      </c>
      <c r="Y5" s="3" t="s">
        <v>764</v>
      </c>
      <c r="Z5" s="7" t="s">
        <v>2028</v>
      </c>
      <c r="AA5" s="7" t="s">
        <v>766</v>
      </c>
      <c r="AB5" s="3" t="s">
        <v>826</v>
      </c>
      <c r="AC5" s="3" t="s">
        <v>763</v>
      </c>
      <c r="AD5" s="3" t="s">
        <v>763</v>
      </c>
      <c r="AE5" s="3" t="s">
        <v>763</v>
      </c>
      <c r="AF5" s="3" t="s">
        <v>763</v>
      </c>
      <c r="AG5" s="3" t="s">
        <v>789</v>
      </c>
      <c r="AH5" s="3" t="s">
        <v>763</v>
      </c>
      <c r="AI5" s="3">
        <v>9.9374400000000005</v>
      </c>
      <c r="AJ5" s="3">
        <v>35.736359999999998</v>
      </c>
      <c r="AK5" s="3" t="s">
        <v>763</v>
      </c>
      <c r="AL5" s="4" t="s">
        <v>763</v>
      </c>
      <c r="AM5" s="4">
        <f>(19.87)+(19.87*0.24)</f>
        <v>24.6388</v>
      </c>
      <c r="AN5" s="34" t="s">
        <v>2234</v>
      </c>
      <c r="AO5" s="4" t="s">
        <v>763</v>
      </c>
      <c r="AP5" s="32" t="s">
        <v>763</v>
      </c>
      <c r="AQ5" s="32" t="s">
        <v>763</v>
      </c>
      <c r="AR5" s="3" t="s">
        <v>763</v>
      </c>
      <c r="AS5" s="3" t="s">
        <v>2009</v>
      </c>
      <c r="AT5" s="5" t="s">
        <v>763</v>
      </c>
      <c r="AU5" s="5" t="s">
        <v>763</v>
      </c>
    </row>
    <row r="6" spans="1:47" x14ac:dyDescent="0.35">
      <c r="A6">
        <v>6</v>
      </c>
      <c r="B6" s="3">
        <v>5</v>
      </c>
      <c r="C6" s="3" t="s">
        <v>58</v>
      </c>
      <c r="D6" s="3" t="s">
        <v>60</v>
      </c>
      <c r="E6" s="3" t="s">
        <v>751</v>
      </c>
      <c r="F6" s="3">
        <v>2024</v>
      </c>
      <c r="G6" s="3" t="s">
        <v>830</v>
      </c>
      <c r="H6" s="3" t="s">
        <v>753</v>
      </c>
      <c r="I6" s="3" t="s">
        <v>776</v>
      </c>
      <c r="J6" s="3">
        <v>-6.8858100000000002</v>
      </c>
      <c r="K6" s="3">
        <v>107.61136999999999</v>
      </c>
      <c r="L6" s="3" t="s">
        <v>831</v>
      </c>
      <c r="M6" s="5">
        <v>2527854</v>
      </c>
      <c r="N6" s="11">
        <v>14251</v>
      </c>
      <c r="O6" s="3" t="s">
        <v>2327</v>
      </c>
      <c r="P6" s="3" t="s">
        <v>832</v>
      </c>
      <c r="Q6" s="3" t="s">
        <v>2340</v>
      </c>
      <c r="R6">
        <v>3710</v>
      </c>
      <c r="S6" s="3">
        <v>22.4</v>
      </c>
      <c r="T6" s="3" t="s">
        <v>759</v>
      </c>
      <c r="U6" t="s">
        <v>2300</v>
      </c>
      <c r="V6" s="19" t="s">
        <v>2354</v>
      </c>
      <c r="W6" s="3" t="s">
        <v>762</v>
      </c>
      <c r="X6" s="3" t="s">
        <v>2348</v>
      </c>
      <c r="Y6" s="7" t="s">
        <v>2003</v>
      </c>
      <c r="Z6" s="3" t="s">
        <v>2038</v>
      </c>
      <c r="AA6" s="3" t="s">
        <v>766</v>
      </c>
      <c r="AB6" s="3" t="s">
        <v>762</v>
      </c>
      <c r="AC6" s="3">
        <v>25.17</v>
      </c>
      <c r="AD6" s="3">
        <f>AC6/AQ6</f>
        <v>5.0340000000000007</v>
      </c>
      <c r="AE6" s="3">
        <f>AC6*3.67</f>
        <v>92.373900000000006</v>
      </c>
      <c r="AF6" s="3">
        <f>AE6/AQ6</f>
        <v>18.474780000000003</v>
      </c>
      <c r="AG6" s="3" t="s">
        <v>789</v>
      </c>
      <c r="AH6" s="3">
        <f>AI6/AQ6</f>
        <v>76.2</v>
      </c>
      <c r="AI6" s="3">
        <v>381</v>
      </c>
      <c r="AJ6" s="3">
        <f>AI6*3.67</f>
        <v>1398.27</v>
      </c>
      <c r="AK6" s="3">
        <f>AJ6/AQ6</f>
        <v>279.654</v>
      </c>
      <c r="AL6" s="3">
        <f>AH6/0.47</f>
        <v>162.12765957446811</v>
      </c>
      <c r="AM6" s="3">
        <f>AI6/0.47</f>
        <v>810.63829787234044</v>
      </c>
      <c r="AN6" s="3">
        <f>AH6/1.24</f>
        <v>61.451612903225808</v>
      </c>
      <c r="AO6" s="3">
        <f>AN6*0.24</f>
        <v>14.748387096774193</v>
      </c>
      <c r="AP6" s="3">
        <v>5</v>
      </c>
      <c r="AQ6" s="3">
        <v>5</v>
      </c>
      <c r="AR6" s="3" t="s">
        <v>763</v>
      </c>
      <c r="AS6" s="3" t="s">
        <v>2277</v>
      </c>
      <c r="AT6" s="3">
        <v>321</v>
      </c>
      <c r="AU6" s="3" t="s">
        <v>763</v>
      </c>
    </row>
    <row r="7" spans="1:47" x14ac:dyDescent="0.35">
      <c r="A7">
        <v>7</v>
      </c>
      <c r="B7" s="3">
        <v>6</v>
      </c>
      <c r="C7" s="3" t="s">
        <v>63</v>
      </c>
      <c r="D7" s="3" t="s">
        <v>65</v>
      </c>
      <c r="E7" s="3" t="s">
        <v>751</v>
      </c>
      <c r="F7" s="3">
        <v>2023</v>
      </c>
      <c r="G7" s="3">
        <v>2020</v>
      </c>
      <c r="H7" s="3" t="s">
        <v>753</v>
      </c>
      <c r="I7" s="3" t="s">
        <v>776</v>
      </c>
      <c r="J7" s="3">
        <v>-21.688889</v>
      </c>
      <c r="K7" s="3">
        <v>-43.344444000000003</v>
      </c>
      <c r="L7" s="3" t="s">
        <v>845</v>
      </c>
      <c r="M7" s="3">
        <v>573285</v>
      </c>
      <c r="N7">
        <v>376.6</v>
      </c>
      <c r="O7" s="3" t="s">
        <v>2325</v>
      </c>
      <c r="P7" s="3" t="s">
        <v>846</v>
      </c>
      <c r="Q7" s="3" t="s">
        <v>2333</v>
      </c>
      <c r="R7" s="3">
        <v>1500</v>
      </c>
      <c r="S7" s="3">
        <v>19</v>
      </c>
      <c r="T7" s="3" t="s">
        <v>763</v>
      </c>
      <c r="U7" t="s">
        <v>2300</v>
      </c>
      <c r="V7" s="19" t="s">
        <v>2354</v>
      </c>
      <c r="W7" s="3" t="s">
        <v>787</v>
      </c>
      <c r="X7" s="3" t="s">
        <v>2349</v>
      </c>
      <c r="Y7" s="3" t="s">
        <v>1990</v>
      </c>
      <c r="Z7" t="s">
        <v>1032</v>
      </c>
      <c r="AA7" s="3" t="s">
        <v>766</v>
      </c>
      <c r="AB7" s="3" t="s">
        <v>787</v>
      </c>
      <c r="AC7" s="3">
        <v>158430</v>
      </c>
      <c r="AD7" s="3">
        <f>AC7/AQ7</f>
        <v>3.1686000000000001</v>
      </c>
      <c r="AE7" s="3">
        <v>580920</v>
      </c>
      <c r="AF7" s="3">
        <f>AE7/AQ7</f>
        <v>11.618399999999999</v>
      </c>
      <c r="AG7" s="3" t="s">
        <v>789</v>
      </c>
      <c r="AH7" s="3">
        <f>AI7/AQ7</f>
        <v>79.577399999999997</v>
      </c>
      <c r="AI7" s="3">
        <v>3978870</v>
      </c>
      <c r="AJ7" s="3">
        <f>AI7*3.67</f>
        <v>14602452.9</v>
      </c>
      <c r="AK7" s="3">
        <f>AJ7/AQ7</f>
        <v>292.049058</v>
      </c>
      <c r="AL7" s="3">
        <f>AH7/0.47</f>
        <v>169.3136170212766</v>
      </c>
      <c r="AM7" s="3">
        <f>AI7/0.47</f>
        <v>8465680.8510638308</v>
      </c>
      <c r="AN7" s="3">
        <f>AH7/1.24</f>
        <v>64.175322580645158</v>
      </c>
      <c r="AO7" s="3">
        <f>AN7*0.24</f>
        <v>15.402077419354837</v>
      </c>
      <c r="AP7" s="3">
        <v>50000</v>
      </c>
      <c r="AQ7" s="3">
        <v>50000</v>
      </c>
      <c r="AR7" s="3" t="s">
        <v>763</v>
      </c>
      <c r="AS7" s="3" t="s">
        <v>763</v>
      </c>
      <c r="AT7" s="3" t="s">
        <v>763</v>
      </c>
      <c r="AU7" s="3">
        <f>AQ7*0.3586</f>
        <v>17930</v>
      </c>
    </row>
    <row r="8" spans="1:47" x14ac:dyDescent="0.35">
      <c r="A8">
        <v>8</v>
      </c>
      <c r="B8" s="3">
        <v>7</v>
      </c>
      <c r="C8" s="3" t="s">
        <v>857</v>
      </c>
      <c r="D8" s="3" t="s">
        <v>858</v>
      </c>
      <c r="E8" s="3" t="s">
        <v>859</v>
      </c>
      <c r="F8" s="3">
        <v>2014</v>
      </c>
      <c r="G8" s="3" t="s">
        <v>1893</v>
      </c>
      <c r="H8" s="3" t="s">
        <v>753</v>
      </c>
      <c r="I8" s="3" t="s">
        <v>776</v>
      </c>
      <c r="J8" s="3">
        <v>-20.8</v>
      </c>
      <c r="K8" s="3">
        <v>-42.883333</v>
      </c>
      <c r="L8" s="3" t="s">
        <v>863</v>
      </c>
      <c r="M8" s="11">
        <v>72220</v>
      </c>
      <c r="N8">
        <v>255.3</v>
      </c>
      <c r="O8" s="3" t="s">
        <v>2325</v>
      </c>
      <c r="P8" s="3" t="s">
        <v>846</v>
      </c>
      <c r="Q8" s="3" t="s">
        <v>2333</v>
      </c>
      <c r="R8" s="3">
        <v>1251</v>
      </c>
      <c r="S8" s="3">
        <v>20.399999999999999</v>
      </c>
      <c r="T8" s="3" t="s">
        <v>763</v>
      </c>
      <c r="U8" t="s">
        <v>2300</v>
      </c>
      <c r="V8" s="19" t="s">
        <v>2354</v>
      </c>
      <c r="W8" s="3" t="s">
        <v>787</v>
      </c>
      <c r="X8" s="3" t="s">
        <v>2346</v>
      </c>
      <c r="Y8" s="3" t="s">
        <v>866</v>
      </c>
      <c r="Z8" s="3" t="s">
        <v>763</v>
      </c>
      <c r="AA8" s="3" t="s">
        <v>766</v>
      </c>
      <c r="AB8" s="3" t="s">
        <v>787</v>
      </c>
      <c r="AC8" s="3">
        <f>AE8/3.67</f>
        <v>428.65442036672539</v>
      </c>
      <c r="AD8" s="3">
        <f>AF8/3.67</f>
        <v>0.81625139553789472</v>
      </c>
      <c r="AE8" s="3">
        <f>((1285.89*175.19)+(1596.89*290.08)+(2298.68*59.88))/(175.19+290.08+59.88)</f>
        <v>1573.1617227458821</v>
      </c>
      <c r="AF8" s="3">
        <f>AE8/AQ8</f>
        <v>2.9956426216240737</v>
      </c>
      <c r="AG8" s="3" t="s">
        <v>789</v>
      </c>
      <c r="AH8" s="3" t="s">
        <v>763</v>
      </c>
      <c r="AI8" s="3" t="s">
        <v>763</v>
      </c>
      <c r="AJ8" s="3" t="s">
        <v>763</v>
      </c>
      <c r="AK8" s="3" t="s">
        <v>763</v>
      </c>
      <c r="AL8" s="3" t="s">
        <v>763</v>
      </c>
      <c r="AM8" s="3" t="s">
        <v>763</v>
      </c>
      <c r="AN8" s="3" t="s">
        <v>763</v>
      </c>
      <c r="AO8" s="3" t="s">
        <v>763</v>
      </c>
      <c r="AP8" s="3" t="s">
        <v>2111</v>
      </c>
      <c r="AQ8" s="3">
        <f>(175.19+290.08+59.88)</f>
        <v>525.15</v>
      </c>
      <c r="AR8" s="3" t="s">
        <v>763</v>
      </c>
      <c r="AS8" s="3" t="s">
        <v>870</v>
      </c>
      <c r="AT8" s="3" t="s">
        <v>763</v>
      </c>
      <c r="AU8" s="3" t="s">
        <v>763</v>
      </c>
    </row>
    <row r="9" spans="1:47" x14ac:dyDescent="0.35">
      <c r="A9">
        <v>10</v>
      </c>
      <c r="B9" s="3">
        <v>8</v>
      </c>
      <c r="C9" s="3" t="s">
        <v>871</v>
      </c>
      <c r="D9" s="3" t="s">
        <v>872</v>
      </c>
      <c r="E9" s="3" t="s">
        <v>873</v>
      </c>
      <c r="F9" s="3">
        <v>2018</v>
      </c>
      <c r="G9" s="3" t="s">
        <v>1894</v>
      </c>
      <c r="H9" s="3" t="s">
        <v>753</v>
      </c>
      <c r="I9" s="3" t="s">
        <v>754</v>
      </c>
      <c r="J9" s="3">
        <v>20.143651999999999</v>
      </c>
      <c r="K9" s="3">
        <v>-75.202138000000005</v>
      </c>
      <c r="L9" s="3" t="s">
        <v>877</v>
      </c>
      <c r="M9" s="11">
        <v>228436</v>
      </c>
      <c r="N9">
        <v>887.5</v>
      </c>
      <c r="O9" s="3" t="s">
        <v>2328</v>
      </c>
      <c r="P9" s="3" t="s">
        <v>878</v>
      </c>
      <c r="Q9" s="3" t="s">
        <v>2335</v>
      </c>
      <c r="R9" s="3">
        <v>851.1</v>
      </c>
      <c r="S9" s="3">
        <v>26.5</v>
      </c>
      <c r="T9" s="3" t="s">
        <v>881</v>
      </c>
      <c r="U9" t="s">
        <v>2300</v>
      </c>
      <c r="V9" s="3" t="s">
        <v>2351</v>
      </c>
      <c r="W9" s="3" t="s">
        <v>787</v>
      </c>
      <c r="X9" s="3" t="s">
        <v>2348</v>
      </c>
      <c r="Y9" s="3" t="s">
        <v>764</v>
      </c>
      <c r="Z9" s="3" t="s">
        <v>2025</v>
      </c>
      <c r="AA9" s="3" t="s">
        <v>766</v>
      </c>
      <c r="AB9" s="3" t="s">
        <v>826</v>
      </c>
      <c r="AC9" s="3" t="s">
        <v>763</v>
      </c>
      <c r="AD9" s="3" t="s">
        <v>763</v>
      </c>
      <c r="AE9" s="3" t="s">
        <v>763</v>
      </c>
      <c r="AF9" s="3" t="s">
        <v>763</v>
      </c>
      <c r="AG9" s="3" t="s">
        <v>768</v>
      </c>
      <c r="AH9" s="3">
        <f>AI9/AQ9</f>
        <v>394.47546856501481</v>
      </c>
      <c r="AI9" s="3">
        <v>76968.87</v>
      </c>
      <c r="AJ9" s="3">
        <f>AI9*3.67</f>
        <v>282475.75289999996</v>
      </c>
      <c r="AK9" s="3">
        <f>AJ9/AQ9</f>
        <v>1447.7249696336044</v>
      </c>
      <c r="AL9" s="4">
        <f>AM9/AQ9</f>
        <v>717.51820702450323</v>
      </c>
      <c r="AM9" s="4">
        <v>140000</v>
      </c>
      <c r="AN9" s="4">
        <f>107650/AQ9</f>
        <v>551.72024990134128</v>
      </c>
      <c r="AO9" s="4">
        <f>32320/AQ9</f>
        <v>165.64420322165677</v>
      </c>
      <c r="AP9" s="3">
        <v>195.11699999999999</v>
      </c>
      <c r="AQ9" s="3">
        <v>195.11699999999999</v>
      </c>
      <c r="AR9" s="3" t="s">
        <v>763</v>
      </c>
      <c r="AS9" s="3" t="s">
        <v>886</v>
      </c>
      <c r="AT9" s="3">
        <f>1259/AQ9</f>
        <v>6.4525387331703543</v>
      </c>
      <c r="AU9" s="3" t="s">
        <v>763</v>
      </c>
    </row>
    <row r="10" spans="1:47" x14ac:dyDescent="0.35">
      <c r="A10">
        <v>11</v>
      </c>
      <c r="B10" s="3">
        <v>9</v>
      </c>
      <c r="C10" s="3" t="s">
        <v>888</v>
      </c>
      <c r="D10" s="3" t="s">
        <v>889</v>
      </c>
      <c r="E10" s="3" t="s">
        <v>873</v>
      </c>
      <c r="F10" s="3">
        <v>2022</v>
      </c>
      <c r="G10" s="3" t="s">
        <v>1895</v>
      </c>
      <c r="H10" s="3" t="s">
        <v>753</v>
      </c>
      <c r="I10" s="3" t="s">
        <v>754</v>
      </c>
      <c r="J10" s="3">
        <v>18.658055999999998</v>
      </c>
      <c r="K10" s="3">
        <v>-91.827777999999995</v>
      </c>
      <c r="L10" s="3" t="s">
        <v>893</v>
      </c>
      <c r="M10" s="11">
        <v>184300</v>
      </c>
      <c r="N10" s="11"/>
      <c r="O10" s="3" t="s">
        <v>2328</v>
      </c>
      <c r="P10" s="3" t="s">
        <v>894</v>
      </c>
      <c r="Q10" s="3" t="s">
        <v>2335</v>
      </c>
      <c r="R10" s="3">
        <v>1550</v>
      </c>
      <c r="S10" s="3">
        <v>26</v>
      </c>
      <c r="T10" s="3" t="s">
        <v>759</v>
      </c>
      <c r="U10" t="s">
        <v>2303</v>
      </c>
      <c r="V10" s="3" t="s">
        <v>2353</v>
      </c>
      <c r="W10" s="3" t="s">
        <v>762</v>
      </c>
      <c r="X10" s="3" t="s">
        <v>2348</v>
      </c>
      <c r="Y10" s="3" t="s">
        <v>764</v>
      </c>
      <c r="Z10" s="3" t="s">
        <v>2026</v>
      </c>
      <c r="AA10" s="3" t="s">
        <v>766</v>
      </c>
      <c r="AB10" s="3" t="s">
        <v>762</v>
      </c>
      <c r="AC10" s="3" t="s">
        <v>763</v>
      </c>
      <c r="AD10" s="3" t="s">
        <v>763</v>
      </c>
      <c r="AE10" s="3" t="s">
        <v>763</v>
      </c>
      <c r="AF10" s="3" t="s">
        <v>763</v>
      </c>
      <c r="AG10" s="3" t="s">
        <v>768</v>
      </c>
      <c r="AH10" s="3">
        <v>352</v>
      </c>
      <c r="AI10" s="3">
        <f>AH10*AQ10</f>
        <v>2358.4</v>
      </c>
      <c r="AJ10" s="3">
        <f>AI10*3.67</f>
        <v>8655.3279999999995</v>
      </c>
      <c r="AK10" s="3">
        <f>AJ10/AQ10</f>
        <v>1291.8399999999999</v>
      </c>
      <c r="AL10" s="4">
        <f>AH10/0.47</f>
        <v>748.936170212766</v>
      </c>
      <c r="AM10" s="4">
        <f>AI10/0.47</f>
        <v>5017.8723404255325</v>
      </c>
      <c r="AN10" s="3">
        <f>AL10/1.24</f>
        <v>603.98078242965005</v>
      </c>
      <c r="AO10" s="3">
        <f>AN10*0.24</f>
        <v>144.95538778311601</v>
      </c>
      <c r="AP10" s="3">
        <v>6.7</v>
      </c>
      <c r="AQ10" s="3">
        <v>6.7</v>
      </c>
      <c r="AR10" s="3" t="s">
        <v>763</v>
      </c>
      <c r="AS10" s="3" t="s">
        <v>903</v>
      </c>
      <c r="AT10" s="3">
        <v>1281</v>
      </c>
      <c r="AU10" s="3" t="s">
        <v>763</v>
      </c>
    </row>
    <row r="11" spans="1:47" x14ac:dyDescent="0.35">
      <c r="A11">
        <v>12</v>
      </c>
      <c r="B11" s="3">
        <v>10</v>
      </c>
      <c r="C11" s="3" t="s">
        <v>905</v>
      </c>
      <c r="D11" s="3" t="s">
        <v>906</v>
      </c>
      <c r="E11" s="3" t="s">
        <v>873</v>
      </c>
      <c r="F11" s="3">
        <v>2023</v>
      </c>
      <c r="G11" s="3" t="s">
        <v>1896</v>
      </c>
      <c r="H11" s="3" t="s">
        <v>753</v>
      </c>
      <c r="I11" s="3" t="s">
        <v>754</v>
      </c>
      <c r="J11" s="3">
        <v>19.464027999999999</v>
      </c>
      <c r="K11" s="3">
        <v>-98.826291999999995</v>
      </c>
      <c r="L11" s="20" t="s">
        <v>1774</v>
      </c>
      <c r="M11" s="11">
        <v>35491</v>
      </c>
      <c r="N11" s="11">
        <v>6476</v>
      </c>
      <c r="O11" s="3" t="s">
        <v>2328</v>
      </c>
      <c r="P11" s="3" t="s">
        <v>894</v>
      </c>
      <c r="Q11" s="3" t="s">
        <v>2334</v>
      </c>
      <c r="R11" s="3">
        <v>613.20000000000005</v>
      </c>
      <c r="S11" s="3">
        <v>15</v>
      </c>
      <c r="T11" s="3" t="s">
        <v>2080</v>
      </c>
      <c r="U11" t="s">
        <v>2304</v>
      </c>
      <c r="V11" s="19" t="s">
        <v>2354</v>
      </c>
      <c r="W11" s="3" t="s">
        <v>787</v>
      </c>
      <c r="X11" s="3" t="s">
        <v>2346</v>
      </c>
      <c r="Y11" s="7" t="s">
        <v>2003</v>
      </c>
      <c r="Z11" s="7" t="s">
        <v>2029</v>
      </c>
      <c r="AA11" s="3" t="s">
        <v>766</v>
      </c>
      <c r="AB11" s="3" t="s">
        <v>787</v>
      </c>
      <c r="AC11" s="3">
        <v>0.69025999999999998</v>
      </c>
      <c r="AD11" s="3">
        <f>AC11/AQ11</f>
        <v>1.0192852923803897</v>
      </c>
      <c r="AE11" s="3">
        <f>AC11*3.67</f>
        <v>2.5332542</v>
      </c>
      <c r="AF11" s="3">
        <f>AE11/AQ11</f>
        <v>3.7407770230360304</v>
      </c>
      <c r="AG11" s="3" t="s">
        <v>768</v>
      </c>
      <c r="AH11" s="3">
        <f>AI11/AQ11</f>
        <v>19.255759007678677</v>
      </c>
      <c r="AI11" s="3">
        <v>13.04</v>
      </c>
      <c r="AJ11" s="3">
        <f>AI11*3.67</f>
        <v>47.856799999999993</v>
      </c>
      <c r="AK11" s="3">
        <f>AJ11/AQ11</f>
        <v>70.668635558180725</v>
      </c>
      <c r="AL11" s="3">
        <f>AH11/0.47</f>
        <v>40.969700016337612</v>
      </c>
      <c r="AM11" s="3">
        <f>AI11/0.47</f>
        <v>27.74468085106383</v>
      </c>
      <c r="AN11" s="3">
        <f>AH11/1.24</f>
        <v>15.528837909418288</v>
      </c>
      <c r="AO11" s="3">
        <f>AN11*0.24</f>
        <v>3.7269210982603891</v>
      </c>
      <c r="AP11" s="7">
        <v>0.67720000000000002</v>
      </c>
      <c r="AQ11" s="7">
        <v>0.67720000000000002</v>
      </c>
      <c r="AR11" s="3" t="s">
        <v>763</v>
      </c>
      <c r="AS11" s="7" t="s">
        <v>2269</v>
      </c>
      <c r="AT11" s="3">
        <f>276/AQ11</f>
        <v>407.56054341405786</v>
      </c>
      <c r="AU11" s="3" t="s">
        <v>763</v>
      </c>
    </row>
    <row r="12" spans="1:47" x14ac:dyDescent="0.35">
      <c r="A12">
        <v>13</v>
      </c>
      <c r="B12" s="3">
        <v>11</v>
      </c>
      <c r="C12" s="15" t="s">
        <v>82</v>
      </c>
      <c r="D12" s="3" t="s">
        <v>84</v>
      </c>
      <c r="E12" s="3" t="s">
        <v>751</v>
      </c>
      <c r="F12" s="3">
        <v>2024</v>
      </c>
      <c r="G12" s="3">
        <v>2023</v>
      </c>
      <c r="H12" s="3" t="s">
        <v>753</v>
      </c>
      <c r="I12" s="3" t="s">
        <v>754</v>
      </c>
      <c r="J12" s="3">
        <v>9.5333330000000007</v>
      </c>
      <c r="K12" s="3">
        <v>76.599999999999994</v>
      </c>
      <c r="L12" s="3" t="s">
        <v>920</v>
      </c>
      <c r="M12" s="5">
        <v>55374</v>
      </c>
      <c r="N12" s="11">
        <v>3463</v>
      </c>
      <c r="O12" s="3" t="s">
        <v>2327</v>
      </c>
      <c r="P12" s="3" t="s">
        <v>756</v>
      </c>
      <c r="Q12" s="3" t="s">
        <v>2339</v>
      </c>
      <c r="R12" s="3">
        <v>2600</v>
      </c>
      <c r="S12" s="3">
        <v>25</v>
      </c>
      <c r="T12" s="3" t="s">
        <v>763</v>
      </c>
      <c r="U12" t="s">
        <v>2300</v>
      </c>
      <c r="V12" s="19" t="s">
        <v>2354</v>
      </c>
      <c r="W12" s="3" t="s">
        <v>787</v>
      </c>
      <c r="X12" s="3" t="s">
        <v>2346</v>
      </c>
      <c r="Y12" s="3" t="s">
        <v>925</v>
      </c>
      <c r="Z12" s="3" t="s">
        <v>2033</v>
      </c>
      <c r="AA12" s="3" t="s">
        <v>766</v>
      </c>
      <c r="AB12" s="3" t="s">
        <v>787</v>
      </c>
      <c r="AC12" s="3">
        <f>AD12*AQ12</f>
        <v>328.77358490566036</v>
      </c>
      <c r="AD12">
        <f>(((570/(10*23)*10 + 1425/(25*23)*25 + 2850/(50*23)*50)/ (10+25+50))*23 + ((1480/(10*30)*10 + 3700/(25*30)*25 + 7400/(50*30)*50)/(10+25+50))*30) / (23+30)</f>
        <v>3.8679245283018866</v>
      </c>
      <c r="AE12" s="3">
        <f>AC12*3.67</f>
        <v>1206.5990566037735</v>
      </c>
      <c r="AF12" s="3">
        <f>AD12*3.67</f>
        <v>14.195283018867924</v>
      </c>
      <c r="AG12" s="3" t="s">
        <v>768</v>
      </c>
      <c r="AH12" s="3">
        <f>AI12/AQ12</f>
        <v>108.50943396226415</v>
      </c>
      <c r="AI12">
        <f>(((570 + 1425 + 2850)*23) + ((1480 + 3700 + 7400)*30)) / (23+30)</f>
        <v>9223.3018867924529</v>
      </c>
      <c r="AJ12" s="3">
        <f>AI12*3.67</f>
        <v>33849.5179245283</v>
      </c>
      <c r="AK12" s="3">
        <f>AJ12/AQ12</f>
        <v>398.22962264150942</v>
      </c>
      <c r="AL12" s="3">
        <f>AH12/0.47</f>
        <v>230.87113608992374</v>
      </c>
      <c r="AM12" s="3">
        <f t="shared" ref="AM12:AM13" si="2">AI12/0.47</f>
        <v>19624.04656764352</v>
      </c>
      <c r="AN12" s="3">
        <f>AH12/1.24</f>
        <v>87.507608034084001</v>
      </c>
      <c r="AO12" s="3">
        <f t="shared" ref="AO12:AO13" si="3">AN12*0.24</f>
        <v>21.00182592818016</v>
      </c>
      <c r="AP12" s="3">
        <v>85</v>
      </c>
      <c r="AQ12" s="3">
        <v>85</v>
      </c>
      <c r="AR12" s="3">
        <v>26.5</v>
      </c>
      <c r="AS12" s="3" t="s">
        <v>931</v>
      </c>
      <c r="AT12" s="3" t="s">
        <v>763</v>
      </c>
      <c r="AU12" s="3" t="s">
        <v>763</v>
      </c>
    </row>
    <row r="13" spans="1:47" x14ac:dyDescent="0.35">
      <c r="A13">
        <v>14</v>
      </c>
      <c r="B13" s="3">
        <v>12</v>
      </c>
      <c r="C13" s="3" t="s">
        <v>932</v>
      </c>
      <c r="D13" s="3" t="s">
        <v>933</v>
      </c>
      <c r="E13" s="3" t="s">
        <v>751</v>
      </c>
      <c r="F13" s="3">
        <v>2023</v>
      </c>
      <c r="G13" s="3" t="s">
        <v>763</v>
      </c>
      <c r="H13" s="3" t="s">
        <v>753</v>
      </c>
      <c r="I13" s="3" t="s">
        <v>754</v>
      </c>
      <c r="J13" s="3">
        <v>9.8820949999999996</v>
      </c>
      <c r="K13" s="3">
        <v>78.081536999999997</v>
      </c>
      <c r="L13" s="3" t="s">
        <v>2084</v>
      </c>
      <c r="M13" s="11">
        <v>1017865</v>
      </c>
      <c r="N13" s="11">
        <v>19589</v>
      </c>
      <c r="O13" s="3" t="s">
        <v>2327</v>
      </c>
      <c r="P13" s="3" t="s">
        <v>756</v>
      </c>
      <c r="Q13" s="3" t="s">
        <v>2335</v>
      </c>
      <c r="R13" s="3">
        <v>849</v>
      </c>
      <c r="S13" s="3">
        <v>28.2</v>
      </c>
      <c r="T13" s="3" t="s">
        <v>763</v>
      </c>
      <c r="U13" t="s">
        <v>2297</v>
      </c>
      <c r="V13" s="19" t="s">
        <v>2354</v>
      </c>
      <c r="W13" s="3" t="s">
        <v>762</v>
      </c>
      <c r="X13" s="3" t="s">
        <v>2346</v>
      </c>
      <c r="Y13" s="3" t="s">
        <v>936</v>
      </c>
      <c r="Z13" s="3" t="s">
        <v>2026</v>
      </c>
      <c r="AA13" s="3" t="s">
        <v>766</v>
      </c>
      <c r="AB13" s="3" t="s">
        <v>762</v>
      </c>
      <c r="AC13" s="3" t="s">
        <v>763</v>
      </c>
      <c r="AD13" s="3" t="s">
        <v>763</v>
      </c>
      <c r="AE13" s="3" t="s">
        <v>763</v>
      </c>
      <c r="AF13" s="3" t="s">
        <v>763</v>
      </c>
      <c r="AG13" s="3" t="s">
        <v>768</v>
      </c>
      <c r="AH13" s="3">
        <f>AI13/AQ13</f>
        <v>431.29883281121869</v>
      </c>
      <c r="AI13" s="3">
        <f>AJ13/3.67</f>
        <v>8727.0299727520432</v>
      </c>
      <c r="AJ13" s="3">
        <v>32028.2</v>
      </c>
      <c r="AK13" s="3">
        <f>AJ13/AQ13</f>
        <v>1582.8667164171727</v>
      </c>
      <c r="AL13" s="3">
        <f t="shared" ref="AL13" si="4">AH13/0.47</f>
        <v>917.65709108769943</v>
      </c>
      <c r="AM13" s="3">
        <f t="shared" si="2"/>
        <v>18568.148878195836</v>
      </c>
      <c r="AN13" s="3">
        <f t="shared" ref="AN13" si="5">AH13/1.24</f>
        <v>347.82163936388605</v>
      </c>
      <c r="AO13" s="3">
        <f t="shared" si="3"/>
        <v>83.477193447332652</v>
      </c>
      <c r="AP13" s="3">
        <v>20.234300000000001</v>
      </c>
      <c r="AQ13" s="3">
        <v>20.234300000000001</v>
      </c>
      <c r="AR13" s="3">
        <v>66</v>
      </c>
      <c r="AS13" s="3" t="s">
        <v>941</v>
      </c>
      <c r="AT13" s="3">
        <f>714/AQ13</f>
        <v>35.286617278581417</v>
      </c>
      <c r="AU13" s="3" t="s">
        <v>763</v>
      </c>
    </row>
    <row r="14" spans="1:47" x14ac:dyDescent="0.35">
      <c r="A14">
        <v>15</v>
      </c>
      <c r="B14" s="3">
        <v>13</v>
      </c>
      <c r="C14" s="3" t="s">
        <v>958</v>
      </c>
      <c r="D14" s="3" t="s">
        <v>959</v>
      </c>
      <c r="E14" s="3" t="s">
        <v>751</v>
      </c>
      <c r="F14" s="3">
        <v>2021</v>
      </c>
      <c r="G14" s="3">
        <v>2020</v>
      </c>
      <c r="H14" s="3" t="s">
        <v>753</v>
      </c>
      <c r="I14" s="3" t="s">
        <v>776</v>
      </c>
      <c r="J14" s="3">
        <v>-6.2394439999999998</v>
      </c>
      <c r="K14" s="3">
        <v>106.992778</v>
      </c>
      <c r="L14" s="3" t="s">
        <v>962</v>
      </c>
      <c r="M14" s="11">
        <v>2334871</v>
      </c>
      <c r="N14" s="11">
        <v>10906</v>
      </c>
      <c r="O14" s="3" t="s">
        <v>2327</v>
      </c>
      <c r="P14" s="3" t="s">
        <v>832</v>
      </c>
      <c r="Q14" s="3" t="s">
        <v>2339</v>
      </c>
      <c r="R14" s="3">
        <v>2266</v>
      </c>
      <c r="S14" s="3">
        <v>26.5</v>
      </c>
      <c r="T14" s="3" t="s">
        <v>763</v>
      </c>
      <c r="U14" t="s">
        <v>2300</v>
      </c>
      <c r="V14" s="3" t="s">
        <v>2357</v>
      </c>
      <c r="W14" s="3" t="s">
        <v>787</v>
      </c>
      <c r="X14" s="3" t="s">
        <v>2350</v>
      </c>
      <c r="Y14" s="3" t="s">
        <v>1989</v>
      </c>
      <c r="Z14" s="3" t="s">
        <v>2026</v>
      </c>
      <c r="AA14" s="3" t="s">
        <v>766</v>
      </c>
      <c r="AB14" s="3" t="s">
        <v>787</v>
      </c>
      <c r="AC14" s="3" t="s">
        <v>763</v>
      </c>
      <c r="AD14" s="3" t="s">
        <v>763</v>
      </c>
      <c r="AE14" s="3" t="s">
        <v>763</v>
      </c>
      <c r="AF14" s="3" t="s">
        <v>763</v>
      </c>
      <c r="AG14" s="3" t="s">
        <v>789</v>
      </c>
      <c r="AH14" s="4">
        <f>AL14*0.47</f>
        <v>0.58687959999999983</v>
      </c>
      <c r="AI14" s="4">
        <f>AM14*0.47</f>
        <v>853.90981799999975</v>
      </c>
      <c r="AJ14" s="4">
        <f>AI14*3.67</f>
        <v>3133.849032059999</v>
      </c>
      <c r="AK14" s="4">
        <f>AH14*3.67</f>
        <v>2.1538481319999994</v>
      </c>
      <c r="AL14" s="4">
        <f>AN14+AO14</f>
        <v>1.2486799999999998</v>
      </c>
      <c r="AM14" s="4">
        <f>AL14*AQ14</f>
        <v>1816.8293999999996</v>
      </c>
      <c r="AN14" s="3">
        <v>1.0069999999999999</v>
      </c>
      <c r="AO14" s="4">
        <f>AN14*0.24</f>
        <v>0.24167999999999998</v>
      </c>
      <c r="AP14" s="3">
        <v>1455</v>
      </c>
      <c r="AQ14" s="3">
        <v>1455</v>
      </c>
      <c r="AR14" s="3" t="s">
        <v>763</v>
      </c>
      <c r="AS14" s="3" t="s">
        <v>969</v>
      </c>
      <c r="AT14" s="3" t="s">
        <v>763</v>
      </c>
      <c r="AU14" s="3" t="s">
        <v>763</v>
      </c>
    </row>
    <row r="15" spans="1:47" x14ac:dyDescent="0.35">
      <c r="A15">
        <v>16</v>
      </c>
      <c r="B15" s="3">
        <v>14</v>
      </c>
      <c r="C15" s="3" t="s">
        <v>92</v>
      </c>
      <c r="D15" s="3" t="s">
        <v>1008</v>
      </c>
      <c r="E15" s="3" t="s">
        <v>751</v>
      </c>
      <c r="F15" s="3">
        <v>2020</v>
      </c>
      <c r="G15" s="27">
        <v>43831</v>
      </c>
      <c r="H15" s="3" t="s">
        <v>753</v>
      </c>
      <c r="I15" s="3" t="s">
        <v>754</v>
      </c>
      <c r="J15" s="3">
        <v>23.241667</v>
      </c>
      <c r="K15" s="3">
        <v>77.391666999999998</v>
      </c>
      <c r="L15" s="3" t="s">
        <v>1012</v>
      </c>
      <c r="M15" s="11">
        <v>1798218</v>
      </c>
      <c r="N15" s="11">
        <v>6290</v>
      </c>
      <c r="O15" s="3" t="s">
        <v>2327</v>
      </c>
      <c r="P15" s="3" t="s">
        <v>756</v>
      </c>
      <c r="Q15" s="3" t="s">
        <v>2333</v>
      </c>
      <c r="R15" s="3">
        <v>1000</v>
      </c>
      <c r="S15" s="3">
        <v>26</v>
      </c>
      <c r="T15" s="3" t="s">
        <v>1016</v>
      </c>
      <c r="U15" t="s">
        <v>2297</v>
      </c>
      <c r="V15" s="19" t="s">
        <v>2354</v>
      </c>
      <c r="W15" s="3" t="s">
        <v>787</v>
      </c>
      <c r="X15" s="3" t="s">
        <v>2346</v>
      </c>
      <c r="Y15" s="3" t="s">
        <v>764</v>
      </c>
      <c r="Z15" s="29" t="s">
        <v>2030</v>
      </c>
      <c r="AA15" s="3" t="s">
        <v>766</v>
      </c>
      <c r="AB15" s="3" t="s">
        <v>787</v>
      </c>
      <c r="AC15" s="3" t="s">
        <v>763</v>
      </c>
      <c r="AD15" s="3" t="s">
        <v>763</v>
      </c>
      <c r="AE15" s="3" t="s">
        <v>763</v>
      </c>
      <c r="AF15" s="3" t="s">
        <v>763</v>
      </c>
      <c r="AG15" s="3" t="s">
        <v>768</v>
      </c>
      <c r="AH15" s="3">
        <v>16.670000000000002</v>
      </c>
      <c r="AI15" s="3">
        <f>AH15*AQ15</f>
        <v>1344.2688000000001</v>
      </c>
      <c r="AJ15" s="3">
        <f>AI15*3.67</f>
        <v>4933.466496</v>
      </c>
      <c r="AK15" s="3">
        <f>AJ15/AQ15</f>
        <v>61.178899999999999</v>
      </c>
      <c r="AL15" s="3">
        <f>AH15/0.47</f>
        <v>35.468085106382986</v>
      </c>
      <c r="AM15" s="3">
        <f>AI15/0.47</f>
        <v>2860.1463829787235</v>
      </c>
      <c r="AN15" s="3">
        <f>AH15/1.24</f>
        <v>13.443548387096776</v>
      </c>
      <c r="AO15" s="3">
        <f>AN15*0.24</f>
        <v>3.2264516129032259</v>
      </c>
      <c r="AP15" s="3">
        <v>80.64</v>
      </c>
      <c r="AQ15" s="3">
        <v>80.64</v>
      </c>
      <c r="AR15" s="3">
        <v>32</v>
      </c>
      <c r="AS15" s="3" t="s">
        <v>1018</v>
      </c>
      <c r="AT15" s="3">
        <v>1950</v>
      </c>
      <c r="AU15" s="3" t="s">
        <v>763</v>
      </c>
    </row>
    <row r="16" spans="1:47" x14ac:dyDescent="0.35">
      <c r="A16">
        <v>17</v>
      </c>
      <c r="B16" s="3">
        <v>15</v>
      </c>
      <c r="C16" s="3" t="s">
        <v>98</v>
      </c>
      <c r="D16" s="3" t="s">
        <v>1030</v>
      </c>
      <c r="E16" s="3" t="s">
        <v>751</v>
      </c>
      <c r="F16" s="3">
        <v>2018</v>
      </c>
      <c r="G16" s="4" t="s">
        <v>1897</v>
      </c>
      <c r="H16" s="3" t="s">
        <v>795</v>
      </c>
      <c r="I16" s="3" t="s">
        <v>754</v>
      </c>
      <c r="J16" s="3">
        <v>9.9311939999999996</v>
      </c>
      <c r="K16" s="3">
        <v>76.267306000000005</v>
      </c>
      <c r="L16" s="3" t="s">
        <v>1753</v>
      </c>
      <c r="M16" s="11">
        <v>633553</v>
      </c>
      <c r="N16" s="11">
        <v>5914</v>
      </c>
      <c r="O16" s="3" t="s">
        <v>2327</v>
      </c>
      <c r="P16" s="3" t="s">
        <v>756</v>
      </c>
      <c r="Q16" s="3" t="s">
        <v>2339</v>
      </c>
      <c r="R16" s="3">
        <v>3344.5</v>
      </c>
      <c r="S16" s="3">
        <v>30.8</v>
      </c>
      <c r="T16" s="3" t="s">
        <v>759</v>
      </c>
      <c r="U16" t="s">
        <v>2300</v>
      </c>
      <c r="V16" s="3" t="s">
        <v>2351</v>
      </c>
      <c r="W16" s="3" t="s">
        <v>762</v>
      </c>
      <c r="X16" s="3" t="s">
        <v>2348</v>
      </c>
      <c r="Y16" s="3" t="s">
        <v>1991</v>
      </c>
      <c r="Z16" s="3" t="s">
        <v>1032</v>
      </c>
      <c r="AA16" s="3" t="s">
        <v>766</v>
      </c>
      <c r="AB16" s="3" t="s">
        <v>762</v>
      </c>
      <c r="AC16" s="3" t="s">
        <v>763</v>
      </c>
      <c r="AD16" s="3" t="s">
        <v>763</v>
      </c>
      <c r="AE16" s="3" t="s">
        <v>763</v>
      </c>
      <c r="AF16" s="3" t="s">
        <v>763</v>
      </c>
      <c r="AG16" s="3" t="s">
        <v>789</v>
      </c>
      <c r="AH16" s="3">
        <f>((2013*42.78)+(2015*39.49))/(2013+2015)</f>
        <v>41.134183217477656</v>
      </c>
      <c r="AI16" s="3">
        <f>AH16*AQ16</f>
        <v>710.41287431927594</v>
      </c>
      <c r="AJ16" s="3">
        <f>AI16*3.67</f>
        <v>2607.2152487517428</v>
      </c>
      <c r="AK16" s="3">
        <f>AJ16/AQ16</f>
        <v>150.96245240814301</v>
      </c>
      <c r="AL16" s="3">
        <f>AH16/0.47</f>
        <v>87.519538760590763</v>
      </c>
      <c r="AM16" s="3">
        <f>AI16/0.47</f>
        <v>1511.5167538707999</v>
      </c>
      <c r="AN16" s="3">
        <f>AH16/1.24</f>
        <v>33.172728401191655</v>
      </c>
      <c r="AO16" s="3">
        <f>AN16*0.24</f>
        <v>7.9614548162859968</v>
      </c>
      <c r="AP16" t="s">
        <v>1034</v>
      </c>
      <c r="AQ16">
        <f>((2013*16.02)+(2015*18.52))/(2013+2015)</f>
        <v>17.270620655412113</v>
      </c>
      <c r="AR16" s="3" t="s">
        <v>763</v>
      </c>
      <c r="AS16" s="3" t="s">
        <v>763</v>
      </c>
      <c r="AT16" s="3" t="s">
        <v>763</v>
      </c>
      <c r="AU16" s="3">
        <v>1.085</v>
      </c>
    </row>
    <row r="17" spans="1:47" x14ac:dyDescent="0.35">
      <c r="A17">
        <v>18</v>
      </c>
      <c r="B17" s="3">
        <v>16</v>
      </c>
      <c r="C17" t="s">
        <v>111</v>
      </c>
      <c r="D17" t="s">
        <v>113</v>
      </c>
      <c r="E17" s="3" t="s">
        <v>751</v>
      </c>
      <c r="F17" s="3">
        <v>2018</v>
      </c>
      <c r="G17" s="3">
        <v>2016</v>
      </c>
      <c r="H17" s="3" t="s">
        <v>753</v>
      </c>
      <c r="I17" s="3" t="s">
        <v>776</v>
      </c>
      <c r="J17" s="3">
        <v>-6.2249999999999996</v>
      </c>
      <c r="K17" s="3">
        <v>106.63333299999999</v>
      </c>
      <c r="L17" s="3" t="s">
        <v>2085</v>
      </c>
      <c r="M17" s="11">
        <v>152145</v>
      </c>
      <c r="N17" s="3">
        <v>9835</v>
      </c>
      <c r="O17" s="3" t="s">
        <v>2327</v>
      </c>
      <c r="P17" s="3" t="s">
        <v>832</v>
      </c>
      <c r="Q17" t="s">
        <v>2332</v>
      </c>
      <c r="R17" s="3">
        <v>2097</v>
      </c>
      <c r="S17" s="3">
        <v>26.3</v>
      </c>
      <c r="T17" s="3" t="s">
        <v>763</v>
      </c>
      <c r="U17" t="s">
        <v>2300</v>
      </c>
      <c r="V17" s="3" t="s">
        <v>2357</v>
      </c>
      <c r="W17" s="3" t="s">
        <v>787</v>
      </c>
      <c r="X17" s="3" t="s">
        <v>2348</v>
      </c>
      <c r="Y17" s="3" t="s">
        <v>1039</v>
      </c>
      <c r="Z17" s="3" t="s">
        <v>2026</v>
      </c>
      <c r="AA17" s="3" t="s">
        <v>766</v>
      </c>
      <c r="AB17" s="3" t="s">
        <v>787</v>
      </c>
      <c r="AC17" s="3" t="s">
        <v>763</v>
      </c>
      <c r="AD17" s="3" t="s">
        <v>763</v>
      </c>
      <c r="AE17" s="3" t="s">
        <v>763</v>
      </c>
      <c r="AF17" s="3" t="s">
        <v>763</v>
      </c>
      <c r="AG17" s="3" t="s">
        <v>789</v>
      </c>
      <c r="AH17" s="3">
        <f>AI17/AQ17</f>
        <v>8.2749076107490875</v>
      </c>
      <c r="AI17" s="3">
        <f>AJ17/3.67</f>
        <v>121798.36512261581</v>
      </c>
      <c r="AJ17" s="3">
        <v>447000</v>
      </c>
      <c r="AK17" s="3">
        <f>AJ17/AQ17</f>
        <v>30.368910931449147</v>
      </c>
      <c r="AL17" s="4">
        <f>AN17+AO17</f>
        <v>20.543107548067127</v>
      </c>
      <c r="AM17" s="4">
        <f>AL17*AQ17</f>
        <v>302374.00000000006</v>
      </c>
      <c r="AN17" s="3">
        <f>243850/AQ17</f>
        <v>16.567022216183165</v>
      </c>
      <c r="AO17" s="4">
        <f>AN17*0.24</f>
        <v>3.9760853318839597</v>
      </c>
      <c r="AP17" s="3">
        <v>14719</v>
      </c>
      <c r="AQ17" s="3">
        <v>14719</v>
      </c>
      <c r="AR17" s="3" t="s">
        <v>763</v>
      </c>
      <c r="AS17" s="3" t="s">
        <v>2010</v>
      </c>
      <c r="AT17" s="5" t="s">
        <v>763</v>
      </c>
      <c r="AU17" s="5">
        <v>5.0148999999999999</v>
      </c>
    </row>
    <row r="18" spans="1:47" x14ac:dyDescent="0.35">
      <c r="A18">
        <v>19</v>
      </c>
      <c r="B18" s="3">
        <v>17</v>
      </c>
      <c r="C18" t="s">
        <v>126</v>
      </c>
      <c r="D18" t="s">
        <v>128</v>
      </c>
      <c r="E18" s="3" t="s">
        <v>751</v>
      </c>
      <c r="F18" s="3">
        <v>2023</v>
      </c>
      <c r="G18" s="3">
        <v>2019</v>
      </c>
      <c r="H18" s="3" t="s">
        <v>753</v>
      </c>
      <c r="I18" s="3" t="s">
        <v>776</v>
      </c>
      <c r="J18" s="3">
        <v>-20.761651000000001</v>
      </c>
      <c r="K18" s="3">
        <v>-42.870387999999998</v>
      </c>
      <c r="L18" s="3" t="s">
        <v>863</v>
      </c>
      <c r="M18" s="11">
        <v>76430</v>
      </c>
      <c r="N18">
        <v>255.3</v>
      </c>
      <c r="O18" s="3" t="s">
        <v>2325</v>
      </c>
      <c r="P18" s="3" t="s">
        <v>846</v>
      </c>
      <c r="Q18" s="3" t="s">
        <v>2333</v>
      </c>
      <c r="R18" s="3">
        <v>1251</v>
      </c>
      <c r="S18" s="3">
        <v>20.399999999999999</v>
      </c>
      <c r="T18" s="3" t="s">
        <v>763</v>
      </c>
      <c r="U18" t="s">
        <v>2300</v>
      </c>
      <c r="V18" s="19" t="s">
        <v>2354</v>
      </c>
      <c r="W18" s="3" t="s">
        <v>787</v>
      </c>
      <c r="X18" s="3" t="s">
        <v>2346</v>
      </c>
      <c r="Y18" s="3" t="s">
        <v>1052</v>
      </c>
      <c r="Z18" s="3" t="s">
        <v>1032</v>
      </c>
      <c r="AA18" s="3" t="s">
        <v>766</v>
      </c>
      <c r="AB18" s="3" t="s">
        <v>787</v>
      </c>
      <c r="AC18" s="3">
        <f t="shared" ref="AC18:AD19" si="6">AE18/3.67</f>
        <v>2329.0899182561311</v>
      </c>
      <c r="AD18" s="3">
        <f t="shared" si="6"/>
        <v>1.4198304793075656</v>
      </c>
      <c r="AE18" s="3">
        <v>8547.76</v>
      </c>
      <c r="AF18" s="3">
        <f>AE18/AQ18</f>
        <v>5.2107778590587657</v>
      </c>
      <c r="AG18" s="3" t="s">
        <v>789</v>
      </c>
      <c r="AH18" s="3" t="s">
        <v>763</v>
      </c>
      <c r="AI18" s="3" t="s">
        <v>763</v>
      </c>
      <c r="AJ18" s="3" t="s">
        <v>763</v>
      </c>
      <c r="AK18" s="3" t="s">
        <v>763</v>
      </c>
      <c r="AL18" s="3" t="s">
        <v>763</v>
      </c>
      <c r="AM18" s="3" t="s">
        <v>763</v>
      </c>
      <c r="AN18" s="3" t="s">
        <v>763</v>
      </c>
      <c r="AO18" s="3" t="s">
        <v>763</v>
      </c>
      <c r="AP18" s="3" t="s">
        <v>1048</v>
      </c>
      <c r="AQ18" s="3">
        <v>1640.4</v>
      </c>
      <c r="AR18" s="3" t="s">
        <v>763</v>
      </c>
      <c r="AS18" s="3" t="s">
        <v>763</v>
      </c>
      <c r="AT18" s="3">
        <v>513.58000000000004</v>
      </c>
      <c r="AU18" s="3" t="s">
        <v>763</v>
      </c>
    </row>
    <row r="19" spans="1:47" x14ac:dyDescent="0.35">
      <c r="A19">
        <v>20</v>
      </c>
      <c r="B19" s="3">
        <v>18</v>
      </c>
      <c r="C19" t="s">
        <v>131</v>
      </c>
      <c r="D19" t="s">
        <v>133</v>
      </c>
      <c r="E19" s="3" t="s">
        <v>751</v>
      </c>
      <c r="F19" s="3">
        <v>2021</v>
      </c>
      <c r="G19" s="3">
        <v>2019</v>
      </c>
      <c r="H19" s="3" t="s">
        <v>753</v>
      </c>
      <c r="I19" s="3" t="s">
        <v>754</v>
      </c>
      <c r="J19" s="3">
        <v>3.103361</v>
      </c>
      <c r="K19" s="3">
        <v>101.625111</v>
      </c>
      <c r="L19" s="3" t="s">
        <v>2086</v>
      </c>
      <c r="M19" s="11">
        <v>271030</v>
      </c>
      <c r="N19" s="11">
        <v>6787</v>
      </c>
      <c r="O19" s="3" t="s">
        <v>2327</v>
      </c>
      <c r="P19" s="3" t="s">
        <v>799</v>
      </c>
      <c r="Q19" s="3" t="s">
        <v>2340</v>
      </c>
      <c r="R19" s="3">
        <v>2960</v>
      </c>
      <c r="S19" s="3">
        <v>27.75</v>
      </c>
      <c r="T19" s="3" t="s">
        <v>763</v>
      </c>
      <c r="U19" t="s">
        <v>2300</v>
      </c>
      <c r="V19" s="3" t="s">
        <v>2356</v>
      </c>
      <c r="W19" s="3" t="s">
        <v>787</v>
      </c>
      <c r="X19" s="3" t="s">
        <v>2348</v>
      </c>
      <c r="Y19" s="3" t="s">
        <v>1059</v>
      </c>
      <c r="Z19" s="3" t="s">
        <v>2026</v>
      </c>
      <c r="AA19" s="4" t="s">
        <v>766</v>
      </c>
      <c r="AB19" s="3" t="s">
        <v>787</v>
      </c>
      <c r="AC19" s="3">
        <f t="shared" si="6"/>
        <v>41.747574284606294</v>
      </c>
      <c r="AD19" s="3">
        <f t="shared" si="6"/>
        <v>0.9455677877774874</v>
      </c>
      <c r="AE19" s="3">
        <f>((136.36*36.1169)+(228.98*8.0339))/(36.1169+8.0339)</f>
        <v>153.2135976245051</v>
      </c>
      <c r="AF19" s="3">
        <f>AE19/AQ19</f>
        <v>3.4702337811433788</v>
      </c>
      <c r="AG19" s="3" t="s">
        <v>789</v>
      </c>
      <c r="AH19" s="3" t="s">
        <v>763</v>
      </c>
      <c r="AI19" s="3" t="s">
        <v>763</v>
      </c>
      <c r="AJ19" s="3" t="s">
        <v>763</v>
      </c>
      <c r="AK19" s="3" t="s">
        <v>763</v>
      </c>
      <c r="AL19" s="3" t="s">
        <v>763</v>
      </c>
      <c r="AM19" s="3" t="s">
        <v>763</v>
      </c>
      <c r="AN19" s="3" t="s">
        <v>763</v>
      </c>
      <c r="AO19" s="3" t="s">
        <v>763</v>
      </c>
      <c r="AP19" s="3" t="s">
        <v>2195</v>
      </c>
      <c r="AQ19" s="3">
        <f>36.1169+8.0339</f>
        <v>44.150800000000004</v>
      </c>
      <c r="AR19" s="3">
        <v>21</v>
      </c>
      <c r="AS19" s="3" t="s">
        <v>2270</v>
      </c>
      <c r="AT19" s="3">
        <f>1899/AQ19</f>
        <v>43.011678157587177</v>
      </c>
      <c r="AU19" s="3" t="s">
        <v>763</v>
      </c>
    </row>
    <row r="20" spans="1:47" x14ac:dyDescent="0.35">
      <c r="A20">
        <v>22</v>
      </c>
      <c r="B20" s="3">
        <v>19</v>
      </c>
      <c r="C20" t="s">
        <v>136</v>
      </c>
      <c r="D20" t="s">
        <v>138</v>
      </c>
      <c r="E20" s="3" t="s">
        <v>751</v>
      </c>
      <c r="F20" s="3">
        <v>2024</v>
      </c>
      <c r="G20" s="3" t="s">
        <v>1079</v>
      </c>
      <c r="H20" s="3" t="s">
        <v>753</v>
      </c>
      <c r="I20" s="3" t="s">
        <v>754</v>
      </c>
      <c r="J20" s="3">
        <v>14.292999999999999</v>
      </c>
      <c r="K20" s="3">
        <v>99.825999999999993</v>
      </c>
      <c r="L20" s="4" t="s">
        <v>1793</v>
      </c>
      <c r="M20" s="4">
        <v>16255900</v>
      </c>
      <c r="N20" s="11">
        <v>2094</v>
      </c>
      <c r="O20" s="3" t="s">
        <v>2327</v>
      </c>
      <c r="P20" s="3" t="s">
        <v>1068</v>
      </c>
      <c r="Q20" s="3" t="s">
        <v>2335</v>
      </c>
      <c r="R20" s="3">
        <v>1207</v>
      </c>
      <c r="S20" s="3">
        <v>27.7</v>
      </c>
      <c r="T20" s="3" t="s">
        <v>763</v>
      </c>
      <c r="U20" t="s">
        <v>2300</v>
      </c>
      <c r="V20" s="19" t="s">
        <v>2354</v>
      </c>
      <c r="W20" s="3" t="s">
        <v>787</v>
      </c>
      <c r="X20" s="3" t="s">
        <v>2348</v>
      </c>
      <c r="Y20" s="3" t="s">
        <v>1992</v>
      </c>
      <c r="Z20" s="3" t="s">
        <v>2026</v>
      </c>
      <c r="AA20" s="3" t="s">
        <v>766</v>
      </c>
      <c r="AB20" s="3" t="s">
        <v>787</v>
      </c>
      <c r="AC20" s="3">
        <v>1402.78</v>
      </c>
      <c r="AD20" s="3">
        <v>2.52</v>
      </c>
      <c r="AE20">
        <v>5120.1400000000003</v>
      </c>
      <c r="AF20" s="3">
        <v>9.2200000000000006</v>
      </c>
      <c r="AG20" s="3" t="s">
        <v>768</v>
      </c>
      <c r="AH20" s="3">
        <v>46.77</v>
      </c>
      <c r="AI20" s="3">
        <f>AH20*AQ20</f>
        <v>22544.543099999999</v>
      </c>
      <c r="AJ20" s="3">
        <f>AI20*3.67</f>
        <v>82738.473176999993</v>
      </c>
      <c r="AK20" s="3">
        <f>AJ20/AQ20</f>
        <v>171.64589999999998</v>
      </c>
      <c r="AL20" s="3">
        <v>84.7</v>
      </c>
      <c r="AM20" s="3">
        <f>AL20*AQ20</f>
        <v>40827.940999999999</v>
      </c>
      <c r="AN20" s="3">
        <v>67.22</v>
      </c>
      <c r="AO20" s="3">
        <v>17.48</v>
      </c>
      <c r="AP20" s="3">
        <v>482.03</v>
      </c>
      <c r="AQ20" s="3">
        <v>482.03</v>
      </c>
      <c r="AR20" s="3" t="s">
        <v>763</v>
      </c>
      <c r="AS20" s="3" t="s">
        <v>763</v>
      </c>
      <c r="AT20" s="3">
        <f>5240/AQ20</f>
        <v>10.870692695475386</v>
      </c>
      <c r="AU20" s="3" t="s">
        <v>763</v>
      </c>
    </row>
    <row r="21" spans="1:47" x14ac:dyDescent="0.35">
      <c r="A21">
        <v>23</v>
      </c>
      <c r="B21" s="3">
        <v>20</v>
      </c>
      <c r="C21" t="s">
        <v>148</v>
      </c>
      <c r="D21" t="s">
        <v>150</v>
      </c>
      <c r="E21" s="3" t="s">
        <v>751</v>
      </c>
      <c r="F21" s="3">
        <v>2022</v>
      </c>
      <c r="G21" s="3">
        <v>2021</v>
      </c>
      <c r="H21" s="3" t="s">
        <v>753</v>
      </c>
      <c r="I21" s="3" t="s">
        <v>754</v>
      </c>
      <c r="J21" s="3">
        <v>23.181944000000001</v>
      </c>
      <c r="K21" s="3">
        <v>77.421943999999996</v>
      </c>
      <c r="L21" s="3" t="s">
        <v>1012</v>
      </c>
      <c r="M21" s="11">
        <v>1798218</v>
      </c>
      <c r="N21" s="11">
        <v>6290</v>
      </c>
      <c r="O21" s="3" t="s">
        <v>2327</v>
      </c>
      <c r="P21" s="3" t="s">
        <v>756</v>
      </c>
      <c r="Q21" s="3" t="s">
        <v>2333</v>
      </c>
      <c r="R21" s="3">
        <v>1200</v>
      </c>
      <c r="S21" s="3">
        <v>30</v>
      </c>
      <c r="T21" s="3" t="s">
        <v>763</v>
      </c>
      <c r="U21" t="s">
        <v>2297</v>
      </c>
      <c r="V21" s="3" t="s">
        <v>2351</v>
      </c>
      <c r="W21" s="3" t="s">
        <v>762</v>
      </c>
      <c r="X21" s="3" t="s">
        <v>2348</v>
      </c>
      <c r="Y21" s="3" t="s">
        <v>1993</v>
      </c>
      <c r="Z21" s="3" t="s">
        <v>2027</v>
      </c>
      <c r="AA21" s="3" t="s">
        <v>766</v>
      </c>
      <c r="AB21" s="3" t="s">
        <v>787</v>
      </c>
      <c r="AC21" s="3" t="s">
        <v>763</v>
      </c>
      <c r="AD21" s="3" t="s">
        <v>763</v>
      </c>
      <c r="AE21" s="3" t="s">
        <v>763</v>
      </c>
      <c r="AF21" s="3" t="s">
        <v>763</v>
      </c>
      <c r="AG21" s="3" t="s">
        <v>768</v>
      </c>
      <c r="AH21" s="3">
        <v>1.5</v>
      </c>
      <c r="AI21" s="3">
        <v>36.299999999999997</v>
      </c>
      <c r="AJ21" s="3">
        <f>AI21*3.67</f>
        <v>133.22099999999998</v>
      </c>
      <c r="AK21" s="3">
        <v>5.3</v>
      </c>
      <c r="AL21" s="3">
        <f>AM21/AQ21</f>
        <v>3.0911200000000001</v>
      </c>
      <c r="AM21" s="3">
        <v>77.278000000000006</v>
      </c>
      <c r="AN21" s="3">
        <f>AL21/1.24</f>
        <v>2.4928387096774194</v>
      </c>
      <c r="AO21" s="3">
        <f>AN21*0.24</f>
        <v>0.59828129032258059</v>
      </c>
      <c r="AP21" s="3">
        <v>25</v>
      </c>
      <c r="AQ21" s="3">
        <v>25</v>
      </c>
      <c r="AR21" s="3" t="s">
        <v>763</v>
      </c>
      <c r="AS21" s="3" t="s">
        <v>1090</v>
      </c>
      <c r="AT21" s="3">
        <f>324/AQ21</f>
        <v>12.96</v>
      </c>
      <c r="AU21" s="3" t="s">
        <v>763</v>
      </c>
    </row>
    <row r="22" spans="1:47" s="19" customFormat="1" x14ac:dyDescent="0.35">
      <c r="A22">
        <v>24</v>
      </c>
      <c r="B22" s="4">
        <v>21</v>
      </c>
      <c r="C22" s="19" t="s">
        <v>153</v>
      </c>
      <c r="D22" s="19" t="s">
        <v>155</v>
      </c>
      <c r="E22" s="4" t="s">
        <v>751</v>
      </c>
      <c r="F22" s="4">
        <v>2015</v>
      </c>
      <c r="G22" s="4">
        <v>2015</v>
      </c>
      <c r="H22" s="4" t="s">
        <v>753</v>
      </c>
      <c r="I22" s="4" t="s">
        <v>754</v>
      </c>
      <c r="J22" s="4">
        <v>3.058093</v>
      </c>
      <c r="K22" s="4">
        <v>101.584552</v>
      </c>
      <c r="L22" s="55" t="s">
        <v>2331</v>
      </c>
      <c r="M22" s="19">
        <v>109917</v>
      </c>
      <c r="N22" s="11">
        <v>8852</v>
      </c>
      <c r="O22" s="3" t="s">
        <v>2327</v>
      </c>
      <c r="P22" s="4" t="s">
        <v>799</v>
      </c>
      <c r="Q22" s="3" t="s">
        <v>2340</v>
      </c>
      <c r="R22" s="4">
        <v>2174</v>
      </c>
      <c r="S22" s="4">
        <v>26.1</v>
      </c>
      <c r="T22" s="4" t="s">
        <v>763</v>
      </c>
      <c r="U22" t="s">
        <v>2300</v>
      </c>
      <c r="V22" s="3" t="s">
        <v>2357</v>
      </c>
      <c r="W22" s="4" t="s">
        <v>787</v>
      </c>
      <c r="X22" s="3" t="s">
        <v>2348</v>
      </c>
      <c r="Y22" s="4" t="s">
        <v>764</v>
      </c>
      <c r="Z22" s="4" t="s">
        <v>2026</v>
      </c>
      <c r="AA22" s="4" t="s">
        <v>766</v>
      </c>
      <c r="AB22" s="4" t="s">
        <v>787</v>
      </c>
      <c r="AC22" s="19">
        <v>2238.183</v>
      </c>
      <c r="AD22" s="19">
        <f>AC22/AQ22</f>
        <v>13.963335204941044</v>
      </c>
      <c r="AE22" s="19">
        <f>AC22*3.67</f>
        <v>8214.1316100000004</v>
      </c>
      <c r="AF22" s="19">
        <f>AE22/AQ22</f>
        <v>51.245440202133636</v>
      </c>
      <c r="AG22" s="4" t="s">
        <v>789</v>
      </c>
      <c r="AH22" s="4" t="s">
        <v>763</v>
      </c>
      <c r="AI22" s="4" t="s">
        <v>763</v>
      </c>
      <c r="AJ22" s="4" t="s">
        <v>763</v>
      </c>
      <c r="AK22" s="4" t="s">
        <v>763</v>
      </c>
      <c r="AL22" s="4" t="s">
        <v>763</v>
      </c>
      <c r="AM22" s="4" t="s">
        <v>763</v>
      </c>
      <c r="AN22" s="4" t="s">
        <v>763</v>
      </c>
      <c r="AO22" s="4" t="s">
        <v>763</v>
      </c>
      <c r="AP22" s="4" t="s">
        <v>2116</v>
      </c>
      <c r="AQ22" s="4">
        <v>160.29</v>
      </c>
      <c r="AR22" s="50">
        <v>15</v>
      </c>
      <c r="AS22" s="4" t="s">
        <v>1100</v>
      </c>
      <c r="AT22" s="4">
        <f>250/AQ22</f>
        <v>1.5596730925198079</v>
      </c>
      <c r="AU22" s="3" t="s">
        <v>763</v>
      </c>
    </row>
    <row r="23" spans="1:47" x14ac:dyDescent="0.35">
      <c r="A23">
        <v>25</v>
      </c>
      <c r="B23" s="3">
        <v>22</v>
      </c>
      <c r="C23" t="s">
        <v>158</v>
      </c>
      <c r="D23" t="s">
        <v>160</v>
      </c>
      <c r="E23" s="3" t="s">
        <v>751</v>
      </c>
      <c r="F23" s="3">
        <v>2020</v>
      </c>
      <c r="G23" s="3" t="s">
        <v>763</v>
      </c>
      <c r="H23" s="3" t="s">
        <v>753</v>
      </c>
      <c r="I23" s="3" t="s">
        <v>754</v>
      </c>
      <c r="J23" s="3">
        <v>8.1652780000000007</v>
      </c>
      <c r="K23" s="3">
        <v>38.054443999999997</v>
      </c>
      <c r="L23" t="s">
        <v>1104</v>
      </c>
      <c r="M23" s="11">
        <v>3860000</v>
      </c>
      <c r="N23" s="11">
        <v>7324</v>
      </c>
      <c r="O23" s="3" t="s">
        <v>2326</v>
      </c>
      <c r="P23" s="3" t="s">
        <v>1102</v>
      </c>
      <c r="Q23" s="3" t="s">
        <v>2334</v>
      </c>
      <c r="R23" s="3">
        <v>1874</v>
      </c>
      <c r="S23" s="3">
        <v>15.6</v>
      </c>
      <c r="T23" s="3" t="s">
        <v>763</v>
      </c>
      <c r="U23" t="s">
        <v>2306</v>
      </c>
      <c r="V23" s="19" t="s">
        <v>2354</v>
      </c>
      <c r="W23" s="3" t="s">
        <v>787</v>
      </c>
      <c r="X23" s="3" t="s">
        <v>2346</v>
      </c>
      <c r="Y23" s="3" t="s">
        <v>764</v>
      </c>
      <c r="Z23" s="3" t="s">
        <v>2026</v>
      </c>
      <c r="AA23" s="3" t="s">
        <v>766</v>
      </c>
      <c r="AB23" s="3" t="s">
        <v>787</v>
      </c>
      <c r="AC23" s="3" t="s">
        <v>763</v>
      </c>
      <c r="AD23" s="3" t="s">
        <v>763</v>
      </c>
      <c r="AE23" s="3" t="s">
        <v>763</v>
      </c>
      <c r="AF23" s="3" t="s">
        <v>763</v>
      </c>
      <c r="AG23" s="3" t="s">
        <v>768</v>
      </c>
      <c r="AH23" s="3">
        <v>156</v>
      </c>
      <c r="AI23" s="3">
        <f>AH23*AQ23</f>
        <v>93.6</v>
      </c>
      <c r="AJ23" s="3">
        <f>AI23*3.67</f>
        <v>343.512</v>
      </c>
      <c r="AK23" s="3">
        <f>AJ23/AQ23</f>
        <v>572.52</v>
      </c>
      <c r="AL23" s="3">
        <v>332.3</v>
      </c>
      <c r="AM23" s="3">
        <f>AL23*AQ23</f>
        <v>199.38</v>
      </c>
      <c r="AN23" s="3">
        <v>276.89999999999998</v>
      </c>
      <c r="AO23" s="3">
        <v>55.4</v>
      </c>
      <c r="AP23" s="3">
        <v>0.6</v>
      </c>
      <c r="AQ23" s="3">
        <v>0.6</v>
      </c>
      <c r="AR23">
        <v>67</v>
      </c>
      <c r="AS23" s="3" t="s">
        <v>2012</v>
      </c>
      <c r="AT23" s="3">
        <f>7486/AQ23</f>
        <v>12476.666666666668</v>
      </c>
      <c r="AU23" s="3" t="s">
        <v>763</v>
      </c>
    </row>
    <row r="24" spans="1:47" x14ac:dyDescent="0.35">
      <c r="A24">
        <v>26</v>
      </c>
      <c r="B24" s="3">
        <v>23</v>
      </c>
      <c r="C24" t="s">
        <v>173</v>
      </c>
      <c r="D24" t="s">
        <v>175</v>
      </c>
      <c r="E24" s="3" t="s">
        <v>751</v>
      </c>
      <c r="F24" s="3">
        <v>2024</v>
      </c>
      <c r="G24" s="3">
        <v>2020</v>
      </c>
      <c r="H24" s="3" t="s">
        <v>753</v>
      </c>
      <c r="I24" s="3" t="s">
        <v>754</v>
      </c>
      <c r="J24" s="3">
        <v>9.0783889999999996</v>
      </c>
      <c r="K24" s="3">
        <v>38.759208000000001</v>
      </c>
      <c r="L24" t="s">
        <v>1104</v>
      </c>
      <c r="M24" s="11">
        <v>3860000</v>
      </c>
      <c r="N24" s="11">
        <v>7324</v>
      </c>
      <c r="O24" s="3" t="s">
        <v>2326</v>
      </c>
      <c r="P24" s="3" t="s">
        <v>1102</v>
      </c>
      <c r="Q24" s="3" t="s">
        <v>2334</v>
      </c>
      <c r="R24">
        <v>1165</v>
      </c>
      <c r="S24">
        <v>17</v>
      </c>
      <c r="T24" s="3" t="s">
        <v>763</v>
      </c>
      <c r="U24" t="s">
        <v>2306</v>
      </c>
      <c r="V24" s="19" t="s">
        <v>2354</v>
      </c>
      <c r="W24" s="3" t="s">
        <v>762</v>
      </c>
      <c r="X24" s="3" t="s">
        <v>2346</v>
      </c>
      <c r="Y24" s="3" t="s">
        <v>764</v>
      </c>
      <c r="Z24" t="s">
        <v>2026</v>
      </c>
      <c r="AA24" s="3" t="s">
        <v>766</v>
      </c>
      <c r="AB24" s="3" t="s">
        <v>762</v>
      </c>
      <c r="AC24" s="3" t="s">
        <v>763</v>
      </c>
      <c r="AD24" s="3" t="s">
        <v>763</v>
      </c>
      <c r="AE24" s="3" t="s">
        <v>763</v>
      </c>
      <c r="AF24" s="3" t="s">
        <v>763</v>
      </c>
      <c r="AG24" s="3" t="s">
        <v>768</v>
      </c>
      <c r="AH24" s="3">
        <v>64.540000000000006</v>
      </c>
      <c r="AI24" s="3">
        <f>AH24*AQ24</f>
        <v>25834.006660000003</v>
      </c>
      <c r="AJ24" s="3">
        <f>AI24*3.67</f>
        <v>94810.804442200009</v>
      </c>
      <c r="AK24" s="3">
        <f>AJ24/AQ24</f>
        <v>236.86180000000002</v>
      </c>
      <c r="AL24" s="3">
        <v>136.56</v>
      </c>
      <c r="AM24" s="3">
        <f>AL24*AQ24</f>
        <v>54662.10024</v>
      </c>
      <c r="AN24" s="3">
        <v>114.28</v>
      </c>
      <c r="AO24" s="3">
        <v>22.28</v>
      </c>
      <c r="AP24" s="3">
        <v>400.279</v>
      </c>
      <c r="AQ24" s="3">
        <v>400.279</v>
      </c>
      <c r="AR24" s="3" t="s">
        <v>763</v>
      </c>
      <c r="AS24" s="3" t="s">
        <v>1125</v>
      </c>
      <c r="AT24">
        <f>417/AQ24</f>
        <v>1.0417733630792523</v>
      </c>
      <c r="AU24" s="3" t="s">
        <v>763</v>
      </c>
    </row>
    <row r="25" spans="1:47" x14ac:dyDescent="0.35">
      <c r="A25">
        <v>27</v>
      </c>
      <c r="B25" s="3">
        <v>24</v>
      </c>
      <c r="C25" t="s">
        <v>1144</v>
      </c>
      <c r="D25" t="s">
        <v>1145</v>
      </c>
      <c r="E25" s="3" t="s">
        <v>751</v>
      </c>
      <c r="F25" s="3">
        <v>2019</v>
      </c>
      <c r="G25" s="3">
        <v>2018</v>
      </c>
      <c r="H25" s="3" t="s">
        <v>753</v>
      </c>
      <c r="I25" s="3" t="s">
        <v>754</v>
      </c>
      <c r="J25" s="3">
        <v>10.296523000000001</v>
      </c>
      <c r="K25" s="3">
        <v>123.8986</v>
      </c>
      <c r="L25" t="s">
        <v>1143</v>
      </c>
      <c r="M25" s="11">
        <v>964169</v>
      </c>
      <c r="N25">
        <v>3314</v>
      </c>
      <c r="O25" s="3" t="s">
        <v>2327</v>
      </c>
      <c r="P25" s="3" t="s">
        <v>1112</v>
      </c>
      <c r="Q25" s="3" t="s">
        <v>2335</v>
      </c>
      <c r="R25">
        <v>1607</v>
      </c>
      <c r="S25">
        <v>27.5</v>
      </c>
      <c r="T25" s="3" t="s">
        <v>763</v>
      </c>
      <c r="U25" t="s">
        <v>2300</v>
      </c>
      <c r="V25" s="3" t="s">
        <v>2351</v>
      </c>
      <c r="W25" s="3" t="s">
        <v>787</v>
      </c>
      <c r="X25" s="3" t="s">
        <v>2348</v>
      </c>
      <c r="Y25" s="3" t="s">
        <v>1148</v>
      </c>
      <c r="Z25" t="s">
        <v>2027</v>
      </c>
      <c r="AA25" s="3" t="s">
        <v>766</v>
      </c>
      <c r="AB25" s="3" t="s">
        <v>787</v>
      </c>
      <c r="AC25" s="3">
        <f>AD25*AQ25</f>
        <v>15.592499999999998</v>
      </c>
      <c r="AD25" s="3">
        <v>9.4499999999999993</v>
      </c>
      <c r="AE25" s="3">
        <f>AC25*3.67</f>
        <v>57.224474999999991</v>
      </c>
      <c r="AF25" s="3">
        <f>AD25*3.67</f>
        <v>34.6815</v>
      </c>
      <c r="AG25" s="3" t="s">
        <v>789</v>
      </c>
      <c r="AH25" s="3">
        <v>87.81</v>
      </c>
      <c r="AI25" s="3">
        <f>AH25*AQ25</f>
        <v>144.88649999999998</v>
      </c>
      <c r="AJ25" s="3">
        <f>AI25*3.67</f>
        <v>531.73345499999994</v>
      </c>
      <c r="AK25" s="3">
        <f>AJ25/AQ25</f>
        <v>322.2627</v>
      </c>
      <c r="AL25" s="4">
        <f t="shared" ref="AL25" si="7">AN25+AO25</f>
        <v>241.96119999999999</v>
      </c>
      <c r="AM25" s="4">
        <f>AL25*AQ25</f>
        <v>399.23597999999998</v>
      </c>
      <c r="AN25" s="7">
        <v>195.13</v>
      </c>
      <c r="AO25" s="4">
        <f t="shared" ref="AO25:AO27" si="8">AN25*0.24</f>
        <v>46.831199999999995</v>
      </c>
      <c r="AP25">
        <v>1.65</v>
      </c>
      <c r="AQ25">
        <v>1.65</v>
      </c>
      <c r="AR25" s="3" t="s">
        <v>763</v>
      </c>
      <c r="AS25" s="7" t="s">
        <v>1157</v>
      </c>
      <c r="AT25">
        <f>409/AQ25</f>
        <v>247.8787878787879</v>
      </c>
      <c r="AU25" s="3" t="s">
        <v>763</v>
      </c>
    </row>
    <row r="26" spans="1:47" x14ac:dyDescent="0.35">
      <c r="A26">
        <v>28</v>
      </c>
      <c r="B26" s="3">
        <v>25</v>
      </c>
      <c r="C26" t="s">
        <v>183</v>
      </c>
      <c r="D26" t="s">
        <v>1158</v>
      </c>
      <c r="E26" s="3" t="s">
        <v>751</v>
      </c>
      <c r="F26" s="3">
        <v>2019</v>
      </c>
      <c r="G26" s="3" t="s">
        <v>1898</v>
      </c>
      <c r="H26" s="3" t="s">
        <v>753</v>
      </c>
      <c r="I26" s="3" t="s">
        <v>754</v>
      </c>
      <c r="J26" s="3">
        <v>1.3122499999999999</v>
      </c>
      <c r="K26" s="3">
        <v>103.910861</v>
      </c>
      <c r="L26" t="s">
        <v>1159</v>
      </c>
      <c r="M26" s="11">
        <v>6111175</v>
      </c>
      <c r="N26" s="11">
        <v>8681</v>
      </c>
      <c r="O26" s="3" t="s">
        <v>2327</v>
      </c>
      <c r="P26" t="s">
        <v>1159</v>
      </c>
      <c r="Q26" s="3" t="s">
        <v>2340</v>
      </c>
      <c r="R26">
        <v>2166</v>
      </c>
      <c r="S26">
        <v>28</v>
      </c>
      <c r="T26" s="3" t="s">
        <v>948</v>
      </c>
      <c r="U26" t="s">
        <v>2300</v>
      </c>
      <c r="V26" s="3" t="s">
        <v>2351</v>
      </c>
      <c r="W26" s="3" t="s">
        <v>762</v>
      </c>
      <c r="X26" s="3" t="s">
        <v>2348</v>
      </c>
      <c r="Y26" s="3" t="s">
        <v>1994</v>
      </c>
      <c r="Z26" t="s">
        <v>2026</v>
      </c>
      <c r="AA26" s="3" t="s">
        <v>766</v>
      </c>
      <c r="AB26" s="3" t="s">
        <v>826</v>
      </c>
      <c r="AC26" s="3">
        <v>3700</v>
      </c>
      <c r="AD26" s="3" t="s">
        <v>763</v>
      </c>
      <c r="AE26" s="3">
        <f>AC26*3.67</f>
        <v>13579</v>
      </c>
      <c r="AF26" s="3" t="s">
        <v>763</v>
      </c>
      <c r="AG26" s="3" t="s">
        <v>789</v>
      </c>
      <c r="AH26" s="3" t="s">
        <v>763</v>
      </c>
      <c r="AI26" s="3">
        <f>AM26*0.47</f>
        <v>21.726970496</v>
      </c>
      <c r="AJ26" s="3">
        <f>AI26*3.67</f>
        <v>79.737981720319993</v>
      </c>
      <c r="AK26" s="3" t="s">
        <v>763</v>
      </c>
      <c r="AL26" s="4" t="s">
        <v>763</v>
      </c>
      <c r="AM26" s="4">
        <f>(37.28032)+(37.28032*0.24)</f>
        <v>46.227596800000001</v>
      </c>
      <c r="AN26" s="31" t="s">
        <v>2233</v>
      </c>
      <c r="AO26" s="4" t="s">
        <v>763</v>
      </c>
      <c r="AP26" s="31" t="s">
        <v>763</v>
      </c>
      <c r="AQ26" s="31" t="s">
        <v>763</v>
      </c>
      <c r="AR26" s="3" t="s">
        <v>763</v>
      </c>
      <c r="AS26" s="7" t="s">
        <v>1168</v>
      </c>
      <c r="AT26" t="s">
        <v>763</v>
      </c>
      <c r="AU26" s="3" t="s">
        <v>763</v>
      </c>
    </row>
    <row r="27" spans="1:47" x14ac:dyDescent="0.35">
      <c r="A27">
        <v>29</v>
      </c>
      <c r="B27" s="3">
        <v>26</v>
      </c>
      <c r="C27" t="s">
        <v>185</v>
      </c>
      <c r="D27" t="s">
        <v>187</v>
      </c>
      <c r="E27" s="3" t="s">
        <v>751</v>
      </c>
      <c r="F27" s="3">
        <v>2023</v>
      </c>
      <c r="G27" s="3">
        <v>2013</v>
      </c>
      <c r="H27" s="3" t="s">
        <v>753</v>
      </c>
      <c r="I27" s="3" t="s">
        <v>754</v>
      </c>
      <c r="J27" s="3">
        <v>19.546806</v>
      </c>
      <c r="K27" s="3">
        <v>-96.950417000000002</v>
      </c>
      <c r="L27" t="s">
        <v>1171</v>
      </c>
      <c r="M27" s="11">
        <v>488531</v>
      </c>
      <c r="N27" s="11">
        <v>3920</v>
      </c>
      <c r="O27" s="3" t="s">
        <v>2328</v>
      </c>
      <c r="P27" t="s">
        <v>894</v>
      </c>
      <c r="Q27" s="3" t="s">
        <v>2338</v>
      </c>
      <c r="R27" s="3">
        <v>1591</v>
      </c>
      <c r="S27" s="3">
        <v>19</v>
      </c>
      <c r="T27" s="3" t="s">
        <v>763</v>
      </c>
      <c r="U27" t="s">
        <v>2300</v>
      </c>
      <c r="V27" s="19" t="s">
        <v>2354</v>
      </c>
      <c r="W27" s="3" t="s">
        <v>787</v>
      </c>
      <c r="X27" s="3" t="s">
        <v>2346</v>
      </c>
      <c r="Y27" s="3" t="s">
        <v>764</v>
      </c>
      <c r="Z27" t="s">
        <v>2027</v>
      </c>
      <c r="AA27" t="s">
        <v>766</v>
      </c>
      <c r="AB27" s="3" t="s">
        <v>787</v>
      </c>
      <c r="AC27" s="3" t="s">
        <v>763</v>
      </c>
      <c r="AD27" s="3" t="s">
        <v>763</v>
      </c>
      <c r="AE27" s="3" t="s">
        <v>763</v>
      </c>
      <c r="AF27" s="3" t="s">
        <v>763</v>
      </c>
      <c r="AG27" s="3" t="s">
        <v>789</v>
      </c>
      <c r="AH27" s="3">
        <v>263.99</v>
      </c>
      <c r="AI27" s="3">
        <f>AH27*AQ27</f>
        <v>3959.8500000000004</v>
      </c>
      <c r="AJ27" s="3">
        <f>AI27*3.67</f>
        <v>14532.649500000001</v>
      </c>
      <c r="AK27" s="3">
        <v>967.37</v>
      </c>
      <c r="AL27" s="4">
        <f>AN27+AO27</f>
        <v>654.6952</v>
      </c>
      <c r="AM27" s="4">
        <f>AL27*AQ27</f>
        <v>9820.4279999999999</v>
      </c>
      <c r="AN27" s="7">
        <v>527.98</v>
      </c>
      <c r="AO27" s="4">
        <f t="shared" si="8"/>
        <v>126.7152</v>
      </c>
      <c r="AP27" t="s">
        <v>2196</v>
      </c>
      <c r="AQ27">
        <v>15</v>
      </c>
      <c r="AR27" s="3" t="s">
        <v>763</v>
      </c>
      <c r="AS27" t="s">
        <v>1176</v>
      </c>
      <c r="AT27">
        <f>282/AQ27</f>
        <v>18.8</v>
      </c>
      <c r="AU27" s="3" t="s">
        <v>763</v>
      </c>
    </row>
    <row r="28" spans="1:47" x14ac:dyDescent="0.35">
      <c r="A28">
        <v>30</v>
      </c>
      <c r="B28" s="3">
        <v>27</v>
      </c>
      <c r="C28" t="s">
        <v>200</v>
      </c>
      <c r="D28" t="s">
        <v>202</v>
      </c>
      <c r="E28" s="3" t="s">
        <v>751</v>
      </c>
      <c r="F28" s="3">
        <v>2018</v>
      </c>
      <c r="G28" s="4" t="s">
        <v>1899</v>
      </c>
      <c r="H28" s="3" t="s">
        <v>795</v>
      </c>
      <c r="I28" s="3" t="s">
        <v>776</v>
      </c>
      <c r="J28" s="3">
        <v>-8.6636769999999999</v>
      </c>
      <c r="K28" s="3">
        <v>115.22344699999999</v>
      </c>
      <c r="L28" t="s">
        <v>1754</v>
      </c>
      <c r="M28" s="11">
        <v>788589</v>
      </c>
      <c r="N28" s="11">
        <v>6272</v>
      </c>
      <c r="O28" s="3" t="s">
        <v>2327</v>
      </c>
      <c r="P28" t="s">
        <v>832</v>
      </c>
      <c r="Q28" s="3" t="s">
        <v>2339</v>
      </c>
      <c r="R28" s="3">
        <v>1642</v>
      </c>
      <c r="S28">
        <v>26</v>
      </c>
      <c r="T28" s="3" t="s">
        <v>763</v>
      </c>
      <c r="U28" t="s">
        <v>2300</v>
      </c>
      <c r="V28" s="3" t="s">
        <v>2351</v>
      </c>
      <c r="W28" s="3" t="s">
        <v>787</v>
      </c>
      <c r="X28" s="3" t="s">
        <v>2350</v>
      </c>
      <c r="Y28" s="3" t="s">
        <v>1182</v>
      </c>
      <c r="Z28" t="s">
        <v>1744</v>
      </c>
      <c r="AA28" s="3" t="s">
        <v>2165</v>
      </c>
      <c r="AB28" s="3" t="s">
        <v>787</v>
      </c>
      <c r="AC28">
        <f>((1995*7102.04)+(2003*15607.49)+(2014*22274.93))/(1995+2003+2014)</f>
        <v>15018.642929141715</v>
      </c>
      <c r="AD28" s="3">
        <f>AC28/AQ28</f>
        <v>2.9751741558975615</v>
      </c>
      <c r="AE28" s="3">
        <f>AC28*3.67</f>
        <v>55118.419549950093</v>
      </c>
      <c r="AF28" s="3">
        <f>AE28/AQ28</f>
        <v>10.91888915214405</v>
      </c>
      <c r="AG28" s="3" t="s">
        <v>789</v>
      </c>
      <c r="AH28" s="3" t="s">
        <v>763</v>
      </c>
      <c r="AI28" s="3" t="s">
        <v>763</v>
      </c>
      <c r="AJ28" s="3" t="s">
        <v>763</v>
      </c>
      <c r="AK28" s="3" t="s">
        <v>763</v>
      </c>
      <c r="AL28" s="7" t="s">
        <v>763</v>
      </c>
      <c r="AM28" s="7" t="s">
        <v>763</v>
      </c>
      <c r="AN28" s="7" t="s">
        <v>763</v>
      </c>
      <c r="AO28" s="7" t="s">
        <v>763</v>
      </c>
      <c r="AP28" t="s">
        <v>2248</v>
      </c>
      <c r="AQ28">
        <f>((1995*2396.34)+(2003*5421.87)+(2014*7302.78))/(1995+2003+2014)</f>
        <v>5047.9878293413167</v>
      </c>
      <c r="AR28" s="7" t="s">
        <v>763</v>
      </c>
      <c r="AS28" t="s">
        <v>763</v>
      </c>
      <c r="AT28" t="s">
        <v>763</v>
      </c>
      <c r="AU28" t="s">
        <v>763</v>
      </c>
    </row>
    <row r="29" spans="1:47" x14ac:dyDescent="0.35">
      <c r="A29">
        <v>33</v>
      </c>
      <c r="B29" s="4">
        <v>28</v>
      </c>
      <c r="C29" t="s">
        <v>210</v>
      </c>
      <c r="D29" t="s">
        <v>212</v>
      </c>
      <c r="E29" s="3" t="s">
        <v>751</v>
      </c>
      <c r="F29" s="4">
        <v>2024</v>
      </c>
      <c r="G29" s="3" t="s">
        <v>2149</v>
      </c>
      <c r="H29" s="3" t="s">
        <v>753</v>
      </c>
      <c r="I29" s="3" t="s">
        <v>754</v>
      </c>
      <c r="J29" s="3">
        <v>11.266667</v>
      </c>
      <c r="K29" s="3">
        <v>36.833333000000003</v>
      </c>
      <c r="L29" t="s">
        <v>1193</v>
      </c>
      <c r="M29" s="11">
        <v>218765</v>
      </c>
      <c r="N29">
        <v>238.2</v>
      </c>
      <c r="O29" t="s">
        <v>2326</v>
      </c>
      <c r="P29" s="3" t="s">
        <v>1102</v>
      </c>
      <c r="Q29" s="3" t="s">
        <v>2340</v>
      </c>
      <c r="R29" s="3">
        <v>1578</v>
      </c>
      <c r="S29" s="3">
        <v>17</v>
      </c>
      <c r="T29" s="3" t="s">
        <v>1016</v>
      </c>
      <c r="U29" t="s">
        <v>2306</v>
      </c>
      <c r="V29" s="19" t="s">
        <v>2354</v>
      </c>
      <c r="W29" s="3" t="s">
        <v>787</v>
      </c>
      <c r="X29" s="3" t="s">
        <v>2348</v>
      </c>
      <c r="Y29" s="3" t="s">
        <v>764</v>
      </c>
      <c r="Z29" s="3" t="s">
        <v>2026</v>
      </c>
      <c r="AA29" s="3" t="s">
        <v>766</v>
      </c>
      <c r="AB29" s="3" t="s">
        <v>787</v>
      </c>
      <c r="AC29" s="3" t="s">
        <v>763</v>
      </c>
      <c r="AD29" s="3" t="s">
        <v>763</v>
      </c>
      <c r="AE29" s="3" t="s">
        <v>763</v>
      </c>
      <c r="AF29" s="3" t="s">
        <v>763</v>
      </c>
      <c r="AG29" s="3" t="s">
        <v>768</v>
      </c>
      <c r="AH29" s="7">
        <v>24.96</v>
      </c>
      <c r="AI29" s="3">
        <f>AH29*AQ29</f>
        <v>77.625600000000006</v>
      </c>
      <c r="AJ29" s="3">
        <f>AI29*3.67</f>
        <v>284.88595200000003</v>
      </c>
      <c r="AK29" s="7">
        <f>AJ29/AQ29</f>
        <v>91.603200000000015</v>
      </c>
      <c r="AL29" s="7">
        <f>AH29/0.47</f>
        <v>53.10638297872341</v>
      </c>
      <c r="AM29" s="7">
        <f>AI29/0.47</f>
        <v>165.1608510638298</v>
      </c>
      <c r="AN29" s="3">
        <f>AH29/1.24</f>
        <v>20.129032258064516</v>
      </c>
      <c r="AO29" s="3">
        <f>AN29*0.24</f>
        <v>4.830967741935484</v>
      </c>
      <c r="AP29" s="8">
        <v>3.11</v>
      </c>
      <c r="AQ29" s="8">
        <v>3.11</v>
      </c>
      <c r="AR29" s="7" t="s">
        <v>763</v>
      </c>
      <c r="AS29" s="7" t="s">
        <v>2013</v>
      </c>
      <c r="AT29" s="7" t="s">
        <v>763</v>
      </c>
      <c r="AU29" s="7" t="s">
        <v>763</v>
      </c>
    </row>
    <row r="30" spans="1:47" s="3" customFormat="1" x14ac:dyDescent="0.35">
      <c r="A30" s="3">
        <v>36</v>
      </c>
      <c r="B30" s="3">
        <v>29</v>
      </c>
      <c r="C30" s="15" t="s">
        <v>235</v>
      </c>
      <c r="D30" s="3" t="s">
        <v>237</v>
      </c>
      <c r="E30" s="3" t="s">
        <v>751</v>
      </c>
      <c r="F30" s="3">
        <v>2021</v>
      </c>
      <c r="G30" s="27">
        <v>42401</v>
      </c>
      <c r="H30" s="3" t="s">
        <v>753</v>
      </c>
      <c r="I30" s="3" t="s">
        <v>754</v>
      </c>
      <c r="J30" s="3">
        <v>10.775556</v>
      </c>
      <c r="K30" s="3">
        <v>106.701944</v>
      </c>
      <c r="L30" s="3" t="s">
        <v>1204</v>
      </c>
      <c r="M30" s="11">
        <v>8993082</v>
      </c>
      <c r="N30" s="11">
        <v>4363</v>
      </c>
      <c r="O30" s="3" t="s">
        <v>2327</v>
      </c>
      <c r="P30" s="3" t="s">
        <v>1202</v>
      </c>
      <c r="Q30" s="3" t="s">
        <v>2335</v>
      </c>
      <c r="R30" s="3">
        <v>1909</v>
      </c>
      <c r="S30" s="3">
        <v>27</v>
      </c>
      <c r="T30" s="3" t="s">
        <v>1016</v>
      </c>
      <c r="U30" s="3" t="s">
        <v>2303</v>
      </c>
      <c r="V30" s="3" t="s">
        <v>2357</v>
      </c>
      <c r="W30" s="3" t="s">
        <v>787</v>
      </c>
      <c r="X30" s="3" t="s">
        <v>2350</v>
      </c>
      <c r="Y30" s="3" t="s">
        <v>1205</v>
      </c>
      <c r="Z30" s="3" t="s">
        <v>1744</v>
      </c>
      <c r="AA30" s="3" t="s">
        <v>2165</v>
      </c>
      <c r="AB30" s="3" t="s">
        <v>787</v>
      </c>
      <c r="AC30" s="3">
        <f>AE30/3.67</f>
        <v>8427101.1035422347</v>
      </c>
      <c r="AD30" s="3">
        <f>AF30/3.67</f>
        <v>1.1690929093142215</v>
      </c>
      <c r="AE30" s="3">
        <f>84732.77*365</f>
        <v>30927461.050000001</v>
      </c>
      <c r="AF30" s="3">
        <f>AE30/AQ30</f>
        <v>4.2905709771831928</v>
      </c>
      <c r="AG30" s="3" t="s">
        <v>789</v>
      </c>
      <c r="AH30" s="7" t="s">
        <v>763</v>
      </c>
      <c r="AI30" s="7" t="s">
        <v>763</v>
      </c>
      <c r="AJ30" s="7" t="s">
        <v>763</v>
      </c>
      <c r="AK30" s="7" t="s">
        <v>763</v>
      </c>
      <c r="AL30" s="7" t="s">
        <v>763</v>
      </c>
      <c r="AM30" s="7" t="s">
        <v>763</v>
      </c>
      <c r="AN30" s="3" t="s">
        <v>763</v>
      </c>
      <c r="AO30" s="3" t="s">
        <v>763</v>
      </c>
      <c r="AP30" s="33">
        <f>577.197+71044.486+460.707</f>
        <v>72082.39</v>
      </c>
      <c r="AQ30" s="30">
        <v>7208239</v>
      </c>
      <c r="AR30" s="7" t="s">
        <v>763</v>
      </c>
      <c r="AS30" s="7" t="s">
        <v>763</v>
      </c>
      <c r="AT30" s="7" t="s">
        <v>763</v>
      </c>
      <c r="AU30" s="7" t="s">
        <v>763</v>
      </c>
    </row>
    <row r="31" spans="1:47" x14ac:dyDescent="0.35">
      <c r="A31">
        <v>37</v>
      </c>
      <c r="B31" s="3">
        <v>30</v>
      </c>
      <c r="C31" t="s">
        <v>254</v>
      </c>
      <c r="D31" t="s">
        <v>256</v>
      </c>
      <c r="E31" s="3" t="s">
        <v>751</v>
      </c>
      <c r="F31" s="3">
        <v>2017</v>
      </c>
      <c r="G31" s="3">
        <v>2007</v>
      </c>
      <c r="H31" s="3" t="s">
        <v>753</v>
      </c>
      <c r="I31" s="3" t="s">
        <v>754</v>
      </c>
      <c r="J31" s="3">
        <v>6.2319440000000004</v>
      </c>
      <c r="K31" s="3">
        <v>-75.568055999999999</v>
      </c>
      <c r="L31" t="s">
        <v>1214</v>
      </c>
      <c r="M31" s="11">
        <v>2427129</v>
      </c>
      <c r="N31" s="11">
        <v>6475</v>
      </c>
      <c r="O31" s="3" t="s">
        <v>2325</v>
      </c>
      <c r="P31" s="3" t="s">
        <v>1213</v>
      </c>
      <c r="Q31" s="3" t="s">
        <v>2338</v>
      </c>
      <c r="R31">
        <v>1687</v>
      </c>
      <c r="S31">
        <v>22.5</v>
      </c>
      <c r="T31" s="3" t="s">
        <v>763</v>
      </c>
      <c r="U31" t="s">
        <v>2300</v>
      </c>
      <c r="V31" s="3" t="s">
        <v>2351</v>
      </c>
      <c r="W31" s="3" t="s">
        <v>787</v>
      </c>
      <c r="X31" s="3" t="s">
        <v>2348</v>
      </c>
      <c r="Y31" s="8" t="s">
        <v>1222</v>
      </c>
      <c r="Z31" s="29" t="s">
        <v>2032</v>
      </c>
      <c r="AA31" s="3" t="s">
        <v>766</v>
      </c>
      <c r="AB31" s="3" t="s">
        <v>787</v>
      </c>
      <c r="AC31" s="3">
        <f>AE31/3.67</f>
        <v>565.94005449591282</v>
      </c>
      <c r="AD31" s="3">
        <f>AF31/3.67</f>
        <v>0.26286114932462279</v>
      </c>
      <c r="AE31">
        <v>2077</v>
      </c>
      <c r="AF31" s="3">
        <f>AE31/AQ31</f>
        <v>0.96470041802136552</v>
      </c>
      <c r="AG31" s="3" t="s">
        <v>768</v>
      </c>
      <c r="AH31" s="7">
        <f>AI31/AQ31</f>
        <v>13.139260723583215</v>
      </c>
      <c r="AI31" s="7">
        <f>AJ31/3.67</f>
        <v>28288.82833787466</v>
      </c>
      <c r="AJ31" s="7">
        <v>103820</v>
      </c>
      <c r="AK31" s="7">
        <f>AJ31/AQ31</f>
        <v>48.221086855550396</v>
      </c>
      <c r="AL31" s="7">
        <f t="shared" ref="AL31:AM34" si="9">AH31/0.47</f>
        <v>27.955873879964287</v>
      </c>
      <c r="AM31" s="7">
        <f t="shared" si="9"/>
        <v>60188.996463563111</v>
      </c>
      <c r="AN31" s="3">
        <f t="shared" ref="AN31:AN34" si="10">AH31/1.24</f>
        <v>10.596178002889689</v>
      </c>
      <c r="AO31" s="3">
        <f t="shared" ref="AO31:AO34" si="11">AN31*0.24</f>
        <v>2.5430827206935254</v>
      </c>
      <c r="AP31">
        <v>2153</v>
      </c>
      <c r="AQ31">
        <v>2153</v>
      </c>
      <c r="AR31" s="7" t="s">
        <v>763</v>
      </c>
      <c r="AS31" s="7" t="s">
        <v>2014</v>
      </c>
      <c r="AT31">
        <f>182044/AQ31</f>
        <v>84.553646075243847</v>
      </c>
      <c r="AU31" s="7" t="s">
        <v>763</v>
      </c>
    </row>
    <row r="32" spans="1:47" s="8" customFormat="1" x14ac:dyDescent="0.35">
      <c r="A32">
        <v>38</v>
      </c>
      <c r="B32" s="7">
        <v>31</v>
      </c>
      <c r="C32" s="8" t="s">
        <v>259</v>
      </c>
      <c r="D32" s="8" t="s">
        <v>261</v>
      </c>
      <c r="E32" s="7" t="s">
        <v>751</v>
      </c>
      <c r="F32" s="7">
        <v>2021</v>
      </c>
      <c r="G32" s="33" t="s">
        <v>1264</v>
      </c>
      <c r="H32" s="7" t="s">
        <v>795</v>
      </c>
      <c r="I32" s="7" t="s">
        <v>754</v>
      </c>
      <c r="J32" s="7">
        <v>22.574999999999999</v>
      </c>
      <c r="K32" s="7">
        <v>90.775000000000006</v>
      </c>
      <c r="L32" s="30" t="s">
        <v>1770</v>
      </c>
      <c r="M32" s="11">
        <v>203451</v>
      </c>
      <c r="N32" s="11">
        <v>9547</v>
      </c>
      <c r="O32" s="30" t="s">
        <v>2327</v>
      </c>
      <c r="P32" s="7" t="s">
        <v>985</v>
      </c>
      <c r="Q32" s="3" t="s">
        <v>2339</v>
      </c>
      <c r="R32" s="8">
        <v>3207</v>
      </c>
      <c r="S32" s="8">
        <v>26.2</v>
      </c>
      <c r="T32" s="7" t="s">
        <v>763</v>
      </c>
      <c r="U32" t="s">
        <v>2303</v>
      </c>
      <c r="V32" s="19" t="s">
        <v>2354</v>
      </c>
      <c r="W32" s="7" t="s">
        <v>787</v>
      </c>
      <c r="X32" s="19" t="s">
        <v>2347</v>
      </c>
      <c r="Y32" s="8" t="s">
        <v>1995</v>
      </c>
      <c r="Z32" s="8" t="s">
        <v>1744</v>
      </c>
      <c r="AA32" s="3" t="s">
        <v>2165</v>
      </c>
      <c r="AB32" s="7" t="s">
        <v>787</v>
      </c>
      <c r="AC32" s="7" t="s">
        <v>763</v>
      </c>
      <c r="AD32" s="7" t="s">
        <v>763</v>
      </c>
      <c r="AE32" s="7" t="s">
        <v>763</v>
      </c>
      <c r="AF32" s="7" t="s">
        <v>763</v>
      </c>
      <c r="AG32" s="7" t="s">
        <v>768</v>
      </c>
      <c r="AH32" s="7">
        <f>AI32/AQ32</f>
        <v>135.75913172250333</v>
      </c>
      <c r="AI32" s="8">
        <f>(((1988*23.85)+(1998*25.23)+(2008*25.01)+(2018*27.15))/(1988+1998+2008+2018))*1000000</f>
        <v>25316040.93859211</v>
      </c>
      <c r="AJ32" s="7">
        <f t="shared" ref="AJ32:AJ44" si="12">AI32*3.67</f>
        <v>92909870.244633034</v>
      </c>
      <c r="AK32" s="7">
        <f>AJ32/AQ32</f>
        <v>498.23601342158719</v>
      </c>
      <c r="AL32" s="7">
        <f t="shared" si="9"/>
        <v>288.84921643085818</v>
      </c>
      <c r="AM32" s="7">
        <f t="shared" si="9"/>
        <v>53863916.890621513</v>
      </c>
      <c r="AN32" s="3">
        <f t="shared" si="10"/>
        <v>109.48317074395429</v>
      </c>
      <c r="AO32" s="3">
        <f t="shared" si="11"/>
        <v>26.27596097854903</v>
      </c>
      <c r="AP32" s="48" t="s">
        <v>2251</v>
      </c>
      <c r="AQ32" s="48">
        <f>((1988*144110)+(1998*178640)+(2008*179820)+(2018*242600))/(1988+1998+2008+2018)</f>
        <v>186477.62855716425</v>
      </c>
      <c r="AR32" s="7" t="s">
        <v>763</v>
      </c>
      <c r="AS32" s="7" t="s">
        <v>763</v>
      </c>
      <c r="AT32" s="8" t="s">
        <v>763</v>
      </c>
      <c r="AU32" s="7" t="s">
        <v>763</v>
      </c>
    </row>
    <row r="33" spans="1:47" x14ac:dyDescent="0.35">
      <c r="A33">
        <v>39</v>
      </c>
      <c r="B33" s="3">
        <v>32</v>
      </c>
      <c r="C33" t="s">
        <v>263</v>
      </c>
      <c r="D33" t="s">
        <v>265</v>
      </c>
      <c r="E33" s="3" t="s">
        <v>751</v>
      </c>
      <c r="F33" s="3">
        <v>2009</v>
      </c>
      <c r="G33" s="3" t="s">
        <v>1901</v>
      </c>
      <c r="H33" s="3" t="s">
        <v>753</v>
      </c>
      <c r="I33" s="3" t="s">
        <v>754</v>
      </c>
      <c r="J33" s="3">
        <v>23.155556000000001</v>
      </c>
      <c r="K33" s="3">
        <v>77.366944000000004</v>
      </c>
      <c r="L33" t="s">
        <v>1012</v>
      </c>
      <c r="M33" s="11">
        <v>1798218</v>
      </c>
      <c r="N33" s="11">
        <v>6290</v>
      </c>
      <c r="O33" s="30" t="s">
        <v>2327</v>
      </c>
      <c r="P33" s="3" t="s">
        <v>756</v>
      </c>
      <c r="Q33" s="3" t="s">
        <v>2333</v>
      </c>
      <c r="R33" s="3">
        <v>1074</v>
      </c>
      <c r="S33" s="3">
        <v>25.3</v>
      </c>
      <c r="T33" s="3" t="s">
        <v>948</v>
      </c>
      <c r="U33" t="s">
        <v>2297</v>
      </c>
      <c r="V33" s="19" t="s">
        <v>2354</v>
      </c>
      <c r="W33" s="3" t="s">
        <v>787</v>
      </c>
      <c r="X33" s="19" t="s">
        <v>2347</v>
      </c>
      <c r="Y33" s="7" t="s">
        <v>764</v>
      </c>
      <c r="Z33" s="8" t="s">
        <v>2026</v>
      </c>
      <c r="AA33" s="3" t="s">
        <v>766</v>
      </c>
      <c r="AB33" s="3" t="s">
        <v>787</v>
      </c>
      <c r="AC33" s="3" t="s">
        <v>763</v>
      </c>
      <c r="AD33" s="3" t="s">
        <v>763</v>
      </c>
      <c r="AE33" s="3" t="s">
        <v>763</v>
      </c>
      <c r="AF33" s="3" t="s">
        <v>763</v>
      </c>
      <c r="AG33" s="3" t="s">
        <v>789</v>
      </c>
      <c r="AH33">
        <v>12.544</v>
      </c>
      <c r="AI33">
        <v>6.6020000000000003</v>
      </c>
      <c r="AJ33" s="7">
        <f t="shared" si="12"/>
        <v>24.229340000000001</v>
      </c>
      <c r="AK33" s="7">
        <f>AJ33/AQ33</f>
        <v>1.5541590763309814E-2</v>
      </c>
      <c r="AL33" s="7">
        <f t="shared" si="9"/>
        <v>26.689361702127663</v>
      </c>
      <c r="AM33" s="7">
        <f t="shared" si="9"/>
        <v>14.0468085106383</v>
      </c>
      <c r="AN33" s="3">
        <f t="shared" si="10"/>
        <v>10.116129032258065</v>
      </c>
      <c r="AO33" s="3">
        <f t="shared" si="11"/>
        <v>2.4278709677419354</v>
      </c>
      <c r="AP33">
        <v>1559</v>
      </c>
      <c r="AQ33">
        <v>1559</v>
      </c>
      <c r="AR33" s="7" t="s">
        <v>763</v>
      </c>
      <c r="AS33" s="8" t="s">
        <v>2271</v>
      </c>
      <c r="AT33">
        <f>308/AQ33</f>
        <v>0.19756254008980115</v>
      </c>
      <c r="AU33" s="7" t="s">
        <v>763</v>
      </c>
    </row>
    <row r="34" spans="1:47" x14ac:dyDescent="0.35">
      <c r="A34">
        <v>40</v>
      </c>
      <c r="B34" s="3">
        <v>33</v>
      </c>
      <c r="C34" t="s">
        <v>268</v>
      </c>
      <c r="D34" t="s">
        <v>270</v>
      </c>
      <c r="E34" s="3" t="s">
        <v>751</v>
      </c>
      <c r="F34" s="3">
        <v>2024</v>
      </c>
      <c r="G34" s="3" t="s">
        <v>763</v>
      </c>
      <c r="H34" s="3" t="s">
        <v>753</v>
      </c>
      <c r="I34" s="3" t="s">
        <v>754</v>
      </c>
      <c r="J34" s="3">
        <v>16.478860999999998</v>
      </c>
      <c r="K34" s="3">
        <v>120.586167</v>
      </c>
      <c r="L34" t="s">
        <v>1250</v>
      </c>
      <c r="M34" s="11">
        <v>137404</v>
      </c>
      <c r="N34" s="11">
        <v>1951</v>
      </c>
      <c r="O34" s="30" t="s">
        <v>2327</v>
      </c>
      <c r="P34" s="3" t="s">
        <v>1112</v>
      </c>
      <c r="Q34" s="3" t="s">
        <v>2339</v>
      </c>
      <c r="R34" s="3">
        <v>3463</v>
      </c>
      <c r="S34" s="3">
        <v>21.1</v>
      </c>
      <c r="T34" s="3" t="s">
        <v>763</v>
      </c>
      <c r="U34" t="s">
        <v>2304</v>
      </c>
      <c r="V34" s="19" t="s">
        <v>2354</v>
      </c>
      <c r="W34" s="3" t="s">
        <v>787</v>
      </c>
      <c r="X34" s="19" t="s">
        <v>2347</v>
      </c>
      <c r="Y34" s="7" t="s">
        <v>1996</v>
      </c>
      <c r="Z34" t="s">
        <v>2031</v>
      </c>
      <c r="AA34" s="3" t="s">
        <v>766</v>
      </c>
      <c r="AB34" s="3" t="s">
        <v>787</v>
      </c>
      <c r="AC34" s="3" t="s">
        <v>763</v>
      </c>
      <c r="AD34" s="3" t="s">
        <v>763</v>
      </c>
      <c r="AE34" s="3" t="s">
        <v>763</v>
      </c>
      <c r="AF34" s="3" t="s">
        <v>763</v>
      </c>
      <c r="AG34" s="3" t="s">
        <v>768</v>
      </c>
      <c r="AH34">
        <v>192.54</v>
      </c>
      <c r="AI34">
        <v>6931.44</v>
      </c>
      <c r="AJ34" s="7">
        <f t="shared" si="12"/>
        <v>25438.3848</v>
      </c>
      <c r="AK34" s="7">
        <f>AJ34/AQ34</f>
        <v>706.62180000000001</v>
      </c>
      <c r="AL34" s="7">
        <f t="shared" si="9"/>
        <v>409.65957446808511</v>
      </c>
      <c r="AM34" s="7">
        <f t="shared" si="9"/>
        <v>14747.744680851063</v>
      </c>
      <c r="AN34" s="3">
        <f t="shared" si="10"/>
        <v>155.2741935483871</v>
      </c>
      <c r="AO34" s="3">
        <f t="shared" si="11"/>
        <v>37.265806451612903</v>
      </c>
      <c r="AP34">
        <v>36</v>
      </c>
      <c r="AQ34">
        <v>36</v>
      </c>
      <c r="AR34">
        <v>102</v>
      </c>
      <c r="AS34" t="s">
        <v>2015</v>
      </c>
      <c r="AT34" t="s">
        <v>763</v>
      </c>
      <c r="AU34" s="7" t="s">
        <v>763</v>
      </c>
    </row>
    <row r="35" spans="1:47" x14ac:dyDescent="0.35">
      <c r="A35">
        <v>41</v>
      </c>
      <c r="B35" s="3">
        <v>34</v>
      </c>
      <c r="C35" t="s">
        <v>273</v>
      </c>
      <c r="D35" t="s">
        <v>275</v>
      </c>
      <c r="E35" s="3" t="s">
        <v>751</v>
      </c>
      <c r="F35" s="3">
        <v>2023</v>
      </c>
      <c r="G35" s="3">
        <v>2017</v>
      </c>
      <c r="H35" s="3" t="s">
        <v>753</v>
      </c>
      <c r="I35" s="3" t="s">
        <v>754</v>
      </c>
      <c r="J35" s="3">
        <v>23.2</v>
      </c>
      <c r="K35" s="3">
        <v>83.033332999999999</v>
      </c>
      <c r="L35" t="s">
        <v>1358</v>
      </c>
      <c r="M35" s="11">
        <v>121071</v>
      </c>
      <c r="N35" s="11">
        <v>3014</v>
      </c>
      <c r="O35" s="30" t="s">
        <v>2327</v>
      </c>
      <c r="P35" s="3" t="s">
        <v>756</v>
      </c>
      <c r="Q35" s="3" t="s">
        <v>2333</v>
      </c>
      <c r="R35">
        <v>1200</v>
      </c>
      <c r="S35">
        <v>24</v>
      </c>
      <c r="T35" s="3" t="s">
        <v>763</v>
      </c>
      <c r="U35" t="s">
        <v>2300</v>
      </c>
      <c r="V35" s="3" t="s">
        <v>2351</v>
      </c>
      <c r="W35" s="3" t="s">
        <v>787</v>
      </c>
      <c r="X35" s="3" t="s">
        <v>2348</v>
      </c>
      <c r="Y35" s="7" t="s">
        <v>764</v>
      </c>
      <c r="Z35" s="7" t="s">
        <v>2031</v>
      </c>
      <c r="AA35" s="3" t="s">
        <v>766</v>
      </c>
      <c r="AB35" s="3" t="s">
        <v>787</v>
      </c>
      <c r="AC35" s="3" t="s">
        <v>763</v>
      </c>
      <c r="AD35" s="3" t="s">
        <v>763</v>
      </c>
      <c r="AE35" s="3" t="s">
        <v>763</v>
      </c>
      <c r="AF35" s="3" t="s">
        <v>763</v>
      </c>
      <c r="AG35" s="3" t="s">
        <v>789</v>
      </c>
      <c r="AH35">
        <v>189.85</v>
      </c>
      <c r="AI35">
        <f>AH35*AQ35</f>
        <v>422169445</v>
      </c>
      <c r="AJ35" s="7">
        <f t="shared" si="12"/>
        <v>1549361863.1499999</v>
      </c>
      <c r="AK35">
        <v>696.77</v>
      </c>
      <c r="AL35" s="4">
        <f>AN35+AO35</f>
        <v>390.27760000000001</v>
      </c>
      <c r="AM35" s="4">
        <f>AL35*AQ35</f>
        <v>867860299.12</v>
      </c>
      <c r="AN35" s="3">
        <v>314.74</v>
      </c>
      <c r="AO35" s="4">
        <f>AN35*0.24</f>
        <v>75.537599999999998</v>
      </c>
      <c r="AP35">
        <v>2223700</v>
      </c>
      <c r="AQ35">
        <v>2223700</v>
      </c>
      <c r="AR35" t="s">
        <v>763</v>
      </c>
      <c r="AS35" s="8" t="s">
        <v>2272</v>
      </c>
      <c r="AT35" s="7">
        <v>205</v>
      </c>
      <c r="AU35" s="7" t="s">
        <v>763</v>
      </c>
    </row>
    <row r="36" spans="1:47" x14ac:dyDescent="0.35">
      <c r="A36">
        <v>42</v>
      </c>
      <c r="B36" s="3">
        <v>35</v>
      </c>
      <c r="C36" t="s">
        <v>283</v>
      </c>
      <c r="D36" t="s">
        <v>1158</v>
      </c>
      <c r="E36" s="3" t="s">
        <v>751</v>
      </c>
      <c r="F36" s="3">
        <v>2017</v>
      </c>
      <c r="G36" s="3" t="s">
        <v>763</v>
      </c>
      <c r="H36" s="3" t="s">
        <v>753</v>
      </c>
      <c r="I36" s="3" t="s">
        <v>754</v>
      </c>
      <c r="J36" s="3">
        <v>8.75</v>
      </c>
      <c r="K36" s="3">
        <v>38.65</v>
      </c>
      <c r="L36" t="s">
        <v>1104</v>
      </c>
      <c r="M36" s="11">
        <v>3860000</v>
      </c>
      <c r="N36" s="11">
        <v>7324</v>
      </c>
      <c r="O36" t="s">
        <v>2326</v>
      </c>
      <c r="P36" s="3" t="s">
        <v>1102</v>
      </c>
      <c r="Q36" s="3" t="s">
        <v>2334</v>
      </c>
      <c r="R36" s="3">
        <v>1874</v>
      </c>
      <c r="S36" s="3">
        <v>15.6</v>
      </c>
      <c r="T36" s="3" t="s">
        <v>763</v>
      </c>
      <c r="U36" t="s">
        <v>2306</v>
      </c>
      <c r="V36" s="19" t="s">
        <v>2354</v>
      </c>
      <c r="W36" s="3" t="s">
        <v>787</v>
      </c>
      <c r="X36" s="19" t="s">
        <v>2347</v>
      </c>
      <c r="Y36" s="7" t="s">
        <v>764</v>
      </c>
      <c r="Z36" s="7" t="s">
        <v>2031</v>
      </c>
      <c r="AA36" s="3" t="s">
        <v>766</v>
      </c>
      <c r="AB36" s="3" t="s">
        <v>787</v>
      </c>
      <c r="AC36" s="3" t="s">
        <v>763</v>
      </c>
      <c r="AD36" s="3" t="s">
        <v>763</v>
      </c>
      <c r="AE36" s="3" t="s">
        <v>763</v>
      </c>
      <c r="AF36" s="3" t="s">
        <v>763</v>
      </c>
      <c r="AG36" s="3" t="s">
        <v>768</v>
      </c>
      <c r="AH36">
        <v>171</v>
      </c>
      <c r="AI36">
        <v>552415</v>
      </c>
      <c r="AJ36" s="7">
        <f t="shared" si="12"/>
        <v>2027363.05</v>
      </c>
      <c r="AK36">
        <f>AJ36/AQ36</f>
        <v>628.25009296560279</v>
      </c>
      <c r="AL36" s="3">
        <f>AM36/AQ36</f>
        <v>342.37682057638676</v>
      </c>
      <c r="AM36" s="3">
        <v>1104850</v>
      </c>
      <c r="AN36" s="3">
        <f>905615/AQ36</f>
        <v>280.6368143786799</v>
      </c>
      <c r="AO36" s="3">
        <f>199235/AQ36</f>
        <v>61.740006197706848</v>
      </c>
      <c r="AP36">
        <v>3227</v>
      </c>
      <c r="AQ36">
        <v>3227</v>
      </c>
      <c r="AR36" t="s">
        <v>763</v>
      </c>
      <c r="AS36" s="8" t="s">
        <v>2278</v>
      </c>
      <c r="AT36">
        <f>2420/AQ36</f>
        <v>0.74992252866439413</v>
      </c>
      <c r="AU36" s="7" t="s">
        <v>763</v>
      </c>
    </row>
    <row r="37" spans="1:47" x14ac:dyDescent="0.35">
      <c r="A37">
        <v>43</v>
      </c>
      <c r="B37" s="3">
        <v>36</v>
      </c>
      <c r="C37" t="s">
        <v>292</v>
      </c>
      <c r="D37" t="s">
        <v>294</v>
      </c>
      <c r="E37" s="3" t="s">
        <v>751</v>
      </c>
      <c r="F37" s="3">
        <v>2023</v>
      </c>
      <c r="G37" s="3" t="s">
        <v>1282</v>
      </c>
      <c r="H37" s="3" t="s">
        <v>795</v>
      </c>
      <c r="I37" s="3" t="s">
        <v>754</v>
      </c>
      <c r="J37" s="3">
        <v>6.6678009999999999</v>
      </c>
      <c r="K37" s="3">
        <v>2.1480250000000001</v>
      </c>
      <c r="L37" t="s">
        <v>1788</v>
      </c>
      <c r="M37" s="11">
        <v>127512</v>
      </c>
      <c r="N37">
        <v>334.7</v>
      </c>
      <c r="O37" t="s">
        <v>2326</v>
      </c>
      <c r="P37" s="3" t="s">
        <v>1280</v>
      </c>
      <c r="Q37" s="3" t="s">
        <v>2335</v>
      </c>
      <c r="R37" s="3">
        <v>1353</v>
      </c>
      <c r="S37" s="3">
        <v>26.3</v>
      </c>
      <c r="T37" s="3" t="s">
        <v>763</v>
      </c>
      <c r="U37" t="s">
        <v>2298</v>
      </c>
      <c r="V37" s="19" t="s">
        <v>2354</v>
      </c>
      <c r="W37" s="3" t="s">
        <v>787</v>
      </c>
      <c r="X37" s="3" t="s">
        <v>2350</v>
      </c>
      <c r="Y37" s="7" t="s">
        <v>1281</v>
      </c>
      <c r="Z37" t="s">
        <v>1744</v>
      </c>
      <c r="AA37" s="3" t="s">
        <v>2165</v>
      </c>
      <c r="AB37" s="3" t="s">
        <v>787</v>
      </c>
      <c r="AC37" s="3" t="s">
        <v>763</v>
      </c>
      <c r="AD37" s="3" t="s">
        <v>763</v>
      </c>
      <c r="AE37" s="3" t="s">
        <v>763</v>
      </c>
      <c r="AF37" s="3" t="s">
        <v>763</v>
      </c>
      <c r="AG37" s="3" t="s">
        <v>768</v>
      </c>
      <c r="AH37" s="8">
        <f>AI37/AQ37</f>
        <v>48.628631487168207</v>
      </c>
      <c r="AI37" s="8">
        <f>(((1752*12511)+(1491*19106)+(171*612))/(12511+19106+612))*1000</f>
        <v>1567252.1641999441</v>
      </c>
      <c r="AJ37" s="7">
        <f t="shared" si="12"/>
        <v>5751815.4426137945</v>
      </c>
      <c r="AK37">
        <f>AJ37/AQ37</f>
        <v>178.46707755790732</v>
      </c>
      <c r="AL37" s="7">
        <f>AN37+AO37</f>
        <v>105.88463805889106</v>
      </c>
      <c r="AM37" s="7">
        <f>AL37*AQ37</f>
        <v>3412556</v>
      </c>
      <c r="AN37" s="7">
        <f>((113*12511)+(63*19106)+(225*612))/(12511+19106+612)</f>
        <v>85.485773682087554</v>
      </c>
      <c r="AO37" s="7">
        <f>((27*12511)+(15*19106)+(54*612))/(12511+19106+612)</f>
        <v>20.398864376803498</v>
      </c>
      <c r="AP37" s="8">
        <v>612</v>
      </c>
      <c r="AQ37" s="8">
        <f>12511+19106+612</f>
        <v>32229</v>
      </c>
      <c r="AR37" t="s">
        <v>763</v>
      </c>
      <c r="AS37" s="8" t="s">
        <v>2016</v>
      </c>
      <c r="AT37" t="s">
        <v>763</v>
      </c>
      <c r="AU37" s="7" t="s">
        <v>763</v>
      </c>
    </row>
    <row r="38" spans="1:47" x14ac:dyDescent="0.35">
      <c r="A38">
        <v>45</v>
      </c>
      <c r="B38" s="3">
        <v>37</v>
      </c>
      <c r="C38" t="s">
        <v>330</v>
      </c>
      <c r="D38" t="s">
        <v>332</v>
      </c>
      <c r="E38" s="3" t="s">
        <v>751</v>
      </c>
      <c r="F38" s="3">
        <v>2016</v>
      </c>
      <c r="G38" s="3">
        <v>2013</v>
      </c>
      <c r="H38" s="3" t="s">
        <v>753</v>
      </c>
      <c r="I38" s="3" t="s">
        <v>754</v>
      </c>
      <c r="J38" s="3">
        <v>4.8714199999999996</v>
      </c>
      <c r="K38" s="3">
        <v>-73.986396999999997</v>
      </c>
      <c r="L38" t="s">
        <v>1292</v>
      </c>
      <c r="M38" s="11">
        <v>7412566</v>
      </c>
      <c r="N38" s="11">
        <v>4567</v>
      </c>
      <c r="O38" t="s">
        <v>2325</v>
      </c>
      <c r="P38" s="3" t="s">
        <v>1213</v>
      </c>
      <c r="Q38" s="3" t="s">
        <v>2341</v>
      </c>
      <c r="R38">
        <v>600</v>
      </c>
      <c r="S38">
        <v>14</v>
      </c>
      <c r="T38" s="3" t="s">
        <v>763</v>
      </c>
      <c r="U38" t="s">
        <v>2304</v>
      </c>
      <c r="V38" s="19" t="s">
        <v>2354</v>
      </c>
      <c r="W38" s="3" t="s">
        <v>787</v>
      </c>
      <c r="X38" s="3" t="s">
        <v>2346</v>
      </c>
      <c r="Y38" s="7" t="s">
        <v>764</v>
      </c>
      <c r="Z38" s="7" t="s">
        <v>2031</v>
      </c>
      <c r="AA38" s="7" t="s">
        <v>766</v>
      </c>
      <c r="AB38" s="3" t="s">
        <v>787</v>
      </c>
      <c r="AC38" s="3" t="s">
        <v>763</v>
      </c>
      <c r="AD38" s="3" t="s">
        <v>763</v>
      </c>
      <c r="AE38" s="3" t="s">
        <v>763</v>
      </c>
      <c r="AF38" s="3" t="s">
        <v>763</v>
      </c>
      <c r="AG38" s="3" t="s">
        <v>789</v>
      </c>
      <c r="AH38" s="33">
        <f>AN38*0.47</f>
        <v>37.256899999999995</v>
      </c>
      <c r="AI38" s="33">
        <f>AH38*AQ38</f>
        <v>11.922207999999998</v>
      </c>
      <c r="AJ38" s="33">
        <f t="shared" si="12"/>
        <v>43.754503359999994</v>
      </c>
      <c r="AK38" s="33">
        <f t="shared" ref="AK38:AK42" si="13">AH38*3.67</f>
        <v>136.73282299999997</v>
      </c>
      <c r="AL38" s="4">
        <f>AN38+AO38</f>
        <v>98.294799999999995</v>
      </c>
      <c r="AM38" s="4">
        <f>AL38*AQ38</f>
        <v>31.454335999999998</v>
      </c>
      <c r="AN38" s="7">
        <v>79.27</v>
      </c>
      <c r="AO38" s="4">
        <f>AN38*0.24</f>
        <v>19.024799999999999</v>
      </c>
      <c r="AP38" s="8">
        <v>0.32</v>
      </c>
      <c r="AQ38" s="8">
        <v>0.32</v>
      </c>
      <c r="AR38" s="8" t="s">
        <v>763</v>
      </c>
      <c r="AS38" s="8" t="s">
        <v>2279</v>
      </c>
      <c r="AT38">
        <f>1354/AQ38</f>
        <v>4231.25</v>
      </c>
      <c r="AU38" t="s">
        <v>763</v>
      </c>
    </row>
    <row r="39" spans="1:47" ht="15.5" x14ac:dyDescent="0.35">
      <c r="A39">
        <v>46</v>
      </c>
      <c r="B39" s="3">
        <v>38</v>
      </c>
      <c r="C39" t="s">
        <v>335</v>
      </c>
      <c r="D39" t="s">
        <v>337</v>
      </c>
      <c r="E39" s="3" t="s">
        <v>751</v>
      </c>
      <c r="F39" s="3">
        <v>2022</v>
      </c>
      <c r="G39" s="4" t="s">
        <v>1304</v>
      </c>
      <c r="H39" s="3" t="s">
        <v>795</v>
      </c>
      <c r="I39" s="3" t="s">
        <v>754</v>
      </c>
      <c r="J39" s="3">
        <v>18.159199999999998</v>
      </c>
      <c r="K39" s="3">
        <v>42.397908000000001</v>
      </c>
      <c r="L39" t="s">
        <v>1301</v>
      </c>
      <c r="M39" s="11">
        <v>334290</v>
      </c>
      <c r="N39">
        <v>61.84</v>
      </c>
      <c r="O39" t="s">
        <v>2327</v>
      </c>
      <c r="P39" s="3" t="s">
        <v>1300</v>
      </c>
      <c r="Q39" s="3" t="s">
        <v>2333</v>
      </c>
      <c r="R39">
        <v>245</v>
      </c>
      <c r="S39">
        <v>20.100000000000001</v>
      </c>
      <c r="T39" s="3" t="s">
        <v>763</v>
      </c>
      <c r="U39" t="s">
        <v>2308</v>
      </c>
      <c r="V39" s="3" t="s">
        <v>2351</v>
      </c>
      <c r="W39" s="4" t="s">
        <v>787</v>
      </c>
      <c r="X39" s="3" t="s">
        <v>2348</v>
      </c>
      <c r="Y39" s="8" t="s">
        <v>1997</v>
      </c>
      <c r="Z39" t="s">
        <v>1744</v>
      </c>
      <c r="AA39" s="3" t="s">
        <v>2165</v>
      </c>
      <c r="AB39" s="3" t="s">
        <v>787</v>
      </c>
      <c r="AC39" s="3" t="s">
        <v>763</v>
      </c>
      <c r="AD39" s="3" t="s">
        <v>763</v>
      </c>
      <c r="AE39" s="3" t="s">
        <v>763</v>
      </c>
      <c r="AF39" s="3" t="s">
        <v>763</v>
      </c>
      <c r="AG39" s="3" t="s">
        <v>768</v>
      </c>
      <c r="AH39" s="43">
        <f>AI39/AQ39</f>
        <v>2.9708386341410913</v>
      </c>
      <c r="AI39" s="9">
        <f>((1990*18524.96)+(2000*31195.78)+(2020*80561.01))/(1990+2000+2020)</f>
        <v>43592.258003327785</v>
      </c>
      <c r="AJ39" s="43">
        <f t="shared" si="12"/>
        <v>159983.58687221297</v>
      </c>
      <c r="AK39" s="33">
        <f t="shared" si="13"/>
        <v>10.902977787297806</v>
      </c>
      <c r="AL39" s="7">
        <f>AH39/0.47</f>
        <v>6.320933264129982</v>
      </c>
      <c r="AM39" s="7">
        <f>AI39/0.47</f>
        <v>92749.485113463379</v>
      </c>
      <c r="AN39" s="3">
        <f t="shared" ref="AN39:AN41" si="14">AH39/1.24</f>
        <v>2.3958376081782995</v>
      </c>
      <c r="AO39" s="3">
        <f t="shared" ref="AO39:AO41" si="15">AN39*0.24</f>
        <v>0.5750010259627919</v>
      </c>
      <c r="AP39" t="s">
        <v>2252</v>
      </c>
      <c r="AQ39">
        <f>((1990*6237.36)+(2000*10503.63)+(2018*27124.92))/(1990+2000+2018)</f>
        <v>14673.384647137149</v>
      </c>
      <c r="AR39" s="8" t="s">
        <v>763</v>
      </c>
      <c r="AS39" s="8" t="s">
        <v>2280</v>
      </c>
      <c r="AT39" s="8" t="s">
        <v>763</v>
      </c>
      <c r="AU39" s="8">
        <v>14621.97</v>
      </c>
    </row>
    <row r="40" spans="1:47" x14ac:dyDescent="0.35">
      <c r="A40">
        <v>48</v>
      </c>
      <c r="B40" s="3">
        <v>39</v>
      </c>
      <c r="C40" s="8" t="s">
        <v>360</v>
      </c>
      <c r="D40" s="8" t="s">
        <v>362</v>
      </c>
      <c r="E40" s="7" t="s">
        <v>751</v>
      </c>
      <c r="F40" s="7">
        <v>2018</v>
      </c>
      <c r="G40" s="33" t="s">
        <v>1312</v>
      </c>
      <c r="H40" s="7" t="s">
        <v>795</v>
      </c>
      <c r="I40" s="7" t="s">
        <v>776</v>
      </c>
      <c r="J40" s="3">
        <v>4.5980559999999997</v>
      </c>
      <c r="K40" s="3">
        <v>-74.075833000000003</v>
      </c>
      <c r="L40" s="8" t="s">
        <v>1292</v>
      </c>
      <c r="M40" s="11">
        <v>7412566</v>
      </c>
      <c r="N40" s="11">
        <v>4567</v>
      </c>
      <c r="O40" s="8" t="s">
        <v>2325</v>
      </c>
      <c r="P40" s="7" t="s">
        <v>1213</v>
      </c>
      <c r="Q40" s="3" t="s">
        <v>2341</v>
      </c>
      <c r="R40" s="8">
        <v>1400</v>
      </c>
      <c r="S40" s="8">
        <v>12.5</v>
      </c>
      <c r="T40" s="7" t="s">
        <v>763</v>
      </c>
      <c r="U40" t="s">
        <v>2300</v>
      </c>
      <c r="V40" s="3" t="s">
        <v>2357</v>
      </c>
      <c r="W40" s="7" t="s">
        <v>787</v>
      </c>
      <c r="X40" s="3" t="s">
        <v>2350</v>
      </c>
      <c r="Y40" s="8" t="s">
        <v>1995</v>
      </c>
      <c r="Z40" t="s">
        <v>1744</v>
      </c>
      <c r="AA40" s="3" t="s">
        <v>2165</v>
      </c>
      <c r="AB40" s="7" t="s">
        <v>787</v>
      </c>
      <c r="AC40" s="7" t="s">
        <v>763</v>
      </c>
      <c r="AD40" s="7" t="s">
        <v>763</v>
      </c>
      <c r="AE40" s="7" t="s">
        <v>763</v>
      </c>
      <c r="AF40" s="7" t="s">
        <v>763</v>
      </c>
      <c r="AG40" s="3" t="s">
        <v>768</v>
      </c>
      <c r="AH40" s="8">
        <v>22.33</v>
      </c>
      <c r="AI40" s="8">
        <v>23210000</v>
      </c>
      <c r="AJ40" s="43">
        <f t="shared" si="12"/>
        <v>85180700</v>
      </c>
      <c r="AK40" s="8">
        <f t="shared" si="13"/>
        <v>81.951099999999997</v>
      </c>
      <c r="AL40" s="7">
        <f t="shared" ref="AL40:AM41" si="16">AH40/0.47</f>
        <v>47.51063829787234</v>
      </c>
      <c r="AM40" s="7">
        <f t="shared" si="16"/>
        <v>49382978.723404258</v>
      </c>
      <c r="AN40" s="3">
        <f t="shared" si="14"/>
        <v>18.008064516129032</v>
      </c>
      <c r="AO40" s="3">
        <f t="shared" si="15"/>
        <v>4.3219354838709672</v>
      </c>
      <c r="AP40" s="8">
        <v>38500</v>
      </c>
      <c r="AQ40" s="8">
        <v>38500</v>
      </c>
      <c r="AR40" s="8" t="s">
        <v>763</v>
      </c>
      <c r="AS40" s="8" t="s">
        <v>763</v>
      </c>
      <c r="AT40" s="8" t="s">
        <v>763</v>
      </c>
      <c r="AU40" s="8">
        <f>AQ40*0.659</f>
        <v>25371.5</v>
      </c>
    </row>
    <row r="41" spans="1:47" x14ac:dyDescent="0.35">
      <c r="A41">
        <v>49</v>
      </c>
      <c r="B41" s="3">
        <v>40</v>
      </c>
      <c r="C41" t="s">
        <v>364</v>
      </c>
      <c r="D41" t="s">
        <v>366</v>
      </c>
      <c r="E41" s="7" t="s">
        <v>751</v>
      </c>
      <c r="F41" s="7">
        <v>2021</v>
      </c>
      <c r="G41" s="3">
        <v>2018</v>
      </c>
      <c r="H41" s="7" t="s">
        <v>753</v>
      </c>
      <c r="I41" s="7" t="s">
        <v>754</v>
      </c>
      <c r="J41" s="3">
        <v>5.55</v>
      </c>
      <c r="K41" s="3">
        <v>-0.2</v>
      </c>
      <c r="L41" s="8" t="s">
        <v>1326</v>
      </c>
      <c r="M41">
        <v>1665086</v>
      </c>
      <c r="N41">
        <v>9816</v>
      </c>
      <c r="O41" s="8" t="s">
        <v>2326</v>
      </c>
      <c r="P41" s="7" t="s">
        <v>1325</v>
      </c>
      <c r="Q41" s="7" t="s">
        <v>2337</v>
      </c>
      <c r="R41" s="7">
        <v>809</v>
      </c>
      <c r="S41" s="7">
        <v>26.6</v>
      </c>
      <c r="T41" s="7" t="s">
        <v>763</v>
      </c>
      <c r="U41" t="s">
        <v>2298</v>
      </c>
      <c r="V41" s="3" t="s">
        <v>2351</v>
      </c>
      <c r="W41" s="7" t="s">
        <v>787</v>
      </c>
      <c r="X41" s="3" t="s">
        <v>2348</v>
      </c>
      <c r="Y41" s="8" t="s">
        <v>1998</v>
      </c>
      <c r="Z41" s="7" t="s">
        <v>1032</v>
      </c>
      <c r="AA41" s="7" t="s">
        <v>766</v>
      </c>
      <c r="AB41" s="7" t="s">
        <v>787</v>
      </c>
      <c r="AC41" s="7">
        <v>8440</v>
      </c>
      <c r="AD41" s="7">
        <f>AC41/AQ41</f>
        <v>0.72006893550946582</v>
      </c>
      <c r="AE41" s="7">
        <f>AC41*3.67</f>
        <v>30974.799999999999</v>
      </c>
      <c r="AF41" s="7">
        <f>AD41*3.67</f>
        <v>2.6426529933197394</v>
      </c>
      <c r="AG41" s="7" t="s">
        <v>789</v>
      </c>
      <c r="AH41" s="7">
        <f>AI41/AQ41</f>
        <v>18.093864910289991</v>
      </c>
      <c r="AI41" s="7">
        <v>212080</v>
      </c>
      <c r="AJ41" s="43">
        <f t="shared" si="12"/>
        <v>778333.6</v>
      </c>
      <c r="AK41" s="8">
        <f t="shared" si="13"/>
        <v>66.40448422076426</v>
      </c>
      <c r="AL41" s="7">
        <f t="shared" si="16"/>
        <v>38.497584915510622</v>
      </c>
      <c r="AM41" s="7">
        <f t="shared" si="16"/>
        <v>451234.04255319154</v>
      </c>
      <c r="AN41" s="3">
        <f t="shared" si="14"/>
        <v>14.591826540556445</v>
      </c>
      <c r="AO41" s="3">
        <f t="shared" si="15"/>
        <v>3.5020383697335467</v>
      </c>
      <c r="AP41" s="8">
        <v>11721.1</v>
      </c>
      <c r="AQ41" s="8">
        <v>11721.1</v>
      </c>
      <c r="AR41" s="8" t="s">
        <v>763</v>
      </c>
      <c r="AS41" s="8" t="s">
        <v>763</v>
      </c>
      <c r="AT41" s="8" t="s">
        <v>763</v>
      </c>
      <c r="AU41" s="8" t="s">
        <v>763</v>
      </c>
    </row>
    <row r="42" spans="1:47" x14ac:dyDescent="0.35">
      <c r="A42">
        <v>50</v>
      </c>
      <c r="B42" s="3">
        <v>41</v>
      </c>
      <c r="C42" t="s">
        <v>374</v>
      </c>
      <c r="D42" t="s">
        <v>376</v>
      </c>
      <c r="E42" s="7" t="s">
        <v>751</v>
      </c>
      <c r="F42" s="7">
        <v>2010</v>
      </c>
      <c r="G42" s="3">
        <v>2009</v>
      </c>
      <c r="H42" s="7" t="s">
        <v>753</v>
      </c>
      <c r="I42" s="7" t="s">
        <v>776</v>
      </c>
      <c r="J42" s="3">
        <v>-23.15</v>
      </c>
      <c r="K42" s="3">
        <v>-46.333333000000003</v>
      </c>
      <c r="L42" s="8" t="s">
        <v>1349</v>
      </c>
      <c r="M42" s="11">
        <v>18217</v>
      </c>
      <c r="N42">
        <v>55.84</v>
      </c>
      <c r="O42" s="8" t="s">
        <v>2325</v>
      </c>
      <c r="P42" s="7" t="s">
        <v>846</v>
      </c>
      <c r="Q42" s="3" t="s">
        <v>2338</v>
      </c>
      <c r="R42" s="3">
        <v>1421</v>
      </c>
      <c r="S42" s="3">
        <v>18.899999999999999</v>
      </c>
      <c r="T42" s="3" t="s">
        <v>763</v>
      </c>
      <c r="U42" t="s">
        <v>2300</v>
      </c>
      <c r="V42" s="19" t="s">
        <v>2354</v>
      </c>
      <c r="W42" s="3" t="s">
        <v>787</v>
      </c>
      <c r="X42" s="19" t="s">
        <v>2347</v>
      </c>
      <c r="Y42" s="7" t="s">
        <v>764</v>
      </c>
      <c r="Z42" t="s">
        <v>2031</v>
      </c>
      <c r="AA42" s="7" t="s">
        <v>766</v>
      </c>
      <c r="AB42" s="7" t="s">
        <v>787</v>
      </c>
      <c r="AC42" s="7" t="s">
        <v>763</v>
      </c>
      <c r="AD42" s="7" t="s">
        <v>763</v>
      </c>
      <c r="AE42" s="7" t="s">
        <v>763</v>
      </c>
      <c r="AF42" s="7" t="s">
        <v>763</v>
      </c>
      <c r="AG42" s="3" t="s">
        <v>768</v>
      </c>
      <c r="AH42" s="8">
        <v>68.27</v>
      </c>
      <c r="AI42" s="8">
        <v>380984</v>
      </c>
      <c r="AJ42" s="43">
        <f t="shared" si="12"/>
        <v>1398211.28</v>
      </c>
      <c r="AK42" s="8">
        <f t="shared" si="13"/>
        <v>250.55089999999998</v>
      </c>
      <c r="AL42" s="46">
        <v>136.55000000000001</v>
      </c>
      <c r="AM42" s="7">
        <f>AL42*AQ42</f>
        <v>1041057.2000000001</v>
      </c>
      <c r="AN42" s="46">
        <v>136.55000000000001</v>
      </c>
      <c r="AO42" s="7">
        <f>AN42*0.24</f>
        <v>32.771999999999998</v>
      </c>
      <c r="AP42">
        <v>7624</v>
      </c>
      <c r="AQ42">
        <v>7624</v>
      </c>
      <c r="AR42" s="8">
        <v>10.5</v>
      </c>
      <c r="AS42" s="8" t="s">
        <v>763</v>
      </c>
      <c r="AT42" s="8">
        <v>1323.03</v>
      </c>
      <c r="AU42" s="8" t="s">
        <v>763</v>
      </c>
    </row>
    <row r="43" spans="1:47" x14ac:dyDescent="0.35">
      <c r="A43">
        <v>51</v>
      </c>
      <c r="B43" s="3">
        <v>42</v>
      </c>
      <c r="C43" s="8" t="s">
        <v>394</v>
      </c>
      <c r="D43" s="8" t="s">
        <v>396</v>
      </c>
      <c r="E43" s="7" t="s">
        <v>751</v>
      </c>
      <c r="F43" s="7">
        <v>2019</v>
      </c>
      <c r="G43" s="7" t="s">
        <v>1357</v>
      </c>
      <c r="H43" s="7" t="s">
        <v>753</v>
      </c>
      <c r="I43" s="7" t="s">
        <v>754</v>
      </c>
      <c r="J43" s="3">
        <v>23.2</v>
      </c>
      <c r="K43" s="3">
        <v>83.033332999999999</v>
      </c>
      <c r="L43" s="8" t="s">
        <v>1358</v>
      </c>
      <c r="M43" s="11">
        <v>121071</v>
      </c>
      <c r="N43" s="11">
        <v>3014</v>
      </c>
      <c r="O43" s="8" t="s">
        <v>2327</v>
      </c>
      <c r="P43" s="7" t="s">
        <v>756</v>
      </c>
      <c r="Q43" s="3" t="s">
        <v>2333</v>
      </c>
      <c r="R43" s="7">
        <v>1383</v>
      </c>
      <c r="S43" s="7">
        <v>23.9</v>
      </c>
      <c r="T43" s="7" t="s">
        <v>2078</v>
      </c>
      <c r="U43" t="s">
        <v>2300</v>
      </c>
      <c r="V43" s="3" t="s">
        <v>2351</v>
      </c>
      <c r="W43" s="7" t="s">
        <v>787</v>
      </c>
      <c r="X43" s="3" t="s">
        <v>2348</v>
      </c>
      <c r="Y43" s="7" t="s">
        <v>925</v>
      </c>
      <c r="Z43" s="8" t="s">
        <v>2033</v>
      </c>
      <c r="AA43" s="7" t="s">
        <v>1359</v>
      </c>
      <c r="AB43" s="7" t="s">
        <v>787</v>
      </c>
      <c r="AC43" s="7" t="s">
        <v>763</v>
      </c>
      <c r="AD43" s="7" t="s">
        <v>763</v>
      </c>
      <c r="AE43" s="7" t="s">
        <v>763</v>
      </c>
      <c r="AF43" s="7" t="s">
        <v>763</v>
      </c>
      <c r="AG43" s="7" t="s">
        <v>768</v>
      </c>
      <c r="AH43" s="8">
        <v>187.08</v>
      </c>
      <c r="AI43" s="8">
        <f>AH43*AQ43</f>
        <v>37097964</v>
      </c>
      <c r="AJ43" s="43">
        <f t="shared" si="12"/>
        <v>136149527.88</v>
      </c>
      <c r="AK43" s="8">
        <v>686.58</v>
      </c>
      <c r="AL43" s="7">
        <v>0.45662999999999998</v>
      </c>
      <c r="AM43" s="7">
        <f>AL43*AQ43</f>
        <v>90549.728999999992</v>
      </c>
      <c r="AN43" s="7">
        <v>0.37075000000000002</v>
      </c>
      <c r="AO43" s="7">
        <v>8.5542999999999994E-2</v>
      </c>
      <c r="AP43" s="8">
        <v>198300</v>
      </c>
      <c r="AQ43" s="8">
        <v>198300</v>
      </c>
      <c r="AR43" s="8" t="s">
        <v>763</v>
      </c>
      <c r="AS43" s="8" t="s">
        <v>2281</v>
      </c>
      <c r="AT43" s="8">
        <v>447333.33</v>
      </c>
      <c r="AU43" s="8" t="s">
        <v>763</v>
      </c>
    </row>
    <row r="44" spans="1:47" x14ac:dyDescent="0.35">
      <c r="A44">
        <v>52</v>
      </c>
      <c r="B44" s="3">
        <v>43</v>
      </c>
      <c r="C44" s="8" t="s">
        <v>399</v>
      </c>
      <c r="D44" s="8" t="s">
        <v>401</v>
      </c>
      <c r="E44" s="7" t="s">
        <v>751</v>
      </c>
      <c r="F44" s="7">
        <v>2023</v>
      </c>
      <c r="G44" s="7" t="s">
        <v>1902</v>
      </c>
      <c r="H44" s="7" t="s">
        <v>753</v>
      </c>
      <c r="I44" s="7" t="s">
        <v>754</v>
      </c>
      <c r="J44" s="3">
        <v>11.183332999999999</v>
      </c>
      <c r="K44" s="3">
        <v>-4.2833329999999998</v>
      </c>
      <c r="L44" s="30" t="s">
        <v>1374</v>
      </c>
      <c r="M44" s="11">
        <v>984603</v>
      </c>
      <c r="N44">
        <v>545.20000000000005</v>
      </c>
      <c r="O44" s="30" t="s">
        <v>2326</v>
      </c>
      <c r="P44" s="7" t="s">
        <v>1373</v>
      </c>
      <c r="Q44" s="3" t="s">
        <v>2335</v>
      </c>
      <c r="R44" s="7">
        <v>1000</v>
      </c>
      <c r="S44" s="7">
        <v>27.9</v>
      </c>
      <c r="T44" s="7" t="s">
        <v>881</v>
      </c>
      <c r="U44" t="s">
        <v>2298</v>
      </c>
      <c r="V44" s="19" t="s">
        <v>2352</v>
      </c>
      <c r="W44" s="7" t="s">
        <v>787</v>
      </c>
      <c r="X44" s="3" t="s">
        <v>2346</v>
      </c>
      <c r="Y44" s="7" t="s">
        <v>764</v>
      </c>
      <c r="Z44" s="8" t="s">
        <v>2026</v>
      </c>
      <c r="AA44" s="7" t="s">
        <v>766</v>
      </c>
      <c r="AB44" s="7" t="s">
        <v>787</v>
      </c>
      <c r="AC44" s="7" t="s">
        <v>763</v>
      </c>
      <c r="AD44" s="7" t="s">
        <v>763</v>
      </c>
      <c r="AE44" s="7" t="s">
        <v>763</v>
      </c>
      <c r="AF44" s="7" t="s">
        <v>763</v>
      </c>
      <c r="AG44" s="7" t="s">
        <v>789</v>
      </c>
      <c r="AH44" s="7">
        <v>3.91</v>
      </c>
      <c r="AI44" s="8">
        <f>AH44*AQ44</f>
        <v>0.97750000000000004</v>
      </c>
      <c r="AJ44" s="43">
        <f t="shared" si="12"/>
        <v>3.5874250000000001</v>
      </c>
      <c r="AK44" s="7">
        <f>AH44*3.67</f>
        <v>14.3497</v>
      </c>
      <c r="AL44" s="4">
        <f t="shared" ref="AL44" si="17">AN44+AO44</f>
        <v>9.6980399999999989</v>
      </c>
      <c r="AM44" s="4">
        <f>AL44*AQ44</f>
        <v>2.4245099999999997</v>
      </c>
      <c r="AN44" s="7">
        <v>7.8209999999999997</v>
      </c>
      <c r="AO44" s="4">
        <f t="shared" ref="AO44" si="18">AN44*0.24</f>
        <v>1.8770399999999998</v>
      </c>
      <c r="AP44" s="8">
        <v>0.25</v>
      </c>
      <c r="AQ44" s="8">
        <v>0.25</v>
      </c>
      <c r="AR44" s="8" t="s">
        <v>763</v>
      </c>
      <c r="AS44" t="s">
        <v>2282</v>
      </c>
      <c r="AT44" s="8">
        <v>43.082000000000001</v>
      </c>
      <c r="AU44" s="8" t="s">
        <v>763</v>
      </c>
    </row>
    <row r="45" spans="1:47" x14ac:dyDescent="0.35">
      <c r="A45">
        <v>54</v>
      </c>
      <c r="B45" s="3">
        <v>44</v>
      </c>
      <c r="C45" t="s">
        <v>414</v>
      </c>
      <c r="D45" t="s">
        <v>416</v>
      </c>
      <c r="E45" s="7" t="s">
        <v>873</v>
      </c>
      <c r="F45" s="7">
        <v>2018</v>
      </c>
      <c r="G45" s="27">
        <v>41913</v>
      </c>
      <c r="H45" s="7" t="s">
        <v>753</v>
      </c>
      <c r="I45" s="7" t="s">
        <v>754</v>
      </c>
      <c r="J45" s="3">
        <v>7.0998609999999998</v>
      </c>
      <c r="K45" s="3">
        <v>-73.111500000000007</v>
      </c>
      <c r="L45" s="30" t="s">
        <v>1384</v>
      </c>
      <c r="M45" s="11">
        <v>581130</v>
      </c>
      <c r="N45" s="11">
        <v>3800</v>
      </c>
      <c r="O45" s="30" t="s">
        <v>2325</v>
      </c>
      <c r="P45" s="7" t="s">
        <v>1213</v>
      </c>
      <c r="Q45" s="3" t="s">
        <v>2340</v>
      </c>
      <c r="R45" s="3">
        <v>4426</v>
      </c>
      <c r="S45" s="3">
        <v>19.7</v>
      </c>
      <c r="T45" s="7" t="s">
        <v>881</v>
      </c>
      <c r="U45" t="s">
        <v>2300</v>
      </c>
      <c r="V45" s="3" t="s">
        <v>2351</v>
      </c>
      <c r="W45" s="7" t="s">
        <v>762</v>
      </c>
      <c r="X45" s="3" t="s">
        <v>2348</v>
      </c>
      <c r="Y45" s="7" t="s">
        <v>1386</v>
      </c>
      <c r="Z45" s="7" t="s">
        <v>2026</v>
      </c>
      <c r="AA45" s="7" t="s">
        <v>766</v>
      </c>
      <c r="AB45" s="7" t="s">
        <v>762</v>
      </c>
      <c r="AC45" s="7" t="s">
        <v>763</v>
      </c>
      <c r="AD45" s="7" t="s">
        <v>763</v>
      </c>
      <c r="AE45" s="7" t="s">
        <v>763</v>
      </c>
      <c r="AF45" s="7" t="s">
        <v>763</v>
      </c>
      <c r="AG45" s="7" t="s">
        <v>768</v>
      </c>
      <c r="AH45" s="7" t="s">
        <v>763</v>
      </c>
      <c r="AI45" s="7">
        <f>AJ45/3.67</f>
        <v>38.27438692098093</v>
      </c>
      <c r="AJ45" s="7">
        <v>140.46700000000001</v>
      </c>
      <c r="AK45" s="7" t="s">
        <v>763</v>
      </c>
      <c r="AL45" s="7" t="s">
        <v>763</v>
      </c>
      <c r="AM45" s="7">
        <v>1139.5419999999999</v>
      </c>
      <c r="AN45" s="7" t="s">
        <v>763</v>
      </c>
      <c r="AO45" s="7" t="s">
        <v>763</v>
      </c>
      <c r="AP45" s="35" t="s">
        <v>1389</v>
      </c>
      <c r="AQ45" s="35" t="s">
        <v>763</v>
      </c>
      <c r="AR45" s="8" t="s">
        <v>763</v>
      </c>
      <c r="AS45" s="8" t="s">
        <v>2283</v>
      </c>
      <c r="AT45" t="s">
        <v>763</v>
      </c>
      <c r="AU45" s="8" t="s">
        <v>763</v>
      </c>
    </row>
    <row r="46" spans="1:47" x14ac:dyDescent="0.35">
      <c r="A46">
        <v>55</v>
      </c>
      <c r="B46" s="3">
        <v>45</v>
      </c>
      <c r="C46" t="s">
        <v>434</v>
      </c>
      <c r="D46" t="s">
        <v>436</v>
      </c>
      <c r="E46" s="7" t="s">
        <v>751</v>
      </c>
      <c r="F46" s="7">
        <v>2019</v>
      </c>
      <c r="G46" s="3" t="s">
        <v>1903</v>
      </c>
      <c r="H46" s="7" t="s">
        <v>753</v>
      </c>
      <c r="I46" s="7" t="s">
        <v>754</v>
      </c>
      <c r="J46" s="3">
        <v>22.033332999999999</v>
      </c>
      <c r="K46" s="3">
        <v>96.458736000000002</v>
      </c>
      <c r="L46" s="19" t="s">
        <v>1395</v>
      </c>
      <c r="M46" s="11">
        <v>361096</v>
      </c>
      <c r="N46">
        <v>181.4</v>
      </c>
      <c r="O46" s="19" t="s">
        <v>2327</v>
      </c>
      <c r="P46" s="7" t="s">
        <v>1396</v>
      </c>
      <c r="Q46" s="3" t="s">
        <v>2335</v>
      </c>
      <c r="R46">
        <v>1450</v>
      </c>
      <c r="S46">
        <v>20.5</v>
      </c>
      <c r="T46" s="3" t="s">
        <v>1016</v>
      </c>
      <c r="U46" t="s">
        <v>2300</v>
      </c>
      <c r="V46" s="19" t="s">
        <v>2354</v>
      </c>
      <c r="W46" s="7" t="s">
        <v>787</v>
      </c>
      <c r="X46" s="3" t="s">
        <v>2350</v>
      </c>
      <c r="Y46" s="7" t="s">
        <v>764</v>
      </c>
      <c r="Z46" s="7" t="s">
        <v>2026</v>
      </c>
      <c r="AA46" s="3" t="s">
        <v>2165</v>
      </c>
      <c r="AB46" s="7" t="s">
        <v>787</v>
      </c>
      <c r="AC46" s="7" t="s">
        <v>763</v>
      </c>
      <c r="AD46" s="7" t="s">
        <v>763</v>
      </c>
      <c r="AE46" s="7" t="s">
        <v>763</v>
      </c>
      <c r="AF46" s="7" t="s">
        <v>763</v>
      </c>
      <c r="AG46" s="7" t="s">
        <v>768</v>
      </c>
      <c r="AH46" s="8">
        <f>((177.07*177)+(71.94*104.59))/(177+104.59)</f>
        <v>138.02192762527076</v>
      </c>
      <c r="AI46" s="8">
        <f>AH46*AQ46</f>
        <v>38865.594599999997</v>
      </c>
      <c r="AJ46" s="8">
        <f t="shared" ref="AJ46:AJ49" si="19">AI46*3.67</f>
        <v>142636.73218199998</v>
      </c>
      <c r="AK46" s="8">
        <f>AH46*3.67</f>
        <v>506.54047438474367</v>
      </c>
      <c r="AL46" s="33">
        <f>AH46/0.47</f>
        <v>293.66367579844842</v>
      </c>
      <c r="AM46" s="7">
        <v>1139.5419999999999</v>
      </c>
      <c r="AN46" s="33">
        <f>(((142.9*177.07)+( 71.94*104.59))/(177+104.59))/0.47</f>
        <v>248.04062946505138</v>
      </c>
      <c r="AO46" s="33">
        <f>(((34.17*177.07)+(13.71*104.59))/(177+104.59))/0.47</f>
        <v>56.551291941732089</v>
      </c>
      <c r="AP46" s="30" t="s">
        <v>2244</v>
      </c>
      <c r="AQ46" s="30">
        <f>177+104.59</f>
        <v>281.59000000000003</v>
      </c>
      <c r="AR46" s="8" t="s">
        <v>763</v>
      </c>
      <c r="AS46" s="8" t="s">
        <v>2284</v>
      </c>
      <c r="AT46" s="8" t="s">
        <v>763</v>
      </c>
      <c r="AU46" s="8" t="s">
        <v>763</v>
      </c>
    </row>
    <row r="47" spans="1:47" x14ac:dyDescent="0.35">
      <c r="A47">
        <v>57</v>
      </c>
      <c r="B47" s="3">
        <v>46</v>
      </c>
      <c r="C47" t="s">
        <v>457</v>
      </c>
      <c r="D47" t="s">
        <v>459</v>
      </c>
      <c r="E47" s="7" t="s">
        <v>751</v>
      </c>
      <c r="F47" s="7">
        <v>2021</v>
      </c>
      <c r="G47" s="33" t="s">
        <v>1414</v>
      </c>
      <c r="H47" s="7" t="s">
        <v>795</v>
      </c>
      <c r="I47" s="7" t="s">
        <v>754</v>
      </c>
      <c r="J47" s="3">
        <v>9.0875000000000004</v>
      </c>
      <c r="K47" s="3">
        <v>38.905833000000001</v>
      </c>
      <c r="L47" s="19" t="s">
        <v>1104</v>
      </c>
      <c r="M47" s="11">
        <v>3860000</v>
      </c>
      <c r="N47" s="11">
        <v>7324</v>
      </c>
      <c r="O47" s="19" t="s">
        <v>2326</v>
      </c>
      <c r="P47" s="7" t="s">
        <v>1102</v>
      </c>
      <c r="Q47" s="3" t="s">
        <v>2334</v>
      </c>
      <c r="R47">
        <v>1200</v>
      </c>
      <c r="S47">
        <v>16.5</v>
      </c>
      <c r="T47" s="3" t="s">
        <v>763</v>
      </c>
      <c r="U47" t="s">
        <v>2306</v>
      </c>
      <c r="V47" s="19" t="s">
        <v>2354</v>
      </c>
      <c r="W47" s="7" t="s">
        <v>787</v>
      </c>
      <c r="X47" s="3" t="s">
        <v>2350</v>
      </c>
      <c r="Y47" s="7" t="s">
        <v>1999</v>
      </c>
      <c r="Z47" t="s">
        <v>1744</v>
      </c>
      <c r="AA47" s="3" t="s">
        <v>2165</v>
      </c>
      <c r="AB47" s="7" t="s">
        <v>787</v>
      </c>
      <c r="AC47" s="7" t="s">
        <v>763</v>
      </c>
      <c r="AD47" s="7" t="s">
        <v>763</v>
      </c>
      <c r="AE47" s="7" t="s">
        <v>763</v>
      </c>
      <c r="AF47" s="7" t="s">
        <v>763</v>
      </c>
      <c r="AG47" s="7" t="s">
        <v>768</v>
      </c>
      <c r="AH47" s="8">
        <f>AI47/AQ47</f>
        <v>184.60674368655543</v>
      </c>
      <c r="AI47" s="8">
        <f>((1988*968310.07)+(1998*803563.8)+(2008*1128011.22)+(2018*1104781.17))/(1988+1998+2008+2018)</f>
        <v>1001624.5409860208</v>
      </c>
      <c r="AJ47" s="8">
        <f t="shared" si="19"/>
        <v>3675962.0654186965</v>
      </c>
      <c r="AK47" s="8">
        <f t="shared" ref="AK47:AK49" si="20">AJ47/AQ47</f>
        <v>677.50674932965842</v>
      </c>
      <c r="AL47" s="7">
        <f>AH47/0.47</f>
        <v>392.78030571607542</v>
      </c>
      <c r="AM47" s="7">
        <f>AI47/0.47</f>
        <v>2131116.0446511083</v>
      </c>
      <c r="AN47" s="3">
        <f>AH47/1.24</f>
        <v>148.87640619883501</v>
      </c>
      <c r="AO47" s="3">
        <f t="shared" ref="AO47" si="21">AN47*0.24</f>
        <v>35.730337487720405</v>
      </c>
      <c r="AP47" t="s">
        <v>2254</v>
      </c>
      <c r="AQ47">
        <f>((1988*5245.47)+(1998*4353)+(2008*6111.9)+(2018*5982.6))/(1988+1998+2008+2018)</f>
        <v>5425.7202146779828</v>
      </c>
      <c r="AR47" s="8" t="s">
        <v>763</v>
      </c>
      <c r="AS47" s="8" t="s">
        <v>763</v>
      </c>
      <c r="AT47" s="8" t="s">
        <v>763</v>
      </c>
      <c r="AU47" s="8" t="s">
        <v>763</v>
      </c>
    </row>
    <row r="48" spans="1:47" x14ac:dyDescent="0.35">
      <c r="A48">
        <v>60</v>
      </c>
      <c r="B48" s="3">
        <v>47</v>
      </c>
      <c r="C48" t="s">
        <v>466</v>
      </c>
      <c r="D48" t="s">
        <v>468</v>
      </c>
      <c r="E48" s="7" t="s">
        <v>751</v>
      </c>
      <c r="F48" s="7">
        <v>2016</v>
      </c>
      <c r="G48" s="3" t="s">
        <v>1904</v>
      </c>
      <c r="H48" s="7" t="s">
        <v>753</v>
      </c>
      <c r="I48" s="7" t="s">
        <v>776</v>
      </c>
      <c r="J48" s="3">
        <v>1.517139</v>
      </c>
      <c r="K48" s="3">
        <v>103.667556</v>
      </c>
      <c r="L48" s="19" t="s">
        <v>1778</v>
      </c>
      <c r="M48" s="11">
        <v>1711191</v>
      </c>
      <c r="N48" s="11">
        <v>1608</v>
      </c>
      <c r="O48" s="19" t="s">
        <v>2327</v>
      </c>
      <c r="P48" s="7" t="s">
        <v>799</v>
      </c>
      <c r="Q48" s="3" t="s">
        <v>2340</v>
      </c>
      <c r="R48" s="3">
        <v>2662</v>
      </c>
      <c r="S48" s="3">
        <v>26.3</v>
      </c>
      <c r="T48" s="7" t="s">
        <v>2078</v>
      </c>
      <c r="U48" t="s">
        <v>2300</v>
      </c>
      <c r="V48" s="19" t="s">
        <v>2354</v>
      </c>
      <c r="W48" s="7" t="s">
        <v>787</v>
      </c>
      <c r="X48" s="3" t="s">
        <v>2350</v>
      </c>
      <c r="Y48" s="7" t="s">
        <v>2000</v>
      </c>
      <c r="Z48" s="8" t="s">
        <v>2027</v>
      </c>
      <c r="AA48" s="7" t="s">
        <v>766</v>
      </c>
      <c r="AB48" s="7" t="s">
        <v>787</v>
      </c>
      <c r="AC48" s="7" t="s">
        <v>763</v>
      </c>
      <c r="AD48" s="7" t="s">
        <v>763</v>
      </c>
      <c r="AE48" s="7" t="s">
        <v>763</v>
      </c>
      <c r="AF48" s="7" t="s">
        <v>763</v>
      </c>
      <c r="AG48" s="7" t="s">
        <v>789</v>
      </c>
      <c r="AH48" s="8">
        <f>((161.7*1114)+(48.81*17.47)+(43.06*15.17)+(34.03*26.16))/(1144+26.16+17.47+15.17)</f>
        <v>151.75420327569003</v>
      </c>
      <c r="AI48" s="7">
        <f>AH48*AQ48</f>
        <v>182529.95569999999</v>
      </c>
      <c r="AJ48" s="8">
        <f t="shared" si="19"/>
        <v>669884.93741899997</v>
      </c>
      <c r="AK48" s="8">
        <f t="shared" si="20"/>
        <v>556.93792602178235</v>
      </c>
      <c r="AL48" s="33">
        <f>AN48+AO48</f>
        <v>88.442349669072144</v>
      </c>
      <c r="AM48" s="33">
        <f>AL48*AQ48</f>
        <v>106378.45818195998</v>
      </c>
      <c r="AN48" s="33">
        <f>AH48*0.47</f>
        <v>71.324475539574308</v>
      </c>
      <c r="AO48" s="33">
        <f>AN48*0.24</f>
        <v>17.117874129497835</v>
      </c>
      <c r="AP48" s="8" t="s">
        <v>2126</v>
      </c>
      <c r="AQ48" s="8">
        <f>1144+ 26.16+17.47+15.17</f>
        <v>1202.8000000000002</v>
      </c>
      <c r="AR48" s="33" t="s">
        <v>763</v>
      </c>
      <c r="AS48" s="8" t="s">
        <v>763</v>
      </c>
      <c r="AT48" s="8" t="s">
        <v>763</v>
      </c>
      <c r="AU48" s="8" t="s">
        <v>763</v>
      </c>
    </row>
    <row r="49" spans="1:47" s="3" customFormat="1" x14ac:dyDescent="0.35">
      <c r="A49" s="3">
        <v>63</v>
      </c>
      <c r="B49" s="3">
        <v>48</v>
      </c>
      <c r="C49" s="15" t="s">
        <v>476</v>
      </c>
      <c r="D49" s="3" t="s">
        <v>478</v>
      </c>
      <c r="E49" s="7" t="s">
        <v>751</v>
      </c>
      <c r="F49" s="7">
        <v>2023</v>
      </c>
      <c r="G49" s="3">
        <v>2021</v>
      </c>
      <c r="H49" s="7" t="s">
        <v>753</v>
      </c>
      <c r="I49" s="7" t="s">
        <v>754</v>
      </c>
      <c r="J49" s="3">
        <v>19.997499999999999</v>
      </c>
      <c r="K49" s="3">
        <v>73.789805999999999</v>
      </c>
      <c r="L49" s="33" t="s">
        <v>1431</v>
      </c>
      <c r="M49" s="11">
        <v>1486053</v>
      </c>
      <c r="N49" s="11">
        <v>5735</v>
      </c>
      <c r="O49" s="19" t="s">
        <v>2327</v>
      </c>
      <c r="P49" s="7" t="s">
        <v>756</v>
      </c>
      <c r="Q49" s="3" t="s">
        <v>2335</v>
      </c>
      <c r="R49" s="3">
        <v>1134</v>
      </c>
      <c r="S49" s="3">
        <v>24.1</v>
      </c>
      <c r="T49" s="3" t="s">
        <v>763</v>
      </c>
      <c r="U49" s="3" t="s">
        <v>2297</v>
      </c>
      <c r="V49" s="3" t="s">
        <v>2357</v>
      </c>
      <c r="W49" s="7" t="s">
        <v>787</v>
      </c>
      <c r="X49" s="3" t="s">
        <v>2348</v>
      </c>
      <c r="Y49" s="7" t="s">
        <v>764</v>
      </c>
      <c r="Z49" s="7" t="s">
        <v>2026</v>
      </c>
      <c r="AA49" s="7" t="s">
        <v>766</v>
      </c>
      <c r="AB49" s="7" t="s">
        <v>787</v>
      </c>
      <c r="AC49" s="7">
        <v>223.32</v>
      </c>
      <c r="AD49" s="7">
        <f>AC49/AQ49</f>
        <v>16.077753779697623</v>
      </c>
      <c r="AE49" s="7">
        <f>AC49*3.67</f>
        <v>819.58439999999996</v>
      </c>
      <c r="AF49" s="7">
        <f>AD49*3.67</f>
        <v>59.005356371490279</v>
      </c>
      <c r="AG49" s="7" t="s">
        <v>768</v>
      </c>
      <c r="AH49" s="7">
        <f>AI49/AQ49</f>
        <v>16.825773938084954</v>
      </c>
      <c r="AI49" s="7">
        <v>233.71</v>
      </c>
      <c r="AJ49" s="7">
        <f t="shared" si="19"/>
        <v>857.71569999999997</v>
      </c>
      <c r="AK49" s="7">
        <f t="shared" si="20"/>
        <v>61.750590352771773</v>
      </c>
      <c r="AL49" s="7">
        <f>AM49/AQ49</f>
        <v>33.651979841612672</v>
      </c>
      <c r="AM49" s="7">
        <v>467.42599999999999</v>
      </c>
      <c r="AN49" s="7">
        <v>431.47649999999999</v>
      </c>
      <c r="AO49" s="7">
        <v>35.950299999999999</v>
      </c>
      <c r="AP49" s="3" t="s">
        <v>1438</v>
      </c>
      <c r="AQ49" s="3">
        <v>13.89</v>
      </c>
      <c r="AR49" s="7" t="s">
        <v>763</v>
      </c>
      <c r="AS49" s="7" t="s">
        <v>763</v>
      </c>
      <c r="AT49" s="3">
        <f>765/AQ49</f>
        <v>55.0755939524838</v>
      </c>
      <c r="AU49" s="7" t="s">
        <v>763</v>
      </c>
    </row>
    <row r="50" spans="1:47" x14ac:dyDescent="0.35">
      <c r="A50">
        <v>64</v>
      </c>
      <c r="B50" s="3">
        <v>49</v>
      </c>
      <c r="C50" t="s">
        <v>481</v>
      </c>
      <c r="D50" t="s">
        <v>483</v>
      </c>
      <c r="E50" s="7" t="s">
        <v>751</v>
      </c>
      <c r="F50" s="7">
        <v>2022</v>
      </c>
      <c r="G50" s="3" t="s">
        <v>763</v>
      </c>
      <c r="H50" s="7" t="s">
        <v>753</v>
      </c>
      <c r="I50" s="7" t="s">
        <v>754</v>
      </c>
      <c r="J50" s="3">
        <v>11.016667</v>
      </c>
      <c r="K50" s="3">
        <v>76.966667000000001</v>
      </c>
      <c r="L50" s="33" t="s">
        <v>1441</v>
      </c>
      <c r="M50" s="11">
        <v>3458045</v>
      </c>
      <c r="N50">
        <v>730.8</v>
      </c>
      <c r="O50" s="19" t="s">
        <v>2327</v>
      </c>
      <c r="P50" s="7" t="s">
        <v>756</v>
      </c>
      <c r="Q50" s="3" t="s">
        <v>2335</v>
      </c>
      <c r="R50">
        <v>618</v>
      </c>
      <c r="S50">
        <v>29.5</v>
      </c>
      <c r="T50" s="3" t="s">
        <v>763</v>
      </c>
      <c r="U50" t="s">
        <v>2300</v>
      </c>
      <c r="V50" s="3" t="s">
        <v>2356</v>
      </c>
      <c r="W50" s="7" t="s">
        <v>787</v>
      </c>
      <c r="X50" s="3" t="s">
        <v>2348</v>
      </c>
      <c r="Y50" s="7" t="s">
        <v>2005</v>
      </c>
      <c r="Z50" s="7" t="s">
        <v>2027</v>
      </c>
      <c r="AA50" s="7" t="s">
        <v>766</v>
      </c>
      <c r="AB50" s="7" t="s">
        <v>787</v>
      </c>
      <c r="AC50" s="7">
        <v>8.0894899999999996</v>
      </c>
      <c r="AD50" s="7" t="s">
        <v>763</v>
      </c>
      <c r="AE50" s="7">
        <f>AC50*3.67</f>
        <v>29.688428299999998</v>
      </c>
      <c r="AF50" s="7" t="s">
        <v>763</v>
      </c>
      <c r="AG50" s="7" t="s">
        <v>768</v>
      </c>
      <c r="AH50" s="7" t="s">
        <v>763</v>
      </c>
      <c r="AI50" s="7">
        <v>81.273880000000005</v>
      </c>
      <c r="AJ50" s="7">
        <v>297.89400000000001</v>
      </c>
      <c r="AK50" s="7" t="s">
        <v>763</v>
      </c>
      <c r="AL50" s="7" t="s">
        <v>763</v>
      </c>
      <c r="AM50" s="7">
        <v>162.54776000000001</v>
      </c>
      <c r="AN50" s="35" t="s">
        <v>2240</v>
      </c>
      <c r="AO50" s="35" t="s">
        <v>2241</v>
      </c>
      <c r="AP50" s="32" t="s">
        <v>763</v>
      </c>
      <c r="AQ50" s="32" t="s">
        <v>763</v>
      </c>
      <c r="AR50" s="8" t="s">
        <v>763</v>
      </c>
      <c r="AS50" s="8" t="s">
        <v>2287</v>
      </c>
      <c r="AT50" s="3" t="s">
        <v>763</v>
      </c>
      <c r="AU50" s="8" t="s">
        <v>763</v>
      </c>
    </row>
    <row r="51" spans="1:47" x14ac:dyDescent="0.35">
      <c r="A51">
        <v>65</v>
      </c>
      <c r="B51" s="3">
        <v>50</v>
      </c>
      <c r="C51" t="s">
        <v>486</v>
      </c>
      <c r="D51" t="s">
        <v>488</v>
      </c>
      <c r="E51" s="7" t="s">
        <v>751</v>
      </c>
      <c r="F51" s="7">
        <v>2018</v>
      </c>
      <c r="G51" s="3" t="s">
        <v>1905</v>
      </c>
      <c r="H51" s="7" t="s">
        <v>753</v>
      </c>
      <c r="I51" s="7" t="s">
        <v>754</v>
      </c>
      <c r="J51" s="3">
        <v>4.6626940000000001</v>
      </c>
      <c r="K51" s="3">
        <v>9.3976749999999996</v>
      </c>
      <c r="L51" s="33" t="s">
        <v>1456</v>
      </c>
      <c r="M51" s="11">
        <v>144268</v>
      </c>
      <c r="N51" s="33"/>
      <c r="O51" s="33" t="s">
        <v>2326</v>
      </c>
      <c r="P51" s="7" t="s">
        <v>1457</v>
      </c>
      <c r="Q51" s="3" t="s">
        <v>2339</v>
      </c>
      <c r="R51">
        <v>3500</v>
      </c>
      <c r="S51">
        <v>29.5</v>
      </c>
      <c r="T51" s="7" t="s">
        <v>2078</v>
      </c>
      <c r="U51" t="s">
        <v>2300</v>
      </c>
      <c r="V51" s="19" t="s">
        <v>2354</v>
      </c>
      <c r="W51" s="7" t="s">
        <v>787</v>
      </c>
      <c r="X51" s="3" t="s">
        <v>2346</v>
      </c>
      <c r="Y51" s="7" t="s">
        <v>764</v>
      </c>
      <c r="Z51" s="7" t="s">
        <v>2031</v>
      </c>
      <c r="AA51" s="7" t="s">
        <v>766</v>
      </c>
      <c r="AB51" s="7" t="s">
        <v>787</v>
      </c>
      <c r="AC51" s="7" t="s">
        <v>763</v>
      </c>
      <c r="AD51" s="7" t="s">
        <v>763</v>
      </c>
      <c r="AE51" s="7" t="s">
        <v>763</v>
      </c>
      <c r="AF51" s="7" t="s">
        <v>763</v>
      </c>
      <c r="AG51" s="7" t="s">
        <v>789</v>
      </c>
      <c r="AH51" s="7">
        <v>79.48</v>
      </c>
      <c r="AI51" s="7">
        <f>AH51*AQ51</f>
        <v>253064.32000000001</v>
      </c>
      <c r="AJ51" s="7">
        <f>AI51*3.67</f>
        <v>928746.05440000002</v>
      </c>
      <c r="AK51" s="7">
        <f t="shared" ref="AK51:AK57" si="22">AH51*3.67</f>
        <v>291.69159999999999</v>
      </c>
      <c r="AL51" s="33">
        <f t="shared" ref="AL51:AL52" si="23">AN51+AO51</f>
        <v>197.37079999999997</v>
      </c>
      <c r="AM51" s="33">
        <f>AL51*AQ51</f>
        <v>628428.62719999987</v>
      </c>
      <c r="AN51" s="7">
        <v>159.16999999999999</v>
      </c>
      <c r="AO51" s="33">
        <f>AN51*0.24</f>
        <v>38.200799999999994</v>
      </c>
      <c r="AP51">
        <v>3184</v>
      </c>
      <c r="AQ51">
        <v>3184</v>
      </c>
      <c r="AR51" s="8" t="s">
        <v>763</v>
      </c>
      <c r="AS51" s="8" t="s">
        <v>2288</v>
      </c>
      <c r="AT51">
        <f>277/AQ51</f>
        <v>8.6997487437185925E-2</v>
      </c>
      <c r="AU51" s="8" t="s">
        <v>763</v>
      </c>
    </row>
    <row r="52" spans="1:47" x14ac:dyDescent="0.35">
      <c r="A52">
        <v>66</v>
      </c>
      <c r="B52" s="3">
        <v>51</v>
      </c>
      <c r="C52" t="s">
        <v>516</v>
      </c>
      <c r="D52" t="s">
        <v>518</v>
      </c>
      <c r="E52" s="7" t="s">
        <v>751</v>
      </c>
      <c r="F52" s="7">
        <v>2021</v>
      </c>
      <c r="G52" s="3">
        <v>2017</v>
      </c>
      <c r="H52" s="7" t="s">
        <v>753</v>
      </c>
      <c r="I52" s="7" t="s">
        <v>754</v>
      </c>
      <c r="J52" s="3">
        <v>18.428277999999999</v>
      </c>
      <c r="K52" s="3">
        <v>-66.037861000000007</v>
      </c>
      <c r="L52" s="33" t="s">
        <v>1858</v>
      </c>
      <c r="M52" s="11">
        <v>342259</v>
      </c>
      <c r="N52" s="11">
        <v>1850</v>
      </c>
      <c r="O52" s="33" t="s">
        <v>2328</v>
      </c>
      <c r="P52" s="7" t="s">
        <v>1502</v>
      </c>
      <c r="Q52" s="3" t="s">
        <v>2339</v>
      </c>
      <c r="R52" s="3">
        <v>1431.3</v>
      </c>
      <c r="S52" s="3">
        <v>27.2</v>
      </c>
      <c r="T52" s="3" t="s">
        <v>763</v>
      </c>
      <c r="U52" t="s">
        <v>2303</v>
      </c>
      <c r="V52" s="19" t="s">
        <v>2354</v>
      </c>
      <c r="W52" s="7" t="s">
        <v>787</v>
      </c>
      <c r="X52" s="3" t="s">
        <v>2346</v>
      </c>
      <c r="Y52" s="7" t="s">
        <v>764</v>
      </c>
      <c r="Z52" s="7" t="s">
        <v>2031</v>
      </c>
      <c r="AA52" s="7" t="s">
        <v>766</v>
      </c>
      <c r="AB52" s="7" t="s">
        <v>787</v>
      </c>
      <c r="AC52" s="7">
        <f>AD52*AQ52</f>
        <v>7727.2</v>
      </c>
      <c r="AD52" s="7">
        <v>5.2</v>
      </c>
      <c r="AE52" s="7">
        <f>AC52*3.67</f>
        <v>28358.824000000001</v>
      </c>
      <c r="AF52" s="7">
        <f>AD52*3.67</f>
        <v>19.084</v>
      </c>
      <c r="AG52" s="7" t="s">
        <v>789</v>
      </c>
      <c r="AH52" s="7">
        <v>90.1</v>
      </c>
      <c r="AI52" s="7">
        <v>208308</v>
      </c>
      <c r="AJ52" s="7">
        <f>AI52*3.67</f>
        <v>764490.36</v>
      </c>
      <c r="AK52" s="7">
        <f t="shared" si="22"/>
        <v>330.66699999999997</v>
      </c>
      <c r="AL52" s="33">
        <f t="shared" si="23"/>
        <v>237.71063829787235</v>
      </c>
      <c r="AM52" s="33">
        <f>AL52*AQ52</f>
        <v>353238.00851063832</v>
      </c>
      <c r="AN52" s="33">
        <f>AH52/0.47</f>
        <v>191.70212765957447</v>
      </c>
      <c r="AO52" s="33">
        <f>AN52*0.24</f>
        <v>46.008510638297871</v>
      </c>
      <c r="AP52" s="8">
        <v>1486</v>
      </c>
      <c r="AQ52" s="8">
        <v>1486</v>
      </c>
      <c r="AR52" s="8">
        <v>47</v>
      </c>
      <c r="AS52" s="8" t="s">
        <v>2289</v>
      </c>
      <c r="AT52">
        <f>5000000/AQ52</f>
        <v>3364.7375504710631</v>
      </c>
      <c r="AU52" s="8" t="s">
        <v>763</v>
      </c>
    </row>
    <row r="53" spans="1:47" x14ac:dyDescent="0.35">
      <c r="A53">
        <v>67</v>
      </c>
      <c r="B53" s="3">
        <v>52</v>
      </c>
      <c r="C53" t="s">
        <v>521</v>
      </c>
      <c r="D53" t="s">
        <v>523</v>
      </c>
      <c r="E53" s="7" t="s">
        <v>751</v>
      </c>
      <c r="F53" s="7">
        <v>2014</v>
      </c>
      <c r="G53" s="3">
        <v>2010</v>
      </c>
      <c r="H53" s="7" t="s">
        <v>753</v>
      </c>
      <c r="I53" s="7" t="s">
        <v>754</v>
      </c>
      <c r="J53" s="3">
        <v>1.5100750000000001</v>
      </c>
      <c r="K53" s="3">
        <v>103.632458</v>
      </c>
      <c r="L53" s="33" t="s">
        <v>1778</v>
      </c>
      <c r="M53" s="11">
        <v>1711191</v>
      </c>
      <c r="N53" s="11">
        <v>1608</v>
      </c>
      <c r="O53" s="33" t="s">
        <v>2327</v>
      </c>
      <c r="P53" s="8" t="s">
        <v>799</v>
      </c>
      <c r="Q53" s="3" t="s">
        <v>2340</v>
      </c>
      <c r="R53" s="3">
        <v>2662</v>
      </c>
      <c r="S53" s="3">
        <v>28</v>
      </c>
      <c r="T53" s="3" t="s">
        <v>763</v>
      </c>
      <c r="U53" t="s">
        <v>2300</v>
      </c>
      <c r="V53" s="19" t="s">
        <v>2354</v>
      </c>
      <c r="W53" s="7" t="s">
        <v>762</v>
      </c>
      <c r="X53" s="3" t="s">
        <v>2348</v>
      </c>
      <c r="Y53" s="7" t="s">
        <v>2002</v>
      </c>
      <c r="Z53" t="s">
        <v>2031</v>
      </c>
      <c r="AA53" s="7" t="s">
        <v>766</v>
      </c>
      <c r="AB53" s="7" t="s">
        <v>787</v>
      </c>
      <c r="AC53" s="7" t="s">
        <v>763</v>
      </c>
      <c r="AD53" s="7" t="s">
        <v>763</v>
      </c>
      <c r="AE53" s="7" t="s">
        <v>763</v>
      </c>
      <c r="AF53" s="7" t="s">
        <v>763</v>
      </c>
      <c r="AG53" s="7" t="s">
        <v>789</v>
      </c>
      <c r="AH53" s="7">
        <v>70</v>
      </c>
      <c r="AI53" s="7">
        <f>AH53*AQ53</f>
        <v>1750</v>
      </c>
      <c r="AJ53" s="7">
        <f>AI53*3.67</f>
        <v>6422.5</v>
      </c>
      <c r="AK53" s="7">
        <f t="shared" si="22"/>
        <v>256.89999999999998</v>
      </c>
      <c r="AL53" s="7">
        <f>AH53/0.47</f>
        <v>148.93617021276597</v>
      </c>
      <c r="AM53" s="7">
        <f>AI53/0.47</f>
        <v>3723.4042553191493</v>
      </c>
      <c r="AN53" s="3">
        <f>AH53/1.24</f>
        <v>56.451612903225808</v>
      </c>
      <c r="AO53" s="3">
        <f t="shared" ref="AO53:AO56" si="24">AN53*0.24</f>
        <v>13.548387096774194</v>
      </c>
      <c r="AP53" t="s">
        <v>1518</v>
      </c>
      <c r="AQ53">
        <v>25</v>
      </c>
      <c r="AR53" s="8" t="s">
        <v>763</v>
      </c>
      <c r="AS53" s="8" t="s">
        <v>2021</v>
      </c>
      <c r="AT53" t="s">
        <v>763</v>
      </c>
      <c r="AU53" s="8" t="s">
        <v>763</v>
      </c>
    </row>
    <row r="54" spans="1:47" x14ac:dyDescent="0.35">
      <c r="A54">
        <v>68</v>
      </c>
      <c r="B54" s="3">
        <v>53</v>
      </c>
      <c r="C54" t="s">
        <v>535</v>
      </c>
      <c r="D54" t="s">
        <v>537</v>
      </c>
      <c r="E54" s="7" t="s">
        <v>751</v>
      </c>
      <c r="F54" s="7">
        <v>2025</v>
      </c>
      <c r="G54" s="4" t="s">
        <v>1534</v>
      </c>
      <c r="H54" s="7" t="s">
        <v>795</v>
      </c>
      <c r="I54" s="7" t="s">
        <v>754</v>
      </c>
      <c r="J54" s="3">
        <v>22.410833</v>
      </c>
      <c r="K54" s="3">
        <v>88.188610999999995</v>
      </c>
      <c r="L54" s="19" t="s">
        <v>1538</v>
      </c>
      <c r="M54" s="11">
        <v>4496694</v>
      </c>
      <c r="N54" s="11">
        <v>24306</v>
      </c>
      <c r="O54" s="19" t="s">
        <v>2327</v>
      </c>
      <c r="P54" s="8" t="s">
        <v>756</v>
      </c>
      <c r="Q54" s="3" t="s">
        <v>2335</v>
      </c>
      <c r="R54" s="3">
        <v>1656</v>
      </c>
      <c r="S54" s="3">
        <v>26</v>
      </c>
      <c r="T54" s="3" t="s">
        <v>1016</v>
      </c>
      <c r="U54" t="s">
        <v>2300</v>
      </c>
      <c r="V54" s="19" t="s">
        <v>2354</v>
      </c>
      <c r="W54" s="7" t="s">
        <v>762</v>
      </c>
      <c r="X54" s="3" t="s">
        <v>2350</v>
      </c>
      <c r="Y54" s="7" t="s">
        <v>1541</v>
      </c>
      <c r="Z54" t="s">
        <v>1744</v>
      </c>
      <c r="AA54" s="3" t="s">
        <v>2165</v>
      </c>
      <c r="AB54" s="7" t="s">
        <v>762</v>
      </c>
      <c r="AC54" s="7">
        <f>AD54*AQ54</f>
        <v>7654.0708446866483</v>
      </c>
      <c r="AD54" s="7">
        <f>AF54/3.67</f>
        <v>6.0940054495912804E-2</v>
      </c>
      <c r="AE54" s="7">
        <f>AF54*AQ54</f>
        <v>28090.44</v>
      </c>
      <c r="AF54" s="7">
        <v>0.22364999999999999</v>
      </c>
      <c r="AG54" s="7" t="s">
        <v>768</v>
      </c>
      <c r="AH54" s="7">
        <f>AI54/AQ54</f>
        <v>39.933443501090132</v>
      </c>
      <c r="AI54" s="7">
        <f>((1992*6039109)+(2022*4007357))/(1992+2022)</f>
        <v>5015640.5037369207</v>
      </c>
      <c r="AJ54" s="7">
        <f>AI54*3.67</f>
        <v>18407400.648714498</v>
      </c>
      <c r="AK54" s="7">
        <f t="shared" si="22"/>
        <v>146.55573764900078</v>
      </c>
      <c r="AL54" s="7">
        <f>AH54/0.47</f>
        <v>84.96477340657475</v>
      </c>
      <c r="AM54" s="7">
        <f>AI54/0.47</f>
        <v>10671575.53986579</v>
      </c>
      <c r="AN54" s="3">
        <f t="shared" ref="AN54" si="25">AH54/1.24</f>
        <v>32.204389920233979</v>
      </c>
      <c r="AO54" s="3">
        <f t="shared" si="24"/>
        <v>7.7290535808561547</v>
      </c>
      <c r="AP54" t="s">
        <v>2199</v>
      </c>
      <c r="AQ54">
        <v>125600</v>
      </c>
      <c r="AR54" s="8" t="s">
        <v>763</v>
      </c>
      <c r="AS54" s="8" t="s">
        <v>763</v>
      </c>
      <c r="AT54" s="8" t="s">
        <v>763</v>
      </c>
      <c r="AU54" s="8">
        <f>AQ54*0.455</f>
        <v>57148</v>
      </c>
    </row>
    <row r="55" spans="1:47" x14ac:dyDescent="0.35">
      <c r="A55">
        <v>69</v>
      </c>
      <c r="B55" s="3">
        <v>54</v>
      </c>
      <c r="C55" t="s">
        <v>544</v>
      </c>
      <c r="D55" t="s">
        <v>546</v>
      </c>
      <c r="E55" s="7" t="s">
        <v>751</v>
      </c>
      <c r="F55" s="7">
        <v>2014</v>
      </c>
      <c r="G55" s="3" t="s">
        <v>763</v>
      </c>
      <c r="H55" s="7" t="s">
        <v>753</v>
      </c>
      <c r="I55" s="7" t="s">
        <v>754</v>
      </c>
      <c r="J55" s="3">
        <v>22.866667</v>
      </c>
      <c r="K55" s="3">
        <v>113.841667</v>
      </c>
      <c r="L55" s="19" t="s">
        <v>1550</v>
      </c>
      <c r="M55" s="11">
        <v>10466625</v>
      </c>
      <c r="N55" s="11">
        <v>4246</v>
      </c>
      <c r="O55" s="19" t="s">
        <v>2327</v>
      </c>
      <c r="P55" s="8" t="s">
        <v>1546</v>
      </c>
      <c r="Q55" s="3" t="s">
        <v>2333</v>
      </c>
      <c r="R55" s="3">
        <v>1956</v>
      </c>
      <c r="S55" s="3">
        <v>20.3</v>
      </c>
      <c r="T55" s="3" t="s">
        <v>763</v>
      </c>
      <c r="U55" t="s">
        <v>2300</v>
      </c>
      <c r="V55" s="3" t="s">
        <v>2356</v>
      </c>
      <c r="W55" s="7" t="s">
        <v>787</v>
      </c>
      <c r="X55" s="3" t="s">
        <v>2348</v>
      </c>
      <c r="Y55" s="7" t="s">
        <v>764</v>
      </c>
      <c r="Z55" s="7" t="s">
        <v>2026</v>
      </c>
      <c r="AA55" s="7" t="s">
        <v>766</v>
      </c>
      <c r="AB55" s="7" t="s">
        <v>787</v>
      </c>
      <c r="AC55" s="7" t="s">
        <v>763</v>
      </c>
      <c r="AD55" s="7" t="s">
        <v>763</v>
      </c>
      <c r="AE55" s="7" t="s">
        <v>763</v>
      </c>
      <c r="AF55" s="7" t="s">
        <v>763</v>
      </c>
      <c r="AG55" s="7" t="s">
        <v>789</v>
      </c>
      <c r="AH55" s="7">
        <v>125</v>
      </c>
      <c r="AI55" s="7" t="s">
        <v>763</v>
      </c>
      <c r="AJ55" s="7" t="s">
        <v>763</v>
      </c>
      <c r="AK55" s="7">
        <f t="shared" si="22"/>
        <v>458.75</v>
      </c>
      <c r="AL55" s="33">
        <f t="shared" ref="AL55:AL56" si="26">AN55+AO55</f>
        <v>310</v>
      </c>
      <c r="AM55" s="33" t="s">
        <v>763</v>
      </c>
      <c r="AN55" s="7">
        <v>250</v>
      </c>
      <c r="AO55" s="33">
        <f t="shared" si="24"/>
        <v>60</v>
      </c>
      <c r="AP55" t="s">
        <v>763</v>
      </c>
      <c r="AQ55" t="s">
        <v>763</v>
      </c>
      <c r="AR55" s="8" t="s">
        <v>763</v>
      </c>
      <c r="AS55" s="8" t="s">
        <v>2293</v>
      </c>
      <c r="AT55" s="8">
        <v>1450</v>
      </c>
      <c r="AU55" s="8" t="s">
        <v>763</v>
      </c>
    </row>
    <row r="56" spans="1:47" x14ac:dyDescent="0.35">
      <c r="A56">
        <v>72</v>
      </c>
      <c r="B56" s="3">
        <v>55</v>
      </c>
      <c r="C56" t="s">
        <v>554</v>
      </c>
      <c r="D56" t="s">
        <v>556</v>
      </c>
      <c r="E56" s="7" t="s">
        <v>751</v>
      </c>
      <c r="F56" s="7">
        <v>2018</v>
      </c>
      <c r="G56" s="3">
        <v>2014</v>
      </c>
      <c r="H56" s="7" t="s">
        <v>753</v>
      </c>
      <c r="I56" s="7" t="s">
        <v>754</v>
      </c>
      <c r="J56" s="3">
        <v>6.6833330000000002</v>
      </c>
      <c r="K56" s="3">
        <v>-1.6166670000000001</v>
      </c>
      <c r="L56" s="19" t="s">
        <v>1554</v>
      </c>
      <c r="M56" s="33">
        <v>2500000</v>
      </c>
      <c r="N56" s="54">
        <v>8000</v>
      </c>
      <c r="O56" s="19" t="s">
        <v>2326</v>
      </c>
      <c r="P56" s="8" t="s">
        <v>1325</v>
      </c>
      <c r="Q56" s="3" t="s">
        <v>2335</v>
      </c>
      <c r="R56" s="8">
        <v>1250</v>
      </c>
      <c r="S56" s="28">
        <v>26.4</v>
      </c>
      <c r="T56" s="3" t="s">
        <v>763</v>
      </c>
      <c r="U56" t="s">
        <v>2300</v>
      </c>
      <c r="V56" s="3" t="s">
        <v>2357</v>
      </c>
      <c r="W56" s="7" t="s">
        <v>787</v>
      </c>
      <c r="X56" s="3" t="s">
        <v>2350</v>
      </c>
      <c r="Y56" s="7" t="s">
        <v>764</v>
      </c>
      <c r="Z56" s="7" t="s">
        <v>2026</v>
      </c>
      <c r="AA56" s="7" t="s">
        <v>766</v>
      </c>
      <c r="AB56" s="7" t="s">
        <v>787</v>
      </c>
      <c r="AC56" s="7" t="s">
        <v>763</v>
      </c>
      <c r="AD56" s="7" t="s">
        <v>763</v>
      </c>
      <c r="AE56" s="7" t="s">
        <v>763</v>
      </c>
      <c r="AF56" s="7" t="s">
        <v>763</v>
      </c>
      <c r="AG56" s="7" t="s">
        <v>789</v>
      </c>
      <c r="AH56" s="7">
        <v>228</v>
      </c>
      <c r="AI56" s="7">
        <v>1200000</v>
      </c>
      <c r="AJ56" s="7">
        <f>AI56*3.67</f>
        <v>4404000</v>
      </c>
      <c r="AK56" s="7">
        <f t="shared" si="22"/>
        <v>836.76</v>
      </c>
      <c r="AL56" s="52">
        <f t="shared" si="26"/>
        <v>123.51181102362204</v>
      </c>
      <c r="AM56" s="33">
        <f>AL56*AQ56</f>
        <v>3137200</v>
      </c>
      <c r="AN56" s="7">
        <f>2530000/AQ56</f>
        <v>99.606299212598429</v>
      </c>
      <c r="AO56" s="33">
        <f t="shared" si="24"/>
        <v>23.905511811023622</v>
      </c>
      <c r="AP56">
        <v>4.7</v>
      </c>
      <c r="AQ56">
        <v>25400</v>
      </c>
      <c r="AR56" s="8" t="s">
        <v>763</v>
      </c>
      <c r="AS56" s="8" t="s">
        <v>1569</v>
      </c>
      <c r="AT56">
        <f>3757/AQ56</f>
        <v>0.14791338582677166</v>
      </c>
      <c r="AU56" s="8" t="s">
        <v>763</v>
      </c>
    </row>
    <row r="57" spans="1:47" x14ac:dyDescent="0.35">
      <c r="A57">
        <v>73</v>
      </c>
      <c r="B57" s="3">
        <v>56</v>
      </c>
      <c r="C57" t="s">
        <v>549</v>
      </c>
      <c r="D57" t="s">
        <v>551</v>
      </c>
      <c r="E57" s="7" t="s">
        <v>751</v>
      </c>
      <c r="F57" s="7">
        <v>2022</v>
      </c>
      <c r="G57" s="3">
        <v>2018</v>
      </c>
      <c r="H57" s="7" t="s">
        <v>753</v>
      </c>
      <c r="I57" s="7" t="s">
        <v>754</v>
      </c>
      <c r="J57" s="3">
        <v>13.7525</v>
      </c>
      <c r="K57" s="3">
        <v>100.494167</v>
      </c>
      <c r="L57" s="19" t="s">
        <v>1572</v>
      </c>
      <c r="M57" s="11">
        <v>9034000</v>
      </c>
      <c r="N57" s="56">
        <v>5294.2070000000003</v>
      </c>
      <c r="O57" s="19" t="s">
        <v>2327</v>
      </c>
      <c r="P57" s="8" t="s">
        <v>1068</v>
      </c>
      <c r="Q57" s="3" t="s">
        <v>2335</v>
      </c>
      <c r="R57" s="3">
        <v>1207</v>
      </c>
      <c r="S57" s="3">
        <v>27.7</v>
      </c>
      <c r="T57" s="3" t="s">
        <v>763</v>
      </c>
      <c r="U57" t="s">
        <v>2303</v>
      </c>
      <c r="V57" s="3" t="s">
        <v>2357</v>
      </c>
      <c r="W57" s="7" t="s">
        <v>787</v>
      </c>
      <c r="X57" s="3" t="s">
        <v>2350</v>
      </c>
      <c r="Y57" s="7" t="s">
        <v>764</v>
      </c>
      <c r="Z57" s="7" t="s">
        <v>2026</v>
      </c>
      <c r="AA57" s="7" t="s">
        <v>766</v>
      </c>
      <c r="AB57" s="7" t="s">
        <v>787</v>
      </c>
      <c r="AC57" s="7" t="s">
        <v>763</v>
      </c>
      <c r="AD57" s="7" t="s">
        <v>763</v>
      </c>
      <c r="AE57" s="7" t="s">
        <v>763</v>
      </c>
      <c r="AF57" s="7" t="s">
        <v>763</v>
      </c>
      <c r="AG57" s="7" t="s">
        <v>768</v>
      </c>
      <c r="AH57" s="7">
        <v>17.75</v>
      </c>
      <c r="AI57" s="7">
        <f>AH57*AQ57</f>
        <v>9940000</v>
      </c>
      <c r="AJ57" s="7">
        <f>AI57*3.67</f>
        <v>36479800</v>
      </c>
      <c r="AK57" s="7">
        <f t="shared" si="22"/>
        <v>65.142499999999998</v>
      </c>
      <c r="AL57" s="16">
        <f>AH57/0.48</f>
        <v>36.979166666666671</v>
      </c>
      <c r="AM57" s="7">
        <f>AL57*AQ57</f>
        <v>20708333.333333336</v>
      </c>
      <c r="AN57" s="7">
        <f>AL57/1.24</f>
        <v>29.821908602150543</v>
      </c>
      <c r="AO57" s="7">
        <f>AN57*0.24</f>
        <v>7.1572580645161299</v>
      </c>
      <c r="AP57" t="s">
        <v>2200</v>
      </c>
      <c r="AQ57">
        <v>560000</v>
      </c>
      <c r="AR57" s="8" t="s">
        <v>763</v>
      </c>
      <c r="AS57" s="8" t="s">
        <v>1570</v>
      </c>
      <c r="AT57" s="11">
        <f>7633/AQ57</f>
        <v>1.3630357142857144E-2</v>
      </c>
      <c r="AU57" s="8" t="s">
        <v>763</v>
      </c>
    </row>
    <row r="58" spans="1:47" x14ac:dyDescent="0.35">
      <c r="A58">
        <v>74</v>
      </c>
      <c r="B58" s="3">
        <v>57</v>
      </c>
      <c r="C58" t="s">
        <v>564</v>
      </c>
      <c r="D58" t="s">
        <v>566</v>
      </c>
      <c r="E58" s="7" t="s">
        <v>751</v>
      </c>
      <c r="F58" s="7">
        <v>2022</v>
      </c>
      <c r="G58" s="3" t="s">
        <v>1907</v>
      </c>
      <c r="H58" s="7" t="s">
        <v>753</v>
      </c>
      <c r="I58" s="7" t="s">
        <v>776</v>
      </c>
      <c r="J58" s="3">
        <v>-5.1166669999999996</v>
      </c>
      <c r="K58" s="3">
        <v>105.3</v>
      </c>
      <c r="L58" s="19" t="s">
        <v>2087</v>
      </c>
      <c r="M58" s="11">
        <v>142733</v>
      </c>
      <c r="N58" s="11">
        <v>1925</v>
      </c>
      <c r="O58" s="19" t="s">
        <v>2327</v>
      </c>
      <c r="P58" s="8" t="s">
        <v>832</v>
      </c>
      <c r="Q58" s="3" t="s">
        <v>2340</v>
      </c>
      <c r="R58" s="3">
        <v>2052</v>
      </c>
      <c r="S58" s="3">
        <v>25.9</v>
      </c>
      <c r="T58" s="3" t="s">
        <v>759</v>
      </c>
      <c r="U58" t="s">
        <v>2300</v>
      </c>
      <c r="V58" s="3" t="s">
        <v>2351</v>
      </c>
      <c r="W58" s="7" t="s">
        <v>762</v>
      </c>
      <c r="X58" s="3" t="s">
        <v>2348</v>
      </c>
      <c r="Y58" s="7" t="s">
        <v>764</v>
      </c>
      <c r="Z58" s="7" t="s">
        <v>2031</v>
      </c>
      <c r="AA58" s="7" t="s">
        <v>766</v>
      </c>
      <c r="AB58" s="7" t="s">
        <v>762</v>
      </c>
      <c r="AC58" s="7">
        <f>AE58/3.67</f>
        <v>15.645776566757494</v>
      </c>
      <c r="AD58" s="7" t="s">
        <v>763</v>
      </c>
      <c r="AE58" s="7">
        <v>57.42</v>
      </c>
      <c r="AF58" s="7" t="s">
        <v>763</v>
      </c>
      <c r="AG58" s="7" t="s">
        <v>789</v>
      </c>
      <c r="AH58" s="7" t="s">
        <v>763</v>
      </c>
      <c r="AI58" s="7">
        <v>15.65</v>
      </c>
      <c r="AJ58" s="7">
        <v>57.42</v>
      </c>
      <c r="AK58" s="7" t="s">
        <v>763</v>
      </c>
      <c r="AL58" s="33" t="s">
        <v>763</v>
      </c>
      <c r="AM58" s="33">
        <f>(34.02)+(34.02*0.24)</f>
        <v>42.184800000000003</v>
      </c>
      <c r="AN58" s="31" t="s">
        <v>2235</v>
      </c>
      <c r="AO58" s="33"/>
      <c r="AP58" s="32" t="s">
        <v>763</v>
      </c>
      <c r="AQ58" s="32" t="s">
        <v>763</v>
      </c>
      <c r="AR58" s="8" t="s">
        <v>763</v>
      </c>
      <c r="AS58" t="s">
        <v>1571</v>
      </c>
      <c r="AT58" t="s">
        <v>763</v>
      </c>
      <c r="AU58" s="8" t="s">
        <v>763</v>
      </c>
    </row>
    <row r="59" spans="1:47" x14ac:dyDescent="0.35">
      <c r="A59">
        <v>75</v>
      </c>
      <c r="B59" s="3">
        <v>58</v>
      </c>
      <c r="C59" t="s">
        <v>578</v>
      </c>
      <c r="D59" t="s">
        <v>580</v>
      </c>
      <c r="E59" s="7" t="s">
        <v>751</v>
      </c>
      <c r="F59" s="7">
        <v>2024</v>
      </c>
      <c r="G59" s="3" t="s">
        <v>763</v>
      </c>
      <c r="H59" s="7" t="s">
        <v>753</v>
      </c>
      <c r="I59" s="7" t="s">
        <v>754</v>
      </c>
      <c r="J59" s="3">
        <v>11.183332999999999</v>
      </c>
      <c r="K59" s="3">
        <v>-4.2833329999999998</v>
      </c>
      <c r="L59" s="19" t="s">
        <v>1374</v>
      </c>
      <c r="M59" s="11">
        <v>984603</v>
      </c>
      <c r="N59">
        <v>545.20000000000005</v>
      </c>
      <c r="O59" s="19" t="s">
        <v>2326</v>
      </c>
      <c r="P59" s="8" t="s">
        <v>1373</v>
      </c>
      <c r="Q59" s="3" t="s">
        <v>2335</v>
      </c>
      <c r="R59" s="8">
        <v>1000</v>
      </c>
      <c r="S59" s="8">
        <v>22.5</v>
      </c>
      <c r="T59" s="3" t="s">
        <v>763</v>
      </c>
      <c r="U59" t="s">
        <v>2298</v>
      </c>
      <c r="V59" s="19" t="s">
        <v>2354</v>
      </c>
      <c r="W59" s="7" t="s">
        <v>787</v>
      </c>
      <c r="X59" s="3" t="s">
        <v>2346</v>
      </c>
      <c r="Y59" s="7" t="s">
        <v>764</v>
      </c>
      <c r="Z59" s="7" t="s">
        <v>2026</v>
      </c>
      <c r="AA59" s="7" t="s">
        <v>766</v>
      </c>
      <c r="AB59" s="7" t="s">
        <v>787</v>
      </c>
      <c r="AC59" s="7" t="s">
        <v>763</v>
      </c>
      <c r="AD59" s="7" t="s">
        <v>763</v>
      </c>
      <c r="AE59" s="7" t="s">
        <v>763</v>
      </c>
      <c r="AF59" s="7" t="s">
        <v>763</v>
      </c>
      <c r="AG59" s="7" t="s">
        <v>789</v>
      </c>
      <c r="AH59" s="7">
        <f>((26.21*350)+(13.39*8500))/(350+8500)</f>
        <v>13.897005649717514</v>
      </c>
      <c r="AI59" s="7">
        <f>AH59*AQ59</f>
        <v>122988.5</v>
      </c>
      <c r="AJ59" s="7">
        <f>AI59*3.67</f>
        <v>451367.79499999998</v>
      </c>
      <c r="AK59" s="7">
        <f>AH59*3.67</f>
        <v>51.002010734463276</v>
      </c>
      <c r="AL59" s="33">
        <f t="shared" ref="AL59" si="27">AN59+AO59</f>
        <v>8.6104338983050841</v>
      </c>
      <c r="AM59" s="33">
        <f>AL59*AQ59</f>
        <v>76202.34</v>
      </c>
      <c r="AN59" s="7">
        <f>((13.11*350)+(6.69*8500))/(350+8500)</f>
        <v>6.9438983050847458</v>
      </c>
      <c r="AO59" s="33">
        <f t="shared" ref="AO59:AO60" si="28">AN59*0.24</f>
        <v>1.666535593220339</v>
      </c>
      <c r="AP59" s="8" t="s">
        <v>1600</v>
      </c>
      <c r="AQ59" s="8">
        <f>350+8500</f>
        <v>8850</v>
      </c>
      <c r="AR59" s="8" t="s">
        <v>763</v>
      </c>
      <c r="AS59" s="8" t="s">
        <v>2290</v>
      </c>
      <c r="AT59">
        <f>2993/AQ59</f>
        <v>0.3381920903954802</v>
      </c>
      <c r="AU59" s="8" t="s">
        <v>763</v>
      </c>
    </row>
    <row r="60" spans="1:47" x14ac:dyDescent="0.35">
      <c r="A60">
        <v>76</v>
      </c>
      <c r="B60" s="3">
        <v>59</v>
      </c>
      <c r="C60" t="s">
        <v>593</v>
      </c>
      <c r="D60" t="s">
        <v>595</v>
      </c>
      <c r="E60" s="7" t="s">
        <v>751</v>
      </c>
      <c r="F60" s="7">
        <v>2025</v>
      </c>
      <c r="G60" s="3" t="s">
        <v>830</v>
      </c>
      <c r="H60" s="7" t="s">
        <v>753</v>
      </c>
      <c r="I60" s="7" t="s">
        <v>776</v>
      </c>
      <c r="J60" s="3">
        <v>-6.8848890000000003</v>
      </c>
      <c r="K60" s="3">
        <v>107.61061100000001</v>
      </c>
      <c r="L60" s="19" t="s">
        <v>831</v>
      </c>
      <c r="M60" s="11">
        <v>2394873</v>
      </c>
      <c r="N60" s="11">
        <v>14251</v>
      </c>
      <c r="O60" s="19" t="s">
        <v>2327</v>
      </c>
      <c r="P60" s="8" t="s">
        <v>832</v>
      </c>
      <c r="Q60" s="3" t="s">
        <v>2340</v>
      </c>
      <c r="R60">
        <v>3710</v>
      </c>
      <c r="S60" s="3">
        <v>22.4</v>
      </c>
      <c r="T60" s="3" t="s">
        <v>759</v>
      </c>
      <c r="U60" t="s">
        <v>2300</v>
      </c>
      <c r="V60" s="19" t="s">
        <v>2354</v>
      </c>
      <c r="W60" s="7" t="s">
        <v>762</v>
      </c>
      <c r="X60" s="3" t="s">
        <v>2348</v>
      </c>
      <c r="Y60" s="7" t="s">
        <v>2003</v>
      </c>
      <c r="Z60" s="7" t="s">
        <v>2035</v>
      </c>
      <c r="AA60" s="7" t="s">
        <v>766</v>
      </c>
      <c r="AB60" s="7" t="s">
        <v>787</v>
      </c>
      <c r="AC60" s="7">
        <v>25.17</v>
      </c>
      <c r="AD60" s="7">
        <f>AC60/AQ60</f>
        <v>5.0340000000000007</v>
      </c>
      <c r="AE60" s="7">
        <f>AC60*3.67</f>
        <v>92.373900000000006</v>
      </c>
      <c r="AF60" s="7">
        <f>AE60/AQ60</f>
        <v>18.474780000000003</v>
      </c>
      <c r="AG60" s="7" t="s">
        <v>768</v>
      </c>
      <c r="AH60" s="8">
        <f>AI60/AQ60</f>
        <v>76.2</v>
      </c>
      <c r="AI60" s="8">
        <v>381</v>
      </c>
      <c r="AJ60" s="7">
        <f>AI60*3.67</f>
        <v>1398.27</v>
      </c>
      <c r="AK60" s="7">
        <f>AH60*3.67</f>
        <v>279.654</v>
      </c>
      <c r="AL60" s="7">
        <f>AH60/0.47</f>
        <v>162.12765957446811</v>
      </c>
      <c r="AM60" s="7">
        <f>AI60/0.47</f>
        <v>810.63829787234044</v>
      </c>
      <c r="AN60" s="3">
        <f>AH60/1.24</f>
        <v>61.451612903225808</v>
      </c>
      <c r="AO60" s="3">
        <f t="shared" si="28"/>
        <v>14.748387096774193</v>
      </c>
      <c r="AP60" s="8" t="s">
        <v>1604</v>
      </c>
      <c r="AQ60" s="8">
        <v>5</v>
      </c>
      <c r="AR60" s="8" t="s">
        <v>763</v>
      </c>
      <c r="AS60" s="8" t="s">
        <v>2291</v>
      </c>
      <c r="AT60">
        <f>1607/AQ60</f>
        <v>321.39999999999998</v>
      </c>
      <c r="AU60" s="8" t="s">
        <v>763</v>
      </c>
    </row>
    <row r="61" spans="1:47" x14ac:dyDescent="0.35">
      <c r="A61">
        <v>77</v>
      </c>
      <c r="B61" s="3">
        <v>60</v>
      </c>
      <c r="C61" s="15" t="s">
        <v>607</v>
      </c>
      <c r="D61" t="s">
        <v>1611</v>
      </c>
      <c r="E61" s="7" t="s">
        <v>751</v>
      </c>
      <c r="F61" s="7">
        <v>2013</v>
      </c>
      <c r="G61" s="3" t="s">
        <v>1626</v>
      </c>
      <c r="H61" s="7" t="s">
        <v>795</v>
      </c>
      <c r="I61" s="7" t="s">
        <v>754</v>
      </c>
      <c r="J61" s="3">
        <v>1.3142940000000001</v>
      </c>
      <c r="K61" s="3">
        <v>103.911197</v>
      </c>
      <c r="L61" s="19" t="s">
        <v>1159</v>
      </c>
      <c r="M61" s="11">
        <v>6111175</v>
      </c>
      <c r="N61" s="11">
        <v>8681</v>
      </c>
      <c r="O61" s="19" t="s">
        <v>2327</v>
      </c>
      <c r="P61" s="8" t="s">
        <v>1159</v>
      </c>
      <c r="Q61" s="3" t="s">
        <v>2339</v>
      </c>
      <c r="R61" s="8">
        <v>197.5</v>
      </c>
      <c r="S61">
        <v>27.5</v>
      </c>
      <c r="T61" s="7" t="s">
        <v>2078</v>
      </c>
      <c r="U61" t="s">
        <v>2300</v>
      </c>
      <c r="V61" s="3" t="s">
        <v>2357</v>
      </c>
      <c r="W61" s="7" t="s">
        <v>787</v>
      </c>
      <c r="X61" s="3" t="s">
        <v>2348</v>
      </c>
      <c r="Y61" s="7" t="s">
        <v>764</v>
      </c>
      <c r="Z61" s="7" t="s">
        <v>2027</v>
      </c>
      <c r="AA61" s="3" t="s">
        <v>2165</v>
      </c>
      <c r="AB61" s="7" t="s">
        <v>787</v>
      </c>
      <c r="AC61" s="8">
        <f>AE61/3.67</f>
        <v>1.3896457765667574</v>
      </c>
      <c r="AD61" s="8">
        <f>AC61/AQ61</f>
        <v>1.770249396900328E-2</v>
      </c>
      <c r="AE61" s="8">
        <v>5.0999999999999996</v>
      </c>
      <c r="AF61" s="8">
        <f>AE61/AQ61</f>
        <v>6.4968152866242038E-2</v>
      </c>
      <c r="AG61" s="7" t="s">
        <v>768</v>
      </c>
      <c r="AH61" s="8">
        <f>AK61/3.67</f>
        <v>1.7267029972752044</v>
      </c>
      <c r="AI61" s="8">
        <f>AH61*AQ61</f>
        <v>135.54618528610354</v>
      </c>
      <c r="AJ61" s="8">
        <f>AK61*AQ61</f>
        <v>497.4545</v>
      </c>
      <c r="AK61" s="8">
        <v>6.3369999999999997</v>
      </c>
      <c r="AL61" s="3">
        <v>3.484</v>
      </c>
      <c r="AM61" s="7">
        <f>AL61*AQ61</f>
        <v>273.49399999999997</v>
      </c>
      <c r="AN61" s="7">
        <f>AL61/1.24</f>
        <v>2.8096774193548386</v>
      </c>
      <c r="AO61" s="7">
        <f>AN61*0.24</f>
        <v>0.67432258064516126</v>
      </c>
      <c r="AP61" s="8" t="s">
        <v>1624</v>
      </c>
      <c r="AQ61" s="8">
        <v>78.5</v>
      </c>
      <c r="AR61" s="8" t="s">
        <v>763</v>
      </c>
      <c r="AS61" s="8" t="s">
        <v>1636</v>
      </c>
      <c r="AT61">
        <f>(2789+1566+244)/AQ61</f>
        <v>58.585987261146499</v>
      </c>
      <c r="AU61" s="8" t="s">
        <v>763</v>
      </c>
    </row>
    <row r="62" spans="1:47" x14ac:dyDescent="0.35">
      <c r="A62">
        <v>78</v>
      </c>
      <c r="B62" s="3">
        <v>61</v>
      </c>
      <c r="C62" t="s">
        <v>624</v>
      </c>
      <c r="D62" t="s">
        <v>626</v>
      </c>
      <c r="E62" s="7" t="s">
        <v>751</v>
      </c>
      <c r="F62" s="7">
        <v>2020</v>
      </c>
      <c r="G62" s="3" t="s">
        <v>763</v>
      </c>
      <c r="H62" s="7" t="s">
        <v>753</v>
      </c>
      <c r="I62" s="7" t="s">
        <v>776</v>
      </c>
      <c r="J62" s="3">
        <v>-1.4837</v>
      </c>
      <c r="K62" s="3">
        <v>-78.002600000000001</v>
      </c>
      <c r="L62" s="19" t="s">
        <v>1628</v>
      </c>
      <c r="M62" s="11">
        <v>39473</v>
      </c>
      <c r="N62">
        <v>430.8</v>
      </c>
      <c r="O62" s="19" t="s">
        <v>2325</v>
      </c>
      <c r="P62" t="s">
        <v>1627</v>
      </c>
      <c r="Q62" s="3" t="s">
        <v>2340</v>
      </c>
      <c r="R62" s="8">
        <v>2500</v>
      </c>
      <c r="S62" s="8">
        <v>21.35</v>
      </c>
      <c r="T62" s="3" t="s">
        <v>763</v>
      </c>
      <c r="U62" t="s">
        <v>2300</v>
      </c>
      <c r="V62" s="19" t="s">
        <v>2354</v>
      </c>
      <c r="W62" s="7" t="s">
        <v>787</v>
      </c>
      <c r="X62" s="3" t="s">
        <v>2346</v>
      </c>
      <c r="Y62" s="7" t="s">
        <v>764</v>
      </c>
      <c r="Z62" s="7" t="s">
        <v>2036</v>
      </c>
      <c r="AA62" s="33" t="s">
        <v>1241</v>
      </c>
      <c r="AB62" s="7" t="s">
        <v>787</v>
      </c>
      <c r="AC62" s="7" t="s">
        <v>763</v>
      </c>
      <c r="AD62" s="7" t="s">
        <v>763</v>
      </c>
      <c r="AE62" s="7" t="s">
        <v>763</v>
      </c>
      <c r="AF62" s="7" t="s">
        <v>763</v>
      </c>
      <c r="AG62" s="7" t="s">
        <v>789</v>
      </c>
      <c r="AH62" s="8">
        <v>91.46</v>
      </c>
      <c r="AI62" s="8">
        <f>AH62*AQ62</f>
        <v>585.34399999999994</v>
      </c>
      <c r="AJ62" s="8">
        <v>1664683</v>
      </c>
      <c r="AK62" s="8">
        <f>AH62*3.67</f>
        <v>335.65819999999997</v>
      </c>
      <c r="AL62" s="33">
        <f t="shared" ref="AL62" si="29">AN62+AO62</f>
        <v>146.5804</v>
      </c>
      <c r="AM62" s="33">
        <f>AL62*AQ62</f>
        <v>938.11455999999998</v>
      </c>
      <c r="AN62" s="7">
        <v>118.21</v>
      </c>
      <c r="AO62" s="33">
        <f>AN62*0.24</f>
        <v>28.370399999999997</v>
      </c>
      <c r="AP62" s="8" t="s">
        <v>1639</v>
      </c>
      <c r="AQ62" s="8">
        <v>6.4</v>
      </c>
      <c r="AR62" s="8" t="s">
        <v>763</v>
      </c>
      <c r="AS62" s="8" t="s">
        <v>1640</v>
      </c>
      <c r="AT62">
        <f>129/AQ62</f>
        <v>20.15625</v>
      </c>
      <c r="AU62" s="8" t="s">
        <v>763</v>
      </c>
    </row>
    <row r="63" spans="1:47" x14ac:dyDescent="0.35">
      <c r="A63">
        <v>79</v>
      </c>
      <c r="B63" s="3">
        <v>62</v>
      </c>
      <c r="C63" t="s">
        <v>640</v>
      </c>
      <c r="D63" t="s">
        <v>1656</v>
      </c>
      <c r="E63" s="7" t="s">
        <v>751</v>
      </c>
      <c r="F63" s="7">
        <v>2020</v>
      </c>
      <c r="G63" s="3" t="s">
        <v>1659</v>
      </c>
      <c r="H63" s="7" t="s">
        <v>753</v>
      </c>
      <c r="I63" s="7" t="s">
        <v>754</v>
      </c>
      <c r="J63" s="3">
        <v>22.09</v>
      </c>
      <c r="K63" s="3">
        <v>82.15</v>
      </c>
      <c r="L63" s="19" t="s">
        <v>1658</v>
      </c>
      <c r="M63" s="11">
        <v>1625502</v>
      </c>
      <c r="N63">
        <v>457.2</v>
      </c>
      <c r="O63" s="19" t="s">
        <v>2327</v>
      </c>
      <c r="P63" t="s">
        <v>756</v>
      </c>
      <c r="Q63" s="3" t="s">
        <v>2335</v>
      </c>
      <c r="R63" s="3">
        <v>1412</v>
      </c>
      <c r="S63" s="8">
        <v>28</v>
      </c>
      <c r="T63" s="3" t="s">
        <v>2080</v>
      </c>
      <c r="U63" t="s">
        <v>2300</v>
      </c>
      <c r="V63" s="3" t="s">
        <v>2351</v>
      </c>
      <c r="W63" s="7" t="s">
        <v>787</v>
      </c>
      <c r="X63" s="3" t="s">
        <v>2348</v>
      </c>
      <c r="Y63" s="7" t="s">
        <v>764</v>
      </c>
      <c r="Z63" s="7" t="s">
        <v>2026</v>
      </c>
      <c r="AA63" s="7" t="s">
        <v>766</v>
      </c>
      <c r="AB63" s="7" t="s">
        <v>787</v>
      </c>
      <c r="AC63" s="7" t="s">
        <v>763</v>
      </c>
      <c r="AD63" s="7" t="s">
        <v>763</v>
      </c>
      <c r="AE63" s="7" t="s">
        <v>763</v>
      </c>
      <c r="AF63" s="7" t="s">
        <v>763</v>
      </c>
      <c r="AG63" s="7" t="s">
        <v>768</v>
      </c>
      <c r="AH63" s="8">
        <f>AI63/AQ63</f>
        <v>16.059999999999999</v>
      </c>
      <c r="AI63" s="8">
        <v>48.18</v>
      </c>
      <c r="AJ63" s="8">
        <v>176.64</v>
      </c>
      <c r="AK63" s="8">
        <f>AH63*3.67</f>
        <v>58.940199999999997</v>
      </c>
      <c r="AL63" s="7">
        <v>33.81</v>
      </c>
      <c r="AM63" s="7">
        <v>101.44</v>
      </c>
      <c r="AN63" s="33">
        <f>AL63/1.24</f>
        <v>27.266129032258068</v>
      </c>
      <c r="AO63" s="33">
        <f>AN63*0.24</f>
        <v>6.5438709677419356</v>
      </c>
      <c r="AP63" s="8">
        <v>3</v>
      </c>
      <c r="AQ63" s="8">
        <v>3</v>
      </c>
      <c r="AR63" s="8" t="s">
        <v>763</v>
      </c>
      <c r="AS63" s="8" t="s">
        <v>1665</v>
      </c>
      <c r="AT63">
        <f>438/AQ63</f>
        <v>146</v>
      </c>
      <c r="AU63" s="8" t="s">
        <v>763</v>
      </c>
    </row>
    <row r="64" spans="1:47" x14ac:dyDescent="0.35">
      <c r="A64">
        <v>80</v>
      </c>
      <c r="B64" s="3">
        <v>63</v>
      </c>
      <c r="C64" t="s">
        <v>646</v>
      </c>
      <c r="D64" t="s">
        <v>648</v>
      </c>
      <c r="E64" s="7" t="s">
        <v>751</v>
      </c>
      <c r="F64" s="7">
        <v>2021</v>
      </c>
      <c r="G64" s="7" t="s">
        <v>1669</v>
      </c>
      <c r="H64" s="7" t="s">
        <v>753</v>
      </c>
      <c r="I64" s="7" t="s">
        <v>754</v>
      </c>
      <c r="J64" s="3">
        <v>9.8333329999999997</v>
      </c>
      <c r="K64" s="3">
        <v>76.94</v>
      </c>
      <c r="L64" s="19" t="s">
        <v>2091</v>
      </c>
      <c r="M64" s="11">
        <v>1108974</v>
      </c>
      <c r="N64">
        <v>254.6</v>
      </c>
      <c r="O64" s="19" t="s">
        <v>2327</v>
      </c>
      <c r="P64" t="s">
        <v>756</v>
      </c>
      <c r="Q64" s="3" t="s">
        <v>2339</v>
      </c>
      <c r="R64">
        <v>3713</v>
      </c>
      <c r="S64" s="8">
        <v>27.6</v>
      </c>
      <c r="T64" s="3" t="s">
        <v>763</v>
      </c>
      <c r="U64" t="s">
        <v>2300</v>
      </c>
      <c r="V64" s="8" t="s">
        <v>2355</v>
      </c>
      <c r="W64" s="7" t="s">
        <v>787</v>
      </c>
      <c r="X64" s="3" t="s">
        <v>2348</v>
      </c>
      <c r="Y64" s="7" t="s">
        <v>764</v>
      </c>
      <c r="Z64" s="7" t="s">
        <v>2026</v>
      </c>
      <c r="AA64" s="7" t="s">
        <v>766</v>
      </c>
      <c r="AB64" s="7" t="s">
        <v>787</v>
      </c>
      <c r="AC64" s="7" t="s">
        <v>763</v>
      </c>
      <c r="AD64" s="7" t="s">
        <v>763</v>
      </c>
      <c r="AE64" s="7" t="s">
        <v>763</v>
      </c>
      <c r="AF64" s="7" t="s">
        <v>763</v>
      </c>
      <c r="AG64" s="7" t="s">
        <v>768</v>
      </c>
      <c r="AH64" s="7">
        <v>127.4</v>
      </c>
      <c r="AI64" s="7">
        <f>AH64*AQ64</f>
        <v>509.6</v>
      </c>
      <c r="AJ64" s="7">
        <f>AI64*3.67</f>
        <v>1870.232</v>
      </c>
      <c r="AK64" s="8">
        <f>AH64*3.67</f>
        <v>467.55799999999999</v>
      </c>
      <c r="AL64" s="7">
        <v>268.20999999999998</v>
      </c>
      <c r="AM64" s="7">
        <f>AL64*AQ64</f>
        <v>1072.8399999999999</v>
      </c>
      <c r="AN64" s="7">
        <v>211.86</v>
      </c>
      <c r="AO64" s="7">
        <v>56.35</v>
      </c>
      <c r="AP64" s="8" t="s">
        <v>1670</v>
      </c>
      <c r="AQ64" s="8">
        <v>4</v>
      </c>
      <c r="AR64" s="8" t="s">
        <v>763</v>
      </c>
      <c r="AS64" s="8" t="s">
        <v>1676</v>
      </c>
      <c r="AT64">
        <f>992/AQ64</f>
        <v>248</v>
      </c>
      <c r="AU64" s="8" t="s">
        <v>763</v>
      </c>
    </row>
    <row r="65" spans="1:47" x14ac:dyDescent="0.35">
      <c r="A65">
        <v>81</v>
      </c>
      <c r="B65" s="15">
        <v>64</v>
      </c>
      <c r="C65" t="s">
        <v>651</v>
      </c>
      <c r="D65" t="s">
        <v>653</v>
      </c>
      <c r="E65" s="7" t="s">
        <v>751</v>
      </c>
      <c r="F65" s="7">
        <v>2021</v>
      </c>
      <c r="G65" s="3">
        <v>2016</v>
      </c>
      <c r="H65" s="7" t="s">
        <v>753</v>
      </c>
      <c r="I65" s="7" t="s">
        <v>754</v>
      </c>
      <c r="J65" s="3">
        <v>23.7</v>
      </c>
      <c r="K65" s="3">
        <v>90.366667000000007</v>
      </c>
      <c r="L65" s="19" t="s">
        <v>1679</v>
      </c>
      <c r="M65" s="11">
        <v>10295786</v>
      </c>
      <c r="N65" s="11">
        <v>33842</v>
      </c>
      <c r="O65" s="19" t="s">
        <v>2327</v>
      </c>
      <c r="P65" t="s">
        <v>985</v>
      </c>
      <c r="Q65" s="3" t="s">
        <v>2335</v>
      </c>
      <c r="R65" s="3">
        <v>2055</v>
      </c>
      <c r="S65" s="3">
        <v>25.3</v>
      </c>
      <c r="T65" s="3" t="s">
        <v>763</v>
      </c>
      <c r="U65" t="s">
        <v>2300</v>
      </c>
      <c r="V65" s="3" t="s">
        <v>2351</v>
      </c>
      <c r="W65" s="7" t="s">
        <v>787</v>
      </c>
      <c r="X65" s="3" t="s">
        <v>2348</v>
      </c>
      <c r="Y65" s="7" t="s">
        <v>764</v>
      </c>
      <c r="Z65" t="s">
        <v>2026</v>
      </c>
      <c r="AA65" s="7" t="s">
        <v>766</v>
      </c>
      <c r="AB65" s="7" t="s">
        <v>787</v>
      </c>
      <c r="AC65" s="7" t="s">
        <v>763</v>
      </c>
      <c r="AD65" s="7" t="s">
        <v>763</v>
      </c>
      <c r="AE65" s="7" t="s">
        <v>763</v>
      </c>
      <c r="AF65" s="7" t="s">
        <v>763</v>
      </c>
      <c r="AG65" s="7" t="s">
        <v>789</v>
      </c>
      <c r="AH65" s="8">
        <f>AI65/AQ65</f>
        <v>30.697674418604652</v>
      </c>
      <c r="AI65" s="8">
        <v>528</v>
      </c>
      <c r="AJ65" s="8">
        <v>1938</v>
      </c>
      <c r="AK65" s="8">
        <f>AH65*3.67</f>
        <v>112.66046511627907</v>
      </c>
      <c r="AL65" s="33">
        <f t="shared" ref="AL65" si="30">AN65+AO65</f>
        <v>80.960465116279067</v>
      </c>
      <c r="AM65" s="33">
        <f>AL65*AQ65</f>
        <v>1392.52</v>
      </c>
      <c r="AN65" s="7">
        <f>1123/AQ65</f>
        <v>65.29069767441861</v>
      </c>
      <c r="AO65" s="33">
        <f t="shared" ref="AO65" si="31">AN65*0.24</f>
        <v>15.669767441860465</v>
      </c>
      <c r="AP65" s="30">
        <v>8.6</v>
      </c>
      <c r="AQ65" s="30">
        <v>17.2</v>
      </c>
      <c r="AR65" s="30" t="s">
        <v>763</v>
      </c>
      <c r="AS65" s="30" t="s">
        <v>1688</v>
      </c>
      <c r="AT65" s="19" t="s">
        <v>763</v>
      </c>
      <c r="AU65" s="19">
        <v>8.6</v>
      </c>
    </row>
    <row r="66" spans="1:47" x14ac:dyDescent="0.35">
      <c r="A66">
        <v>83</v>
      </c>
      <c r="B66" s="3">
        <v>65</v>
      </c>
      <c r="C66" s="15" t="s">
        <v>655</v>
      </c>
      <c r="D66" t="s">
        <v>657</v>
      </c>
      <c r="E66" s="7" t="s">
        <v>751</v>
      </c>
      <c r="F66" s="7">
        <v>2023</v>
      </c>
      <c r="G66" s="3" t="s">
        <v>1908</v>
      </c>
      <c r="H66" s="7" t="s">
        <v>795</v>
      </c>
      <c r="I66" s="7" t="s">
        <v>776</v>
      </c>
      <c r="J66" s="3">
        <v>-12.05</v>
      </c>
      <c r="K66" s="3">
        <v>-77.033332999999999</v>
      </c>
      <c r="L66" s="33" t="s">
        <v>1694</v>
      </c>
      <c r="M66" s="11">
        <v>266887</v>
      </c>
      <c r="N66" s="11">
        <v>12378</v>
      </c>
      <c r="O66" s="33" t="s">
        <v>2325</v>
      </c>
      <c r="P66" t="s">
        <v>1689</v>
      </c>
      <c r="Q66" s="3" t="s">
        <v>2336</v>
      </c>
      <c r="R66" s="3">
        <v>203</v>
      </c>
      <c r="S66" s="3">
        <v>18.899999999999999</v>
      </c>
      <c r="T66" s="3" t="s">
        <v>763</v>
      </c>
      <c r="U66" t="s">
        <v>2308</v>
      </c>
      <c r="V66" s="3" t="s">
        <v>2351</v>
      </c>
      <c r="W66" s="7" t="s">
        <v>787</v>
      </c>
      <c r="X66" s="3" t="s">
        <v>2348</v>
      </c>
      <c r="Y66" s="7" t="s">
        <v>764</v>
      </c>
      <c r="Z66" s="7" t="s">
        <v>2031</v>
      </c>
      <c r="AA66" s="7" t="s">
        <v>766</v>
      </c>
      <c r="AB66" s="7" t="s">
        <v>787</v>
      </c>
      <c r="AC66" s="7">
        <f>AE66/3.67</f>
        <v>120391.46321525886</v>
      </c>
      <c r="AD66" s="7">
        <f>AC66/AQ66</f>
        <v>11.617433485984643</v>
      </c>
      <c r="AE66" s="7">
        <f>AF66*AQ66</f>
        <v>441836.67</v>
      </c>
      <c r="AF66" s="46">
        <f>((39.21*3667)+(25.35*1821)+(51.67*4875))/(3667+1821+4875)</f>
        <v>42.635980893563641</v>
      </c>
      <c r="AG66" s="7" t="s">
        <v>789</v>
      </c>
      <c r="AH66" s="7" t="s">
        <v>763</v>
      </c>
      <c r="AI66" s="7" t="s">
        <v>763</v>
      </c>
      <c r="AJ66" s="7" t="s">
        <v>763</v>
      </c>
      <c r="AK66" s="7" t="s">
        <v>763</v>
      </c>
      <c r="AL66" s="7" t="s">
        <v>763</v>
      </c>
      <c r="AM66" s="7" t="s">
        <v>763</v>
      </c>
      <c r="AN66" s="7" t="s">
        <v>763</v>
      </c>
      <c r="AO66" s="7" t="s">
        <v>763</v>
      </c>
      <c r="AP66" s="30" t="s">
        <v>2202</v>
      </c>
      <c r="AQ66" s="30">
        <f>(3667+1821+4875)</f>
        <v>10363</v>
      </c>
      <c r="AR66" s="30" t="s">
        <v>763</v>
      </c>
      <c r="AS66" s="30" t="s">
        <v>2024</v>
      </c>
      <c r="AT66" s="19" t="s">
        <v>763</v>
      </c>
      <c r="AU66" s="19" t="s">
        <v>763</v>
      </c>
    </row>
    <row r="67" spans="1:47" x14ac:dyDescent="0.35">
      <c r="A67">
        <v>84</v>
      </c>
      <c r="B67" s="3">
        <v>66</v>
      </c>
      <c r="C67" t="s">
        <v>660</v>
      </c>
      <c r="D67" t="s">
        <v>1701</v>
      </c>
      <c r="E67" s="7" t="s">
        <v>751</v>
      </c>
      <c r="F67" s="7">
        <v>2017</v>
      </c>
      <c r="G67" s="3" t="s">
        <v>1700</v>
      </c>
      <c r="H67" s="7" t="s">
        <v>753</v>
      </c>
      <c r="I67" s="7" t="s">
        <v>754</v>
      </c>
      <c r="J67" s="3">
        <v>6.6833330000000002</v>
      </c>
      <c r="K67" s="3">
        <v>-1.6166670000000001</v>
      </c>
      <c r="L67" s="33" t="s">
        <v>1554</v>
      </c>
      <c r="M67" s="33">
        <v>2500000</v>
      </c>
      <c r="N67" s="54">
        <v>8000</v>
      </c>
      <c r="O67" s="33" t="s">
        <v>2326</v>
      </c>
      <c r="P67" t="s">
        <v>1325</v>
      </c>
      <c r="Q67" s="3" t="s">
        <v>2335</v>
      </c>
      <c r="R67">
        <v>1250</v>
      </c>
      <c r="S67">
        <v>26.4</v>
      </c>
      <c r="T67" s="3" t="s">
        <v>2081</v>
      </c>
      <c r="U67" t="s">
        <v>2300</v>
      </c>
      <c r="V67" s="19" t="s">
        <v>2352</v>
      </c>
      <c r="W67" s="7" t="s">
        <v>787</v>
      </c>
      <c r="X67" s="3" t="s">
        <v>2349</v>
      </c>
      <c r="Y67" s="7" t="s">
        <v>1988</v>
      </c>
      <c r="Z67" s="7" t="s">
        <v>2026</v>
      </c>
      <c r="AA67" s="3" t="s">
        <v>2165</v>
      </c>
      <c r="AB67" s="7" t="s">
        <v>787</v>
      </c>
      <c r="AC67" s="7" t="s">
        <v>763</v>
      </c>
      <c r="AD67" s="7" t="s">
        <v>763</v>
      </c>
      <c r="AE67" s="7" t="s">
        <v>763</v>
      </c>
      <c r="AF67" s="7" t="s">
        <v>763</v>
      </c>
      <c r="AG67" s="7" t="s">
        <v>768</v>
      </c>
      <c r="AH67" s="8">
        <v>149.33000000000001</v>
      </c>
      <c r="AI67" s="8">
        <f>333390+77645+18294</f>
        <v>429329</v>
      </c>
      <c r="AJ67" s="8">
        <f t="shared" ref="AJ67:AJ74" si="32">AI67*3.67</f>
        <v>1575637.43</v>
      </c>
      <c r="AK67" s="8">
        <f t="shared" ref="AK67:AK76" si="33">AH67*3.67</f>
        <v>548.04110000000003</v>
      </c>
      <c r="AL67" s="46">
        <v>315.05</v>
      </c>
      <c r="AM67" s="7">
        <f t="shared" ref="AM67" si="34">AI67/0.47</f>
        <v>913465.95744680858</v>
      </c>
      <c r="AN67" s="30">
        <f>((255.6 + 94.6 + 41.9)/3)/0.47</f>
        <v>278.08510638297872</v>
      </c>
      <c r="AO67" s="30">
        <f>((36+13.1+ 6.8)/3)/0.47</f>
        <v>39.645390070921984</v>
      </c>
      <c r="AP67" s="33" t="s">
        <v>763</v>
      </c>
      <c r="AQ67" s="52" t="s">
        <v>763</v>
      </c>
      <c r="AR67" s="30" t="s">
        <v>763</v>
      </c>
      <c r="AS67" s="30" t="s">
        <v>763</v>
      </c>
      <c r="AT67" s="30" t="s">
        <v>763</v>
      </c>
      <c r="AU67" s="30" t="s">
        <v>763</v>
      </c>
    </row>
    <row r="68" spans="1:47" x14ac:dyDescent="0.35">
      <c r="A68">
        <v>88</v>
      </c>
      <c r="B68" s="3">
        <v>67</v>
      </c>
      <c r="C68" s="8" t="s">
        <v>697</v>
      </c>
      <c r="D68" s="8" t="s">
        <v>699</v>
      </c>
      <c r="E68" s="7" t="s">
        <v>751</v>
      </c>
      <c r="F68" s="7">
        <v>2020</v>
      </c>
      <c r="G68" s="7" t="s">
        <v>1909</v>
      </c>
      <c r="H68" s="7" t="s">
        <v>753</v>
      </c>
      <c r="I68" s="7" t="s">
        <v>754</v>
      </c>
      <c r="J68" s="3">
        <v>21.15</v>
      </c>
      <c r="K68" s="3">
        <v>79.099999999999994</v>
      </c>
      <c r="L68" s="33" t="s">
        <v>1715</v>
      </c>
      <c r="M68" s="11">
        <v>2405665</v>
      </c>
      <c r="N68" s="11">
        <v>11057</v>
      </c>
      <c r="O68" s="33" t="s">
        <v>2327</v>
      </c>
      <c r="P68" s="8" t="s">
        <v>756</v>
      </c>
      <c r="Q68" s="3" t="s">
        <v>2335</v>
      </c>
      <c r="R68" s="8">
        <v>1162</v>
      </c>
      <c r="S68" s="8">
        <v>29</v>
      </c>
      <c r="T68" s="7" t="s">
        <v>1016</v>
      </c>
      <c r="U68" t="s">
        <v>2297</v>
      </c>
      <c r="V68" s="30" t="s">
        <v>2356</v>
      </c>
      <c r="W68" s="7" t="s">
        <v>787</v>
      </c>
      <c r="X68" s="3" t="s">
        <v>2348</v>
      </c>
      <c r="Y68" s="7" t="s">
        <v>764</v>
      </c>
      <c r="Z68" s="7" t="s">
        <v>2026</v>
      </c>
      <c r="AA68" s="7" t="s">
        <v>766</v>
      </c>
      <c r="AB68" s="7" t="s">
        <v>787</v>
      </c>
      <c r="AC68" s="7" t="s">
        <v>763</v>
      </c>
      <c r="AD68" s="7" t="s">
        <v>763</v>
      </c>
      <c r="AE68" s="7" t="s">
        <v>763</v>
      </c>
      <c r="AF68" s="7" t="s">
        <v>763</v>
      </c>
      <c r="AG68" s="7" t="s">
        <v>768</v>
      </c>
      <c r="AH68" s="7">
        <v>68.16</v>
      </c>
      <c r="AI68" s="7">
        <f>AH68*AQ68</f>
        <v>4.2804479999999998</v>
      </c>
      <c r="AJ68" s="7">
        <f t="shared" si="32"/>
        <v>15.709244159999999</v>
      </c>
      <c r="AK68" s="8">
        <f t="shared" si="33"/>
        <v>250.14719999999997</v>
      </c>
      <c r="AL68" s="7">
        <v>143.5</v>
      </c>
      <c r="AM68" s="7">
        <f>AL68*AQ68</f>
        <v>9.0117999999999991</v>
      </c>
      <c r="AN68" s="7">
        <f>AL68/1.24</f>
        <v>115.72580645161291</v>
      </c>
      <c r="AO68" s="7">
        <f>AN68*0.24</f>
        <v>27.774193548387096</v>
      </c>
      <c r="AP68" s="30" t="s">
        <v>2204</v>
      </c>
      <c r="AQ68" s="30">
        <v>6.2799999999999995E-2</v>
      </c>
      <c r="AR68" s="30" t="s">
        <v>763</v>
      </c>
      <c r="AS68" s="30" t="s">
        <v>2274</v>
      </c>
      <c r="AT68" s="30" t="s">
        <v>763</v>
      </c>
      <c r="AU68" s="30" t="s">
        <v>763</v>
      </c>
    </row>
    <row r="69" spans="1:47" x14ac:dyDescent="0.35">
      <c r="A69">
        <v>91</v>
      </c>
      <c r="B69" s="3">
        <v>68</v>
      </c>
      <c r="C69" s="8" t="s">
        <v>1759</v>
      </c>
      <c r="D69" s="8" t="s">
        <v>1760</v>
      </c>
      <c r="E69" s="7" t="s">
        <v>751</v>
      </c>
      <c r="F69" s="7">
        <v>2016</v>
      </c>
      <c r="G69" s="33" t="s">
        <v>1767</v>
      </c>
      <c r="H69" s="7" t="s">
        <v>795</v>
      </c>
      <c r="I69" s="7" t="s">
        <v>776</v>
      </c>
      <c r="J69" s="3">
        <v>-6.5590339999999996</v>
      </c>
      <c r="K69" s="3">
        <v>106.725227</v>
      </c>
      <c r="L69" s="30" t="s">
        <v>1757</v>
      </c>
      <c r="M69" s="11">
        <v>950334</v>
      </c>
      <c r="N69" s="11">
        <v>8505</v>
      </c>
      <c r="O69" s="33" t="s">
        <v>2327</v>
      </c>
      <c r="P69" s="8" t="s">
        <v>832</v>
      </c>
      <c r="Q69" s="3" t="s">
        <v>2339</v>
      </c>
      <c r="R69" s="8">
        <v>374.3</v>
      </c>
      <c r="S69" s="8">
        <v>25</v>
      </c>
      <c r="T69" s="7" t="s">
        <v>2080</v>
      </c>
      <c r="U69" t="s">
        <v>2300</v>
      </c>
      <c r="V69" s="3" t="s">
        <v>2357</v>
      </c>
      <c r="W69" s="7" t="s">
        <v>762</v>
      </c>
      <c r="X69" s="3" t="s">
        <v>2346</v>
      </c>
      <c r="Y69" s="7" t="s">
        <v>1987</v>
      </c>
      <c r="Z69" s="8" t="s">
        <v>2037</v>
      </c>
      <c r="AA69" s="7" t="s">
        <v>766</v>
      </c>
      <c r="AB69" s="7" t="s">
        <v>787</v>
      </c>
      <c r="AC69" s="7" t="s">
        <v>763</v>
      </c>
      <c r="AD69" s="7" t="s">
        <v>763</v>
      </c>
      <c r="AE69" s="7" t="s">
        <v>763</v>
      </c>
      <c r="AF69" s="7" t="s">
        <v>763</v>
      </c>
      <c r="AG69" s="7" t="s">
        <v>789</v>
      </c>
      <c r="AH69" s="8">
        <v>27.36</v>
      </c>
      <c r="AI69" s="8">
        <f>((1989*21096.98)+(1999*15653.6)+(2009*16771.36)+(2014*7031.57))/(1989+1999+2009+2014)</f>
        <v>15117.798507052805</v>
      </c>
      <c r="AJ69" s="8">
        <f t="shared" si="32"/>
        <v>55482.32052088379</v>
      </c>
      <c r="AK69" s="8">
        <f t="shared" si="33"/>
        <v>100.41119999999999</v>
      </c>
      <c r="AL69" s="33">
        <f t="shared" ref="AL69" si="35">AN69+AO69</f>
        <v>72.192800000000005</v>
      </c>
      <c r="AM69" s="8">
        <f>((1989*44887.19)+(1999* 33305.53)+(2009*35683.74)+(2014*14960.79))/(1989+1999+2009+2014)</f>
        <v>32165.527412308074</v>
      </c>
      <c r="AN69" s="7">
        <v>58.22</v>
      </c>
      <c r="AO69" s="33">
        <f>AN69*0.24</f>
        <v>13.972799999999999</v>
      </c>
      <c r="AP69" s="30" t="s">
        <v>1763</v>
      </c>
      <c r="AQ69" s="30">
        <v>256.97000000000003</v>
      </c>
      <c r="AR69" s="30" t="s">
        <v>763</v>
      </c>
      <c r="AS69" s="30" t="s">
        <v>763</v>
      </c>
      <c r="AT69" s="30" t="s">
        <v>763</v>
      </c>
      <c r="AU69" s="30" t="s">
        <v>763</v>
      </c>
    </row>
    <row r="70" spans="1:47" x14ac:dyDescent="0.35">
      <c r="A70">
        <v>92</v>
      </c>
      <c r="B70" s="7">
        <v>70</v>
      </c>
      <c r="C70" s="8" t="s">
        <v>163</v>
      </c>
      <c r="D70" s="8" t="s">
        <v>165</v>
      </c>
      <c r="E70" s="7" t="s">
        <v>751</v>
      </c>
      <c r="F70" s="7">
        <v>2023</v>
      </c>
      <c r="G70" s="7" t="s">
        <v>763</v>
      </c>
      <c r="H70" s="7" t="s">
        <v>753</v>
      </c>
      <c r="I70" s="7" t="s">
        <v>754</v>
      </c>
      <c r="J70" s="8">
        <v>8.5833329999999997</v>
      </c>
      <c r="K70" s="8">
        <v>124.45</v>
      </c>
      <c r="L70" s="8" t="s">
        <v>1794</v>
      </c>
      <c r="M70" s="11">
        <v>26363</v>
      </c>
      <c r="N70">
        <v>721.1</v>
      </c>
      <c r="O70" s="33" t="s">
        <v>2327</v>
      </c>
      <c r="P70" s="7" t="s">
        <v>1112</v>
      </c>
      <c r="Q70" s="3" t="s">
        <v>2340</v>
      </c>
      <c r="R70" s="7">
        <v>2080</v>
      </c>
      <c r="S70" s="7">
        <v>25.6</v>
      </c>
      <c r="T70" s="7" t="s">
        <v>763</v>
      </c>
      <c r="U70" t="s">
        <v>2303</v>
      </c>
      <c r="V70" s="3" t="s">
        <v>2353</v>
      </c>
      <c r="W70" s="7" t="s">
        <v>914</v>
      </c>
      <c r="X70" s="3" t="s">
        <v>2350</v>
      </c>
      <c r="Y70" s="7" t="s">
        <v>764</v>
      </c>
      <c r="Z70" s="8" t="s">
        <v>2026</v>
      </c>
      <c r="AA70" s="7" t="s">
        <v>766</v>
      </c>
      <c r="AB70" s="7" t="s">
        <v>787</v>
      </c>
      <c r="AC70" s="7" t="s">
        <v>763</v>
      </c>
      <c r="AD70" s="7" t="s">
        <v>763</v>
      </c>
      <c r="AE70" s="7" t="s">
        <v>763</v>
      </c>
      <c r="AF70" s="7" t="s">
        <v>763</v>
      </c>
      <c r="AG70" s="7" t="s">
        <v>789</v>
      </c>
      <c r="AH70" s="7">
        <v>41.76</v>
      </c>
      <c r="AI70" s="7">
        <f>AH70*AQ70</f>
        <v>918.71999999999991</v>
      </c>
      <c r="AJ70" s="7">
        <f t="shared" si="32"/>
        <v>3371.7023999999997</v>
      </c>
      <c r="AK70" s="7">
        <f t="shared" si="33"/>
        <v>153.25919999999999</v>
      </c>
      <c r="AL70" s="7">
        <f>AN70+AO70</f>
        <v>99.485200000000006</v>
      </c>
      <c r="AM70" s="7">
        <f>AI70/0.47</f>
        <v>1954.7234042553191</v>
      </c>
      <c r="AN70" s="7">
        <v>80.23</v>
      </c>
      <c r="AO70" s="7">
        <f>AN70*0.24</f>
        <v>19.255199999999999</v>
      </c>
      <c r="AP70" s="33" t="s">
        <v>763</v>
      </c>
      <c r="AQ70" s="33">
        <v>22</v>
      </c>
      <c r="AR70" s="30">
        <v>33</v>
      </c>
      <c r="AS70" s="33" t="s">
        <v>1118</v>
      </c>
      <c r="AT70" s="33" t="s">
        <v>763</v>
      </c>
      <c r="AU70" s="33" t="s">
        <v>763</v>
      </c>
    </row>
    <row r="71" spans="1:47" x14ac:dyDescent="0.35">
      <c r="A71">
        <v>93</v>
      </c>
      <c r="B71" s="7">
        <v>70</v>
      </c>
      <c r="C71" s="8" t="s">
        <v>163</v>
      </c>
      <c r="D71" s="8" t="s">
        <v>165</v>
      </c>
      <c r="E71" s="7" t="s">
        <v>751</v>
      </c>
      <c r="F71" s="7">
        <v>2023</v>
      </c>
      <c r="G71" s="7" t="s">
        <v>763</v>
      </c>
      <c r="H71" s="7" t="s">
        <v>753</v>
      </c>
      <c r="I71" s="7" t="s">
        <v>754</v>
      </c>
      <c r="J71" s="8">
        <v>8.5714109999999994</v>
      </c>
      <c r="K71" s="8">
        <v>124.4751</v>
      </c>
      <c r="L71" s="8" t="s">
        <v>1795</v>
      </c>
      <c r="M71" s="11">
        <v>32163</v>
      </c>
      <c r="N71">
        <v>274.8</v>
      </c>
      <c r="O71" s="33" t="s">
        <v>2327</v>
      </c>
      <c r="P71" s="7" t="s">
        <v>1112</v>
      </c>
      <c r="Q71" s="3" t="s">
        <v>2340</v>
      </c>
      <c r="R71" s="7">
        <v>2080</v>
      </c>
      <c r="S71" s="7">
        <v>25.7</v>
      </c>
      <c r="T71" s="7" t="s">
        <v>763</v>
      </c>
      <c r="U71" t="s">
        <v>2303</v>
      </c>
      <c r="V71" s="3" t="s">
        <v>2353</v>
      </c>
      <c r="W71" s="7" t="s">
        <v>914</v>
      </c>
      <c r="X71" s="3" t="s">
        <v>2350</v>
      </c>
      <c r="Y71" s="7" t="s">
        <v>764</v>
      </c>
      <c r="Z71" s="8" t="s">
        <v>2026</v>
      </c>
      <c r="AA71" s="7" t="s">
        <v>766</v>
      </c>
      <c r="AB71" s="7" t="s">
        <v>787</v>
      </c>
      <c r="AC71" s="7" t="s">
        <v>763</v>
      </c>
      <c r="AD71" s="7" t="s">
        <v>763</v>
      </c>
      <c r="AE71" s="7" t="s">
        <v>763</v>
      </c>
      <c r="AF71" s="7" t="s">
        <v>763</v>
      </c>
      <c r="AG71" s="7" t="s">
        <v>789</v>
      </c>
      <c r="AH71" s="7">
        <v>135.19999999999999</v>
      </c>
      <c r="AI71" s="7">
        <f>AH71*AQ71</f>
        <v>3379.9999999999995</v>
      </c>
      <c r="AJ71" s="7">
        <f t="shared" si="32"/>
        <v>12404.599999999999</v>
      </c>
      <c r="AK71" s="7">
        <f t="shared" si="33"/>
        <v>496.18399999999997</v>
      </c>
      <c r="AL71" s="7">
        <f t="shared" ref="AL71:AL72" si="36">AN71+AO71</f>
        <v>318.55599999999998</v>
      </c>
      <c r="AM71" s="7">
        <f t="shared" ref="AM71:AM72" si="37">AI71/0.47</f>
        <v>7191.4893617021271</v>
      </c>
      <c r="AN71" s="7">
        <v>256.89999999999998</v>
      </c>
      <c r="AO71" s="7">
        <f t="shared" ref="AO71:AO72" si="38">AN71*0.24</f>
        <v>61.655999999999992</v>
      </c>
      <c r="AP71" s="7" t="s">
        <v>763</v>
      </c>
      <c r="AQ71" s="7">
        <v>25</v>
      </c>
      <c r="AR71" s="8">
        <v>27</v>
      </c>
      <c r="AS71" s="7" t="s">
        <v>1118</v>
      </c>
      <c r="AT71" s="7" t="s">
        <v>763</v>
      </c>
      <c r="AU71" s="7" t="s">
        <v>763</v>
      </c>
    </row>
    <row r="72" spans="1:47" x14ac:dyDescent="0.35">
      <c r="A72">
        <v>94</v>
      </c>
      <c r="B72" s="7">
        <v>70</v>
      </c>
      <c r="C72" s="8" t="s">
        <v>163</v>
      </c>
      <c r="D72" s="8" t="s">
        <v>165</v>
      </c>
      <c r="E72" s="7" t="s">
        <v>751</v>
      </c>
      <c r="F72" s="7">
        <v>2023</v>
      </c>
      <c r="G72" s="7" t="s">
        <v>763</v>
      </c>
      <c r="H72" s="7" t="s">
        <v>753</v>
      </c>
      <c r="I72" s="7" t="s">
        <v>754</v>
      </c>
      <c r="J72" s="8">
        <v>8.5666670000000007</v>
      </c>
      <c r="K72" s="8">
        <v>124.5167</v>
      </c>
      <c r="L72" s="8" t="s">
        <v>1796</v>
      </c>
      <c r="M72" s="11">
        <v>58771</v>
      </c>
      <c r="N72">
        <v>690.4</v>
      </c>
      <c r="O72" s="33" t="s">
        <v>2327</v>
      </c>
      <c r="P72" s="7" t="s">
        <v>1112</v>
      </c>
      <c r="Q72" s="3" t="s">
        <v>2340</v>
      </c>
      <c r="R72" s="7">
        <v>2080</v>
      </c>
      <c r="S72">
        <v>24.6</v>
      </c>
      <c r="T72" s="7" t="s">
        <v>763</v>
      </c>
      <c r="U72" t="s">
        <v>2303</v>
      </c>
      <c r="V72" s="3" t="s">
        <v>2353</v>
      </c>
      <c r="W72" s="7" t="s">
        <v>914</v>
      </c>
      <c r="X72" s="3" t="s">
        <v>2350</v>
      </c>
      <c r="Y72" s="7" t="s">
        <v>764</v>
      </c>
      <c r="Z72" s="8" t="s">
        <v>2026</v>
      </c>
      <c r="AA72" s="7" t="s">
        <v>766</v>
      </c>
      <c r="AB72" s="7" t="s">
        <v>787</v>
      </c>
      <c r="AC72" s="7" t="s">
        <v>763</v>
      </c>
      <c r="AD72" s="7" t="s">
        <v>763</v>
      </c>
      <c r="AE72" s="7" t="s">
        <v>763</v>
      </c>
      <c r="AF72" s="7" t="s">
        <v>763</v>
      </c>
      <c r="AG72" s="7" t="s">
        <v>789</v>
      </c>
      <c r="AH72" s="7">
        <v>43.3</v>
      </c>
      <c r="AI72" s="7">
        <f>AH72*AQ72</f>
        <v>1082.5</v>
      </c>
      <c r="AJ72" s="7">
        <f t="shared" si="32"/>
        <v>3972.7750000000001</v>
      </c>
      <c r="AK72" s="7">
        <f t="shared" si="33"/>
        <v>158.91099999999997</v>
      </c>
      <c r="AL72" s="7">
        <f t="shared" si="36"/>
        <v>101.80399999999999</v>
      </c>
      <c r="AM72" s="7">
        <f t="shared" si="37"/>
        <v>2303.1914893617022</v>
      </c>
      <c r="AN72" s="7">
        <v>82.1</v>
      </c>
      <c r="AO72" s="7">
        <f t="shared" si="38"/>
        <v>19.703999999999997</v>
      </c>
      <c r="AP72" s="7" t="s">
        <v>763</v>
      </c>
      <c r="AQ72" s="7">
        <v>25</v>
      </c>
      <c r="AR72" s="8">
        <v>17</v>
      </c>
      <c r="AS72" s="7" t="s">
        <v>1118</v>
      </c>
      <c r="AT72" s="7" t="s">
        <v>763</v>
      </c>
      <c r="AU72" s="7" t="s">
        <v>763</v>
      </c>
    </row>
    <row r="73" spans="1:47" x14ac:dyDescent="0.35">
      <c r="A73">
        <v>95</v>
      </c>
      <c r="B73" s="7">
        <v>71</v>
      </c>
      <c r="C73" s="8" t="s">
        <v>639</v>
      </c>
      <c r="D73" s="8" t="s">
        <v>1642</v>
      </c>
      <c r="E73" s="7" t="s">
        <v>751</v>
      </c>
      <c r="F73" s="7">
        <v>2020</v>
      </c>
      <c r="G73" s="7" t="s">
        <v>1641</v>
      </c>
      <c r="H73" s="7" t="s">
        <v>753</v>
      </c>
      <c r="I73" s="7" t="s">
        <v>754</v>
      </c>
      <c r="J73" s="8">
        <v>4.7894439999999996</v>
      </c>
      <c r="K73" s="8">
        <v>6.9730559999999997</v>
      </c>
      <c r="L73" s="8" t="s">
        <v>1797</v>
      </c>
      <c r="M73" s="11">
        <v>1148665</v>
      </c>
      <c r="N73">
        <v>13132.9</v>
      </c>
      <c r="O73" s="8" t="s">
        <v>2326</v>
      </c>
      <c r="P73" s="8" t="s">
        <v>823</v>
      </c>
      <c r="Q73" t="s">
        <v>2332</v>
      </c>
      <c r="R73" s="26">
        <v>2708</v>
      </c>
      <c r="S73" s="8">
        <v>26.4</v>
      </c>
      <c r="T73" s="7" t="s">
        <v>2078</v>
      </c>
      <c r="U73" t="s">
        <v>2300</v>
      </c>
      <c r="V73" s="3" t="s">
        <v>2357</v>
      </c>
      <c r="W73" s="7" t="s">
        <v>914</v>
      </c>
      <c r="X73" s="3" t="s">
        <v>2348</v>
      </c>
      <c r="Y73" s="7" t="s">
        <v>764</v>
      </c>
      <c r="Z73" s="7" t="s">
        <v>2039</v>
      </c>
      <c r="AA73" s="7" t="s">
        <v>766</v>
      </c>
      <c r="AB73" s="7" t="s">
        <v>787</v>
      </c>
      <c r="AC73" s="7" t="s">
        <v>763</v>
      </c>
      <c r="AD73" s="7" t="s">
        <v>763</v>
      </c>
      <c r="AE73" s="7" t="s">
        <v>763</v>
      </c>
      <c r="AF73" s="7" t="s">
        <v>763</v>
      </c>
      <c r="AG73" s="7" t="s">
        <v>768</v>
      </c>
      <c r="AH73" s="8">
        <v>136.15</v>
      </c>
      <c r="AI73" s="8">
        <v>67979.08</v>
      </c>
      <c r="AJ73" s="7">
        <f t="shared" si="32"/>
        <v>249483.2236</v>
      </c>
      <c r="AK73" s="7">
        <f t="shared" si="33"/>
        <v>499.6705</v>
      </c>
      <c r="AL73" s="33">
        <f>AM73/AQ73</f>
        <v>289.68983421232963</v>
      </c>
      <c r="AM73" s="33">
        <f xml:space="preserve"> 67979.08/0.47</f>
        <v>144636.34042553193</v>
      </c>
      <c r="AN73" s="33">
        <f>(56649.23/0.47)/AQ73</f>
        <v>241.40818097208921</v>
      </c>
      <c r="AO73" s="33">
        <f>(11329.85/0.47)/AQ73</f>
        <v>48.281653240240423</v>
      </c>
      <c r="AP73" s="7" t="s">
        <v>763</v>
      </c>
      <c r="AQ73" s="8">
        <v>499.28</v>
      </c>
      <c r="AR73" s="8" t="s">
        <v>763</v>
      </c>
      <c r="AS73" s="8" t="s">
        <v>2222</v>
      </c>
      <c r="AT73" s="8">
        <f>746/AQ73</f>
        <v>1.4941515782727128</v>
      </c>
      <c r="AU73" s="8" t="s">
        <v>763</v>
      </c>
    </row>
    <row r="74" spans="1:47" x14ac:dyDescent="0.35">
      <c r="A74">
        <v>96</v>
      </c>
      <c r="B74" s="7">
        <v>71</v>
      </c>
      <c r="C74" s="8" t="s">
        <v>639</v>
      </c>
      <c r="D74" s="8" t="s">
        <v>1642</v>
      </c>
      <c r="E74" s="7" t="s">
        <v>751</v>
      </c>
      <c r="F74" s="7">
        <v>2020</v>
      </c>
      <c r="G74" s="7" t="s">
        <v>1641</v>
      </c>
      <c r="H74" s="7" t="s">
        <v>753</v>
      </c>
      <c r="I74" s="7" t="s">
        <v>754</v>
      </c>
      <c r="J74" s="8">
        <v>8.4991669999999999</v>
      </c>
      <c r="K74" s="8">
        <v>4.5005559999999996</v>
      </c>
      <c r="L74" s="8" t="s">
        <v>1798</v>
      </c>
      <c r="M74" s="11">
        <v>814192</v>
      </c>
      <c r="N74" s="8"/>
      <c r="O74" s="8" t="s">
        <v>2326</v>
      </c>
      <c r="P74" s="8" t="s">
        <v>823</v>
      </c>
      <c r="Q74" s="3" t="s">
        <v>2335</v>
      </c>
      <c r="R74" s="8">
        <v>1217</v>
      </c>
      <c r="S74" s="8">
        <v>27.2</v>
      </c>
      <c r="T74" s="7" t="s">
        <v>2078</v>
      </c>
      <c r="U74" t="s">
        <v>2298</v>
      </c>
      <c r="V74" s="3" t="s">
        <v>2357</v>
      </c>
      <c r="W74" s="7" t="s">
        <v>914</v>
      </c>
      <c r="X74" s="3" t="s">
        <v>2348</v>
      </c>
      <c r="Y74" s="7" t="s">
        <v>764</v>
      </c>
      <c r="Z74" s="7" t="s">
        <v>2039</v>
      </c>
      <c r="AA74" s="7" t="s">
        <v>766</v>
      </c>
      <c r="AB74" s="7" t="s">
        <v>787</v>
      </c>
      <c r="AC74" s="7" t="s">
        <v>763</v>
      </c>
      <c r="AD74" s="7" t="s">
        <v>763</v>
      </c>
      <c r="AE74" s="7" t="s">
        <v>763</v>
      </c>
      <c r="AF74" s="7" t="s">
        <v>763</v>
      </c>
      <c r="AG74" s="7" t="s">
        <v>768</v>
      </c>
      <c r="AH74" s="8">
        <v>7.82</v>
      </c>
      <c r="AI74" s="8">
        <v>91512.49</v>
      </c>
      <c r="AJ74" s="7">
        <f t="shared" si="32"/>
        <v>335850.8383</v>
      </c>
      <c r="AK74" s="7">
        <f t="shared" si="33"/>
        <v>28.699400000000001</v>
      </c>
      <c r="AL74" s="33">
        <f>AM74/AQ74</f>
        <v>83.176310620665092</v>
      </c>
      <c r="AM74" s="33">
        <f xml:space="preserve"> 91512.49/0.47</f>
        <v>194707.42553191492</v>
      </c>
      <c r="AN74" s="33">
        <f>(76260.41/0.47)/AQ74</f>
        <v>69.313593698731992</v>
      </c>
      <c r="AO74" s="33">
        <f>(15252.08/0.47)/AQ74</f>
        <v>13.862716921933099</v>
      </c>
      <c r="AP74" s="7" t="s">
        <v>763</v>
      </c>
      <c r="AQ74" s="8">
        <v>2340.9</v>
      </c>
      <c r="AR74" s="8" t="s">
        <v>763</v>
      </c>
      <c r="AS74" s="8" t="s">
        <v>2242</v>
      </c>
      <c r="AT74" s="8">
        <f>556/AQ74</f>
        <v>0.23751548549703105</v>
      </c>
      <c r="AU74" s="8" t="s">
        <v>763</v>
      </c>
    </row>
    <row r="75" spans="1:47" x14ac:dyDescent="0.35">
      <c r="A75">
        <v>97</v>
      </c>
      <c r="B75" s="7">
        <v>72</v>
      </c>
      <c r="C75" s="8" t="s">
        <v>707</v>
      </c>
      <c r="D75" s="8" t="s">
        <v>709</v>
      </c>
      <c r="E75" s="7" t="s">
        <v>751</v>
      </c>
      <c r="F75" s="7">
        <v>2019</v>
      </c>
      <c r="G75" s="7" t="s">
        <v>763</v>
      </c>
      <c r="H75" s="7" t="s">
        <v>753</v>
      </c>
      <c r="I75" s="7" t="s">
        <v>754</v>
      </c>
      <c r="J75" s="8">
        <v>13.583333</v>
      </c>
      <c r="K75" s="8">
        <v>2.25</v>
      </c>
      <c r="L75" s="8" t="s">
        <v>1799</v>
      </c>
      <c r="M75" s="11">
        <v>1324700</v>
      </c>
      <c r="N75" s="11">
        <v>1977</v>
      </c>
      <c r="O75" s="8" t="s">
        <v>2326</v>
      </c>
      <c r="P75" s="8" t="s">
        <v>1729</v>
      </c>
      <c r="Q75" s="3" t="s">
        <v>2336</v>
      </c>
      <c r="R75" s="8">
        <v>340</v>
      </c>
      <c r="S75">
        <v>29.1</v>
      </c>
      <c r="T75" s="7" t="s">
        <v>763</v>
      </c>
      <c r="U75" t="s">
        <v>2298</v>
      </c>
      <c r="V75" s="19" t="s">
        <v>2354</v>
      </c>
      <c r="W75" s="7" t="s">
        <v>914</v>
      </c>
      <c r="X75" s="3" t="s">
        <v>2346</v>
      </c>
      <c r="Y75" s="7" t="s">
        <v>764</v>
      </c>
      <c r="Z75" s="7" t="s">
        <v>2026</v>
      </c>
      <c r="AA75" s="7" t="s">
        <v>766</v>
      </c>
      <c r="AB75" s="7" t="s">
        <v>787</v>
      </c>
      <c r="AC75" s="7" t="s">
        <v>763</v>
      </c>
      <c r="AD75" s="7" t="s">
        <v>763</v>
      </c>
      <c r="AE75" s="7" t="s">
        <v>763</v>
      </c>
      <c r="AF75" s="7" t="s">
        <v>763</v>
      </c>
      <c r="AG75" s="7" t="s">
        <v>768</v>
      </c>
      <c r="AH75" s="8">
        <v>17.809999999999999</v>
      </c>
      <c r="AI75" s="8" t="s">
        <v>763</v>
      </c>
      <c r="AJ75" s="7" t="s">
        <v>763</v>
      </c>
      <c r="AK75" s="7">
        <f t="shared" si="33"/>
        <v>65.36269999999999</v>
      </c>
      <c r="AL75" s="8">
        <f>AN75+AO75</f>
        <v>37.596800000000002</v>
      </c>
      <c r="AM75" s="8" t="s">
        <v>763</v>
      </c>
      <c r="AN75" s="8">
        <v>30.32</v>
      </c>
      <c r="AO75" s="8">
        <f>AN75*0.24</f>
        <v>7.2767999999999997</v>
      </c>
      <c r="AP75" s="7" t="s">
        <v>763</v>
      </c>
      <c r="AQ75" s="8" t="s">
        <v>763</v>
      </c>
      <c r="AR75" s="8" t="s">
        <v>763</v>
      </c>
      <c r="AS75" t="s">
        <v>2243</v>
      </c>
      <c r="AT75" s="8" t="s">
        <v>763</v>
      </c>
      <c r="AU75" s="8" t="s">
        <v>763</v>
      </c>
    </row>
    <row r="76" spans="1:47" x14ac:dyDescent="0.35">
      <c r="A76">
        <v>99</v>
      </c>
      <c r="B76" s="7">
        <v>72</v>
      </c>
      <c r="C76" s="8" t="s">
        <v>707</v>
      </c>
      <c r="D76" s="8" t="s">
        <v>709</v>
      </c>
      <c r="E76" s="7" t="s">
        <v>751</v>
      </c>
      <c r="F76" s="7">
        <v>2019</v>
      </c>
      <c r="G76" s="7" t="s">
        <v>763</v>
      </c>
      <c r="H76" s="7" t="s">
        <v>753</v>
      </c>
      <c r="I76" s="7" t="s">
        <v>754</v>
      </c>
      <c r="J76" s="8">
        <v>13.533333000000001</v>
      </c>
      <c r="K76" s="8">
        <v>7.6666670000000003</v>
      </c>
      <c r="L76" s="8" t="s">
        <v>1800</v>
      </c>
      <c r="M76" s="11">
        <v>267249</v>
      </c>
      <c r="N76" s="11">
        <v>3613</v>
      </c>
      <c r="O76" s="8" t="s">
        <v>2326</v>
      </c>
      <c r="P76" s="8" t="s">
        <v>1729</v>
      </c>
      <c r="Q76" s="3" t="s">
        <v>2336</v>
      </c>
      <c r="R76" s="8">
        <v>340</v>
      </c>
      <c r="S76">
        <v>27.8</v>
      </c>
      <c r="T76" s="7" t="s">
        <v>763</v>
      </c>
      <c r="U76" t="s">
        <v>2298</v>
      </c>
      <c r="V76" s="19" t="s">
        <v>2354</v>
      </c>
      <c r="W76" s="7" t="s">
        <v>914</v>
      </c>
      <c r="X76" s="3" t="s">
        <v>2346</v>
      </c>
      <c r="Y76" s="7" t="s">
        <v>764</v>
      </c>
      <c r="Z76" s="7" t="s">
        <v>2026</v>
      </c>
      <c r="AA76" s="7" t="s">
        <v>766</v>
      </c>
      <c r="AB76" s="7" t="s">
        <v>787</v>
      </c>
      <c r="AC76" s="7" t="s">
        <v>763</v>
      </c>
      <c r="AD76" s="7" t="s">
        <v>763</v>
      </c>
      <c r="AE76" s="7" t="s">
        <v>763</v>
      </c>
      <c r="AF76" s="7" t="s">
        <v>763</v>
      </c>
      <c r="AG76" s="7" t="s">
        <v>768</v>
      </c>
      <c r="AH76" s="7">
        <f>24.61/2</f>
        <v>12.305</v>
      </c>
      <c r="AI76" s="7" t="s">
        <v>763</v>
      </c>
      <c r="AJ76" s="7" t="s">
        <v>763</v>
      </c>
      <c r="AK76" s="7">
        <f t="shared" si="33"/>
        <v>45.159349999999996</v>
      </c>
      <c r="AL76" s="7">
        <f>AN76+AO76</f>
        <v>25.959399999999999</v>
      </c>
      <c r="AM76" s="7" t="s">
        <v>763</v>
      </c>
      <c r="AN76" s="7">
        <f>41.87/2</f>
        <v>20.934999999999999</v>
      </c>
      <c r="AO76" s="8">
        <f>AN76*0.24</f>
        <v>5.0243999999999991</v>
      </c>
      <c r="AP76" s="7" t="s">
        <v>763</v>
      </c>
      <c r="AQ76" s="8" t="s">
        <v>763</v>
      </c>
      <c r="AR76" s="8" t="s">
        <v>763</v>
      </c>
      <c r="AS76" t="s">
        <v>2243</v>
      </c>
      <c r="AT76" s="8" t="s">
        <v>763</v>
      </c>
      <c r="AU76" s="8" t="s">
        <v>763</v>
      </c>
    </row>
    <row r="77" spans="1:47" x14ac:dyDescent="0.35">
      <c r="A77">
        <v>101</v>
      </c>
      <c r="B77" s="3">
        <v>69</v>
      </c>
      <c r="C77" t="s">
        <v>712</v>
      </c>
      <c r="D77" t="s">
        <v>714</v>
      </c>
      <c r="E77" s="7" t="s">
        <v>751</v>
      </c>
      <c r="F77" s="7">
        <v>2025</v>
      </c>
      <c r="G77" s="7" t="s">
        <v>1742</v>
      </c>
      <c r="H77" s="7" t="s">
        <v>795</v>
      </c>
      <c r="I77" s="7" t="s">
        <v>776</v>
      </c>
      <c r="J77">
        <v>-10.9095</v>
      </c>
      <c r="K77">
        <v>-37.074800000000003</v>
      </c>
      <c r="L77" t="s">
        <v>1801</v>
      </c>
      <c r="M77" s="11">
        <v>602757</v>
      </c>
      <c r="N77" s="11">
        <v>3309</v>
      </c>
      <c r="O77" t="s">
        <v>2325</v>
      </c>
      <c r="P77" s="8" t="s">
        <v>846</v>
      </c>
      <c r="Q77" t="s">
        <v>2332</v>
      </c>
      <c r="R77" s="3">
        <v>1222</v>
      </c>
      <c r="S77" s="3">
        <v>24.5</v>
      </c>
      <c r="T77" s="3" t="s">
        <v>763</v>
      </c>
      <c r="U77" t="s">
        <v>2303</v>
      </c>
      <c r="V77" s="3" t="s">
        <v>2357</v>
      </c>
      <c r="W77" s="3" t="s">
        <v>914</v>
      </c>
      <c r="X77" s="3" t="s">
        <v>2348</v>
      </c>
      <c r="Y77" s="7" t="s">
        <v>1745</v>
      </c>
      <c r="Z77" s="7" t="s">
        <v>1744</v>
      </c>
      <c r="AA77" s="7" t="s">
        <v>2165</v>
      </c>
      <c r="AB77" s="7" t="s">
        <v>787</v>
      </c>
      <c r="AC77" s="8">
        <v>5320</v>
      </c>
      <c r="AD77" s="8">
        <f t="shared" ref="AD77:AD91" si="39">AC77/AQ77</f>
        <v>0.62906468014662409</v>
      </c>
      <c r="AE77" s="7">
        <v>19500</v>
      </c>
      <c r="AF77" s="7">
        <f t="shared" ref="AF77:AF91" si="40">AE77/AQ77</f>
        <v>2.3057821922667614</v>
      </c>
      <c r="AG77" s="7" t="s">
        <v>768</v>
      </c>
      <c r="AH77" s="8">
        <f t="shared" ref="AH77:AH91" si="41">AI77/AQ77</f>
        <v>12.989239683102754</v>
      </c>
      <c r="AI77" s="8">
        <v>109850</v>
      </c>
      <c r="AJ77" s="8">
        <v>402780</v>
      </c>
      <c r="AK77" s="8">
        <f t="shared" ref="AK77:AK91" si="42">AJ77/AQ77</f>
        <v>47.626818020574675</v>
      </c>
      <c r="AL77" s="8">
        <f t="shared" ref="AL77:AM91" si="43">AH77/0.47</f>
        <v>27.636680176814373</v>
      </c>
      <c r="AM77" s="8">
        <f t="shared" si="43"/>
        <v>233723.40425531915</v>
      </c>
      <c r="AN77" s="7">
        <f>AL77/1.24</f>
        <v>22.287645303882559</v>
      </c>
      <c r="AO77" s="7">
        <f>AN77*0.24</f>
        <v>5.3490348729318145</v>
      </c>
      <c r="AP77" s="7" t="s">
        <v>763</v>
      </c>
      <c r="AQ77">
        <v>8457</v>
      </c>
      <c r="AR77" s="8" t="s">
        <v>763</v>
      </c>
      <c r="AS77" s="8" t="s">
        <v>763</v>
      </c>
      <c r="AT77" s="8" t="s">
        <v>763</v>
      </c>
      <c r="AU77" s="8" t="s">
        <v>763</v>
      </c>
    </row>
    <row r="78" spans="1:47" x14ac:dyDescent="0.35">
      <c r="A78">
        <v>102</v>
      </c>
      <c r="B78" s="3">
        <v>69</v>
      </c>
      <c r="C78" t="s">
        <v>712</v>
      </c>
      <c r="D78" t="s">
        <v>714</v>
      </c>
      <c r="E78" s="7" t="s">
        <v>751</v>
      </c>
      <c r="F78" s="7">
        <v>2025</v>
      </c>
      <c r="G78" s="7" t="s">
        <v>1742</v>
      </c>
      <c r="H78" s="7" t="s">
        <v>795</v>
      </c>
      <c r="I78" s="7" t="s">
        <v>776</v>
      </c>
      <c r="J78">
        <v>-19.916699999999999</v>
      </c>
      <c r="K78">
        <v>-43.933300000000003</v>
      </c>
      <c r="L78" t="s">
        <v>1802</v>
      </c>
      <c r="M78" s="11">
        <v>2315560</v>
      </c>
      <c r="N78">
        <v>6988</v>
      </c>
      <c r="O78" t="s">
        <v>2325</v>
      </c>
      <c r="P78" s="8" t="s">
        <v>846</v>
      </c>
      <c r="Q78" s="3" t="s">
        <v>2333</v>
      </c>
      <c r="R78" s="3">
        <v>1205</v>
      </c>
      <c r="S78" s="3">
        <v>20.8</v>
      </c>
      <c r="T78" s="3" t="s">
        <v>763</v>
      </c>
      <c r="U78" t="s">
        <v>2300</v>
      </c>
      <c r="V78" s="3" t="s">
        <v>2357</v>
      </c>
      <c r="W78" s="3" t="s">
        <v>914</v>
      </c>
      <c r="X78" s="3" t="s">
        <v>2348</v>
      </c>
      <c r="Y78" s="7" t="s">
        <v>1745</v>
      </c>
      <c r="Z78" s="7" t="s">
        <v>1744</v>
      </c>
      <c r="AA78" s="7" t="s">
        <v>2165</v>
      </c>
      <c r="AB78" s="7" t="s">
        <v>787</v>
      </c>
      <c r="AC78" s="8">
        <v>17200</v>
      </c>
      <c r="AD78" s="8">
        <f t="shared" si="39"/>
        <v>0.6276455991826011</v>
      </c>
      <c r="AE78" s="7">
        <v>63060</v>
      </c>
      <c r="AF78" s="7">
        <f t="shared" si="40"/>
        <v>2.3011239235148153</v>
      </c>
      <c r="AG78" s="7" t="s">
        <v>768</v>
      </c>
      <c r="AH78" s="8">
        <f t="shared" si="41"/>
        <v>12.964165815209459</v>
      </c>
      <c r="AI78" s="8">
        <v>355270</v>
      </c>
      <c r="AJ78" s="8">
        <v>1302640</v>
      </c>
      <c r="AK78" s="8">
        <f t="shared" si="42"/>
        <v>47.534666472047874</v>
      </c>
      <c r="AL78" s="8">
        <f t="shared" si="43"/>
        <v>27.583331521722254</v>
      </c>
      <c r="AM78" s="8">
        <f t="shared" si="43"/>
        <v>755893.61702127662</v>
      </c>
      <c r="AN78" s="7">
        <f t="shared" ref="AN78:AN91" si="44">AL78/1.24</f>
        <v>22.244622194937303</v>
      </c>
      <c r="AO78" s="7">
        <f t="shared" ref="AO78:AO91" si="45">AN78*0.24</f>
        <v>5.3387093267849526</v>
      </c>
      <c r="AP78" s="7" t="s">
        <v>763</v>
      </c>
      <c r="AQ78">
        <v>27404</v>
      </c>
      <c r="AR78" s="8" t="s">
        <v>763</v>
      </c>
      <c r="AS78" s="8" t="s">
        <v>763</v>
      </c>
      <c r="AT78" s="8" t="s">
        <v>763</v>
      </c>
      <c r="AU78" s="8" t="s">
        <v>763</v>
      </c>
    </row>
    <row r="79" spans="1:47" x14ac:dyDescent="0.35">
      <c r="A79">
        <v>103</v>
      </c>
      <c r="B79" s="3">
        <v>69</v>
      </c>
      <c r="C79" t="s">
        <v>712</v>
      </c>
      <c r="D79" t="s">
        <v>714</v>
      </c>
      <c r="E79" s="7" t="s">
        <v>751</v>
      </c>
      <c r="F79" s="7">
        <v>2025</v>
      </c>
      <c r="G79" s="7" t="s">
        <v>1742</v>
      </c>
      <c r="H79" s="7" t="s">
        <v>795</v>
      </c>
      <c r="I79" s="7" t="s">
        <v>776</v>
      </c>
      <c r="J79">
        <v>-12.697800000000001</v>
      </c>
      <c r="K79">
        <v>-38.324199999999998</v>
      </c>
      <c r="L79" t="s">
        <v>1803</v>
      </c>
      <c r="M79" s="11">
        <v>300372</v>
      </c>
      <c r="N79">
        <v>382.4</v>
      </c>
      <c r="O79" t="s">
        <v>2325</v>
      </c>
      <c r="P79" s="8" t="s">
        <v>846</v>
      </c>
      <c r="Q79" s="3" t="s">
        <v>2335</v>
      </c>
      <c r="R79">
        <v>919</v>
      </c>
      <c r="S79" s="3">
        <v>25.4</v>
      </c>
      <c r="T79" s="3" t="s">
        <v>763</v>
      </c>
      <c r="U79" t="s">
        <v>2300</v>
      </c>
      <c r="V79" s="3" t="s">
        <v>2357</v>
      </c>
      <c r="W79" s="3" t="s">
        <v>914</v>
      </c>
      <c r="X79" s="3" t="s">
        <v>2348</v>
      </c>
      <c r="Y79" s="7" t="s">
        <v>1745</v>
      </c>
      <c r="Z79" s="7" t="s">
        <v>1744</v>
      </c>
      <c r="AA79" s="7" t="s">
        <v>2165</v>
      </c>
      <c r="AB79" s="7" t="s">
        <v>787</v>
      </c>
      <c r="AC79" s="8">
        <v>21210</v>
      </c>
      <c r="AD79" s="8">
        <f t="shared" si="39"/>
        <v>2.070682417260568</v>
      </c>
      <c r="AE79" s="7">
        <v>77790</v>
      </c>
      <c r="AF79" s="7">
        <f t="shared" si="40"/>
        <v>7.5944547495850827</v>
      </c>
      <c r="AG79" s="7" t="s">
        <v>768</v>
      </c>
      <c r="AH79" s="8">
        <f t="shared" si="41"/>
        <v>42.785316801718245</v>
      </c>
      <c r="AI79" s="8">
        <v>438250</v>
      </c>
      <c r="AJ79" s="8">
        <v>1606900</v>
      </c>
      <c r="AK79" s="8">
        <f t="shared" si="42"/>
        <v>156.8778678121644</v>
      </c>
      <c r="AL79" s="8">
        <f t="shared" si="43"/>
        <v>91.032588939826056</v>
      </c>
      <c r="AM79" s="8">
        <f t="shared" si="43"/>
        <v>932446.80851063831</v>
      </c>
      <c r="AN79" s="7">
        <f t="shared" si="44"/>
        <v>73.413378177279071</v>
      </c>
      <c r="AO79" s="7">
        <f t="shared" si="45"/>
        <v>17.619210762546977</v>
      </c>
      <c r="AP79" s="7" t="s">
        <v>763</v>
      </c>
      <c r="AQ79">
        <v>10243</v>
      </c>
      <c r="AR79" s="8" t="s">
        <v>763</v>
      </c>
      <c r="AS79" s="8" t="s">
        <v>763</v>
      </c>
      <c r="AT79" s="8" t="s">
        <v>763</v>
      </c>
      <c r="AU79" s="8" t="s">
        <v>763</v>
      </c>
    </row>
    <row r="80" spans="1:47" x14ac:dyDescent="0.35">
      <c r="A80">
        <v>104</v>
      </c>
      <c r="B80" s="3">
        <v>69</v>
      </c>
      <c r="C80" t="s">
        <v>712</v>
      </c>
      <c r="D80" t="s">
        <v>714</v>
      </c>
      <c r="E80" s="7" t="s">
        <v>751</v>
      </c>
      <c r="F80" s="7">
        <v>2025</v>
      </c>
      <c r="G80" s="7" t="s">
        <v>1742</v>
      </c>
      <c r="H80" s="7" t="s">
        <v>795</v>
      </c>
      <c r="I80" s="7" t="s">
        <v>776</v>
      </c>
      <c r="J80">
        <v>-21.752199999999998</v>
      </c>
      <c r="K80">
        <v>-41.324399999999997</v>
      </c>
      <c r="L80" t="s">
        <v>1804</v>
      </c>
      <c r="M80" s="11">
        <v>483540</v>
      </c>
      <c r="N80">
        <v>119.9</v>
      </c>
      <c r="O80" t="s">
        <v>2325</v>
      </c>
      <c r="P80" s="8" t="s">
        <v>846</v>
      </c>
      <c r="Q80" s="3" t="s">
        <v>2335</v>
      </c>
      <c r="R80" s="3">
        <v>1112</v>
      </c>
      <c r="S80">
        <v>23.9</v>
      </c>
      <c r="T80" s="3" t="s">
        <v>763</v>
      </c>
      <c r="U80" t="s">
        <v>2300</v>
      </c>
      <c r="V80" s="3" t="s">
        <v>2357</v>
      </c>
      <c r="W80" s="3" t="s">
        <v>914</v>
      </c>
      <c r="X80" s="3" t="s">
        <v>2348</v>
      </c>
      <c r="Y80" s="7" t="s">
        <v>1745</v>
      </c>
      <c r="Z80" s="7" t="s">
        <v>1744</v>
      </c>
      <c r="AA80" s="7" t="s">
        <v>2165</v>
      </c>
      <c r="AB80" s="7" t="s">
        <v>787</v>
      </c>
      <c r="AC80" s="8">
        <v>10630</v>
      </c>
      <c r="AD80" s="8">
        <f t="shared" si="39"/>
        <v>1.1169486182620574</v>
      </c>
      <c r="AE80" s="7">
        <v>38970</v>
      </c>
      <c r="AF80" s="7">
        <f t="shared" si="40"/>
        <v>4.0947777661027631</v>
      </c>
      <c r="AG80" s="7" t="s">
        <v>768</v>
      </c>
      <c r="AH80" s="8">
        <f t="shared" si="41"/>
        <v>23.068193758537355</v>
      </c>
      <c r="AI80" s="8">
        <v>219540</v>
      </c>
      <c r="AJ80" s="8">
        <v>804990</v>
      </c>
      <c r="AK80" s="8">
        <f t="shared" si="42"/>
        <v>84.584427865924141</v>
      </c>
      <c r="AL80" s="8">
        <f t="shared" si="43"/>
        <v>49.081263316036924</v>
      </c>
      <c r="AM80" s="8">
        <f t="shared" si="43"/>
        <v>467106.38297872344</v>
      </c>
      <c r="AN80" s="7">
        <f t="shared" si="44"/>
        <v>39.581663964545911</v>
      </c>
      <c r="AO80" s="7">
        <f t="shared" si="45"/>
        <v>9.4995993514910175</v>
      </c>
      <c r="AP80" s="7" t="s">
        <v>763</v>
      </c>
      <c r="AQ80" s="8">
        <v>9517</v>
      </c>
      <c r="AR80" s="8" t="s">
        <v>763</v>
      </c>
      <c r="AS80" s="8" t="s">
        <v>763</v>
      </c>
      <c r="AT80" s="8" t="s">
        <v>763</v>
      </c>
      <c r="AU80" s="8" t="s">
        <v>763</v>
      </c>
    </row>
    <row r="81" spans="1:47" x14ac:dyDescent="0.35">
      <c r="A81">
        <v>105</v>
      </c>
      <c r="B81" s="3">
        <v>69</v>
      </c>
      <c r="C81" t="s">
        <v>712</v>
      </c>
      <c r="D81" t="s">
        <v>714</v>
      </c>
      <c r="E81" s="7" t="s">
        <v>751</v>
      </c>
      <c r="F81" s="7">
        <v>2025</v>
      </c>
      <c r="G81" s="7" t="s">
        <v>1742</v>
      </c>
      <c r="H81" s="7" t="s">
        <v>795</v>
      </c>
      <c r="I81" s="7" t="s">
        <v>776</v>
      </c>
      <c r="J81">
        <v>-22.785799999999998</v>
      </c>
      <c r="K81">
        <v>-43.309699999999999</v>
      </c>
      <c r="L81" t="s">
        <v>1805</v>
      </c>
      <c r="M81" s="11">
        <v>808161</v>
      </c>
      <c r="N81" s="11">
        <v>1729</v>
      </c>
      <c r="O81" t="s">
        <v>2325</v>
      </c>
      <c r="P81" s="8" t="s">
        <v>846</v>
      </c>
      <c r="Q81" s="3" t="s">
        <v>2339</v>
      </c>
      <c r="R81" s="3">
        <v>1704</v>
      </c>
      <c r="S81">
        <v>23.4</v>
      </c>
      <c r="T81" s="3" t="s">
        <v>763</v>
      </c>
      <c r="U81" t="s">
        <v>2300</v>
      </c>
      <c r="V81" s="3" t="s">
        <v>2357</v>
      </c>
      <c r="W81" s="3" t="s">
        <v>914</v>
      </c>
      <c r="X81" s="3" t="s">
        <v>2348</v>
      </c>
      <c r="Y81" s="7" t="s">
        <v>1745</v>
      </c>
      <c r="Z81" s="7" t="s">
        <v>1744</v>
      </c>
      <c r="AA81" s="7" t="s">
        <v>2165</v>
      </c>
      <c r="AB81" s="7" t="s">
        <v>787</v>
      </c>
      <c r="AC81" s="8">
        <v>12730</v>
      </c>
      <c r="AD81" s="8">
        <f t="shared" si="39"/>
        <v>0.91794058263628497</v>
      </c>
      <c r="AE81" s="7">
        <v>48680</v>
      </c>
      <c r="AF81" s="7">
        <f t="shared" si="40"/>
        <v>3.5102394000576869</v>
      </c>
      <c r="AG81" s="7" t="s">
        <v>768</v>
      </c>
      <c r="AH81" s="8">
        <f t="shared" si="41"/>
        <v>18.965243726564754</v>
      </c>
      <c r="AI81" s="8">
        <v>263010</v>
      </c>
      <c r="AJ81" s="8">
        <v>964370</v>
      </c>
      <c r="AK81" s="8">
        <f t="shared" si="42"/>
        <v>69.5392269974041</v>
      </c>
      <c r="AL81" s="8">
        <f t="shared" si="43"/>
        <v>40.351582396946284</v>
      </c>
      <c r="AM81" s="8">
        <f t="shared" si="43"/>
        <v>559595.74468085112</v>
      </c>
      <c r="AN81" s="7">
        <f t="shared" si="44"/>
        <v>32.541598707214746</v>
      </c>
      <c r="AO81" s="7">
        <f t="shared" si="45"/>
        <v>7.8099836897315384</v>
      </c>
      <c r="AP81" s="7" t="s">
        <v>763</v>
      </c>
      <c r="AQ81" s="8">
        <v>13868</v>
      </c>
      <c r="AR81" s="8" t="s">
        <v>763</v>
      </c>
      <c r="AS81" s="8" t="s">
        <v>763</v>
      </c>
      <c r="AT81" s="8" t="s">
        <v>763</v>
      </c>
      <c r="AU81" s="8" t="s">
        <v>763</v>
      </c>
    </row>
    <row r="82" spans="1:47" x14ac:dyDescent="0.35">
      <c r="A82">
        <v>106</v>
      </c>
      <c r="B82" s="3">
        <v>69</v>
      </c>
      <c r="C82" t="s">
        <v>712</v>
      </c>
      <c r="D82" t="s">
        <v>714</v>
      </c>
      <c r="E82" s="7" t="s">
        <v>751</v>
      </c>
      <c r="F82" s="7">
        <v>2025</v>
      </c>
      <c r="G82" s="7" t="s">
        <v>1742</v>
      </c>
      <c r="H82" s="7" t="s">
        <v>795</v>
      </c>
      <c r="I82" s="7" t="s">
        <v>776</v>
      </c>
      <c r="J82">
        <v>-12.2669</v>
      </c>
      <c r="K82">
        <v>-38.966900000000003</v>
      </c>
      <c r="L82" t="s">
        <v>1806</v>
      </c>
      <c r="M82" s="11">
        <v>616272</v>
      </c>
      <c r="N82">
        <v>472.4</v>
      </c>
      <c r="O82" t="s">
        <v>2325</v>
      </c>
      <c r="P82" s="8" t="s">
        <v>846</v>
      </c>
      <c r="Q82" s="3" t="s">
        <v>2335</v>
      </c>
      <c r="R82">
        <v>692</v>
      </c>
      <c r="S82" s="3">
        <v>24.5</v>
      </c>
      <c r="T82" s="3" t="s">
        <v>763</v>
      </c>
      <c r="U82" t="s">
        <v>2300</v>
      </c>
      <c r="V82" s="3" t="s">
        <v>2357</v>
      </c>
      <c r="W82" s="3" t="s">
        <v>914</v>
      </c>
      <c r="X82" s="3" t="s">
        <v>2348</v>
      </c>
      <c r="Y82" s="7" t="s">
        <v>1745</v>
      </c>
      <c r="Z82" s="7" t="s">
        <v>1744</v>
      </c>
      <c r="AA82" s="7" t="s">
        <v>2165</v>
      </c>
      <c r="AB82" s="7" t="s">
        <v>787</v>
      </c>
      <c r="AC82" s="8">
        <v>8590</v>
      </c>
      <c r="AD82" s="8">
        <f t="shared" si="39"/>
        <v>0.60006985679357316</v>
      </c>
      <c r="AE82" s="7">
        <v>31490</v>
      </c>
      <c r="AF82" s="7">
        <f t="shared" si="40"/>
        <v>2.1997904296192803</v>
      </c>
      <c r="AG82" s="7" t="s">
        <v>768</v>
      </c>
      <c r="AH82" s="8">
        <f t="shared" si="41"/>
        <v>12.391896611945512</v>
      </c>
      <c r="AI82" s="8">
        <v>177390</v>
      </c>
      <c r="AJ82" s="8">
        <v>650450</v>
      </c>
      <c r="AK82" s="8">
        <f t="shared" si="42"/>
        <v>45.438351379671673</v>
      </c>
      <c r="AL82" s="8">
        <f t="shared" si="43"/>
        <v>26.365737472224495</v>
      </c>
      <c r="AM82" s="8">
        <f t="shared" si="43"/>
        <v>377425.53191489365</v>
      </c>
      <c r="AN82" s="7">
        <f t="shared" si="44"/>
        <v>21.262691509858463</v>
      </c>
      <c r="AO82" s="7">
        <f t="shared" si="45"/>
        <v>5.1030459623660311</v>
      </c>
      <c r="AP82" s="7" t="s">
        <v>763</v>
      </c>
      <c r="AQ82">
        <v>14315</v>
      </c>
      <c r="AR82" s="8" t="s">
        <v>763</v>
      </c>
      <c r="AS82" s="8" t="s">
        <v>763</v>
      </c>
      <c r="AT82" s="8" t="s">
        <v>763</v>
      </c>
      <c r="AU82" s="8" t="s">
        <v>763</v>
      </c>
    </row>
    <row r="83" spans="1:47" x14ac:dyDescent="0.35">
      <c r="A83">
        <v>107</v>
      </c>
      <c r="B83" s="3">
        <v>69</v>
      </c>
      <c r="C83" t="s">
        <v>712</v>
      </c>
      <c r="D83" t="s">
        <v>714</v>
      </c>
      <c r="E83" s="7" t="s">
        <v>751</v>
      </c>
      <c r="F83" s="7">
        <v>2025</v>
      </c>
      <c r="G83" s="7" t="s">
        <v>1742</v>
      </c>
      <c r="H83" s="7" t="s">
        <v>795</v>
      </c>
      <c r="I83" s="7" t="s">
        <v>776</v>
      </c>
      <c r="J83">
        <v>-14.7889</v>
      </c>
      <c r="K83">
        <v>-39.049399999999999</v>
      </c>
      <c r="L83" t="s">
        <v>1807</v>
      </c>
      <c r="M83" s="11">
        <v>178649</v>
      </c>
      <c r="N83">
        <v>112.5</v>
      </c>
      <c r="O83" t="s">
        <v>2325</v>
      </c>
      <c r="P83" s="8" t="s">
        <v>846</v>
      </c>
      <c r="Q83" s="3" t="s">
        <v>2340</v>
      </c>
      <c r="R83" s="3">
        <v>1325</v>
      </c>
      <c r="S83" s="3">
        <v>23.9</v>
      </c>
      <c r="T83" s="3" t="s">
        <v>763</v>
      </c>
      <c r="U83" t="s">
        <v>2300</v>
      </c>
      <c r="V83" s="3" t="s">
        <v>2357</v>
      </c>
      <c r="W83" s="3" t="s">
        <v>914</v>
      </c>
      <c r="X83" s="3" t="s">
        <v>2348</v>
      </c>
      <c r="Y83" s="7" t="s">
        <v>1745</v>
      </c>
      <c r="Z83" s="7" t="s">
        <v>1744</v>
      </c>
      <c r="AA83" s="7" t="s">
        <v>2165</v>
      </c>
      <c r="AB83" s="7" t="s">
        <v>787</v>
      </c>
      <c r="AC83" s="8">
        <v>2800</v>
      </c>
      <c r="AD83" s="8">
        <f t="shared" si="39"/>
        <v>0.79252759694310781</v>
      </c>
      <c r="AE83" s="7">
        <v>10280</v>
      </c>
      <c r="AF83" s="7">
        <f t="shared" si="40"/>
        <v>2.9097084630625529</v>
      </c>
      <c r="AG83" s="7" t="s">
        <v>768</v>
      </c>
      <c r="AH83" s="8">
        <f t="shared" si="41"/>
        <v>16.391168978205492</v>
      </c>
      <c r="AI83" s="8">
        <v>57910</v>
      </c>
      <c r="AJ83" s="8">
        <v>212320</v>
      </c>
      <c r="AK83" s="8">
        <f t="shared" si="42"/>
        <v>60.09623549391452</v>
      </c>
      <c r="AL83" s="8">
        <f t="shared" si="43"/>
        <v>34.874827613203173</v>
      </c>
      <c r="AM83" s="8">
        <f t="shared" si="43"/>
        <v>123212.76595744681</v>
      </c>
      <c r="AN83" s="7">
        <f t="shared" si="44"/>
        <v>28.124860978389655</v>
      </c>
      <c r="AO83" s="7">
        <f t="shared" si="45"/>
        <v>6.749966634813517</v>
      </c>
      <c r="AP83" s="7" t="s">
        <v>763</v>
      </c>
      <c r="AQ83">
        <v>3533</v>
      </c>
      <c r="AR83" s="8" t="s">
        <v>763</v>
      </c>
      <c r="AS83" s="8" t="s">
        <v>763</v>
      </c>
      <c r="AT83" s="8" t="s">
        <v>763</v>
      </c>
      <c r="AU83" s="8" t="s">
        <v>763</v>
      </c>
    </row>
    <row r="84" spans="1:47" x14ac:dyDescent="0.35">
      <c r="A84">
        <v>108</v>
      </c>
      <c r="B84" s="3">
        <v>69</v>
      </c>
      <c r="C84" t="s">
        <v>712</v>
      </c>
      <c r="D84" t="s">
        <v>714</v>
      </c>
      <c r="E84" s="7" t="s">
        <v>751</v>
      </c>
      <c r="F84" s="7">
        <v>2025</v>
      </c>
      <c r="G84" s="7" t="s">
        <v>1742</v>
      </c>
      <c r="H84" s="7" t="s">
        <v>795</v>
      </c>
      <c r="I84" s="7" t="s">
        <v>776</v>
      </c>
      <c r="J84">
        <v>-8.1130999999999993</v>
      </c>
      <c r="K84">
        <v>-35.015000000000001</v>
      </c>
      <c r="L84" t="s">
        <v>1808</v>
      </c>
      <c r="M84" s="11">
        <v>644037</v>
      </c>
      <c r="N84">
        <v>2489</v>
      </c>
      <c r="O84" t="s">
        <v>2325</v>
      </c>
      <c r="P84" s="8" t="s">
        <v>846</v>
      </c>
      <c r="Q84" s="3" t="s">
        <v>2335</v>
      </c>
      <c r="R84" s="3">
        <v>988</v>
      </c>
      <c r="S84" s="3">
        <v>25.4</v>
      </c>
      <c r="T84" s="3" t="s">
        <v>763</v>
      </c>
      <c r="U84" t="s">
        <v>2300</v>
      </c>
      <c r="V84" s="3" t="s">
        <v>2357</v>
      </c>
      <c r="W84" s="3" t="s">
        <v>914</v>
      </c>
      <c r="X84" s="3" t="s">
        <v>2348</v>
      </c>
      <c r="Y84" s="7" t="s">
        <v>1745</v>
      </c>
      <c r="Z84" s="7" t="s">
        <v>1744</v>
      </c>
      <c r="AA84" s="7" t="s">
        <v>2165</v>
      </c>
      <c r="AB84" s="7" t="s">
        <v>787</v>
      </c>
      <c r="AC84" s="8">
        <v>6740</v>
      </c>
      <c r="AD84" s="8">
        <f t="shared" si="39"/>
        <v>0.90445517981749868</v>
      </c>
      <c r="AE84" s="7">
        <v>24720</v>
      </c>
      <c r="AF84" s="7">
        <f t="shared" si="40"/>
        <v>3.317230273752013</v>
      </c>
      <c r="AG84" s="7" t="s">
        <v>768</v>
      </c>
      <c r="AH84" s="8">
        <f t="shared" si="41"/>
        <v>18.691626409017715</v>
      </c>
      <c r="AI84" s="8">
        <v>139290</v>
      </c>
      <c r="AJ84" s="8">
        <v>510720</v>
      </c>
      <c r="AK84" s="8">
        <f t="shared" si="42"/>
        <v>68.534621578099845</v>
      </c>
      <c r="AL84" s="8">
        <f t="shared" si="43"/>
        <v>39.769417891527056</v>
      </c>
      <c r="AM84" s="8">
        <f t="shared" si="43"/>
        <v>296361.70212765958</v>
      </c>
      <c r="AN84" s="7">
        <f t="shared" si="44"/>
        <v>32.072111202844397</v>
      </c>
      <c r="AO84" s="7">
        <f t="shared" si="45"/>
        <v>7.6973066886826551</v>
      </c>
      <c r="AP84" s="7" t="s">
        <v>763</v>
      </c>
      <c r="AQ84">
        <v>7452</v>
      </c>
      <c r="AR84" s="8" t="s">
        <v>763</v>
      </c>
      <c r="AS84" s="8" t="s">
        <v>763</v>
      </c>
      <c r="AT84" s="8" t="s">
        <v>763</v>
      </c>
      <c r="AU84" s="8" t="s">
        <v>763</v>
      </c>
    </row>
    <row r="85" spans="1:47" x14ac:dyDescent="0.35">
      <c r="A85">
        <v>109</v>
      </c>
      <c r="B85" s="3">
        <v>69</v>
      </c>
      <c r="C85" t="s">
        <v>712</v>
      </c>
      <c r="D85" t="s">
        <v>714</v>
      </c>
      <c r="E85" s="7" t="s">
        <v>751</v>
      </c>
      <c r="F85" s="7">
        <v>2025</v>
      </c>
      <c r="G85" s="7" t="s">
        <v>1742</v>
      </c>
      <c r="H85" s="7" t="s">
        <v>795</v>
      </c>
      <c r="I85" s="7" t="s">
        <v>776</v>
      </c>
      <c r="J85">
        <v>-22.185600000000001</v>
      </c>
      <c r="K85">
        <v>-47.39</v>
      </c>
      <c r="L85" t="s">
        <v>1809</v>
      </c>
      <c r="M85" s="11">
        <v>98161</v>
      </c>
      <c r="N85">
        <v>243.7</v>
      </c>
      <c r="O85" t="s">
        <v>2325</v>
      </c>
      <c r="P85" s="8" t="s">
        <v>846</v>
      </c>
      <c r="Q85" s="3" t="s">
        <v>2335</v>
      </c>
      <c r="R85">
        <v>1575</v>
      </c>
      <c r="S85" s="3">
        <v>21.6</v>
      </c>
      <c r="T85" s="3" t="s">
        <v>763</v>
      </c>
      <c r="U85" t="s">
        <v>2300</v>
      </c>
      <c r="V85" s="3" t="s">
        <v>2357</v>
      </c>
      <c r="W85" s="3" t="s">
        <v>914</v>
      </c>
      <c r="X85" s="3" t="s">
        <v>2348</v>
      </c>
      <c r="Y85" s="7" t="s">
        <v>1745</v>
      </c>
      <c r="Z85" s="7" t="s">
        <v>1744</v>
      </c>
      <c r="AA85" s="7" t="s">
        <v>2165</v>
      </c>
      <c r="AB85" s="7" t="s">
        <v>787</v>
      </c>
      <c r="AC85" s="8">
        <v>950</v>
      </c>
      <c r="AD85" s="8">
        <f t="shared" si="39"/>
        <v>0.3763866877971474</v>
      </c>
      <c r="AE85" s="7">
        <v>3500</v>
      </c>
      <c r="AF85" s="7">
        <f t="shared" si="40"/>
        <v>1.386687797147385</v>
      </c>
      <c r="AG85" s="7" t="s">
        <v>768</v>
      </c>
      <c r="AH85" s="8">
        <f t="shared" si="41"/>
        <v>7.8129952456418383</v>
      </c>
      <c r="AI85" s="8">
        <v>19720</v>
      </c>
      <c r="AJ85" s="8">
        <v>72310</v>
      </c>
      <c r="AK85" s="8">
        <f t="shared" si="42"/>
        <v>28.648969889064976</v>
      </c>
      <c r="AL85" s="8">
        <f t="shared" si="43"/>
        <v>16.623394139663485</v>
      </c>
      <c r="AM85" s="8">
        <f t="shared" si="43"/>
        <v>41957.446808510642</v>
      </c>
      <c r="AN85" s="7">
        <f t="shared" si="44"/>
        <v>13.405963015857649</v>
      </c>
      <c r="AO85" s="7">
        <f t="shared" si="45"/>
        <v>3.2174311238058357</v>
      </c>
      <c r="AP85" s="7" t="s">
        <v>763</v>
      </c>
      <c r="AQ85">
        <v>2524</v>
      </c>
      <c r="AR85" s="8" t="s">
        <v>763</v>
      </c>
      <c r="AS85" s="8" t="s">
        <v>763</v>
      </c>
      <c r="AT85" s="8" t="s">
        <v>763</v>
      </c>
      <c r="AU85" s="8" t="s">
        <v>763</v>
      </c>
    </row>
    <row r="86" spans="1:47" x14ac:dyDescent="0.35">
      <c r="A86">
        <v>110</v>
      </c>
      <c r="B86" s="3">
        <v>69</v>
      </c>
      <c r="C86" t="s">
        <v>712</v>
      </c>
      <c r="D86" t="s">
        <v>714</v>
      </c>
      <c r="E86" s="7" t="s">
        <v>751</v>
      </c>
      <c r="F86" s="7">
        <v>2025</v>
      </c>
      <c r="G86" s="7" t="s">
        <v>1742</v>
      </c>
      <c r="H86" s="7" t="s">
        <v>795</v>
      </c>
      <c r="I86" s="7" t="s">
        <v>776</v>
      </c>
      <c r="J86">
        <v>-22.370799999999999</v>
      </c>
      <c r="K86">
        <v>-41.786900000000003</v>
      </c>
      <c r="L86" t="s">
        <v>1810</v>
      </c>
      <c r="M86" s="11">
        <v>246391</v>
      </c>
      <c r="N86">
        <v>202.5</v>
      </c>
      <c r="O86" t="s">
        <v>2325</v>
      </c>
      <c r="P86" s="8" t="s">
        <v>846</v>
      </c>
      <c r="Q86" s="3" t="s">
        <v>2335</v>
      </c>
      <c r="R86" s="3">
        <v>1222</v>
      </c>
      <c r="S86" s="3">
        <v>23.3</v>
      </c>
      <c r="T86" s="3" t="s">
        <v>763</v>
      </c>
      <c r="U86" t="s">
        <v>2300</v>
      </c>
      <c r="V86" s="3" t="s">
        <v>2357</v>
      </c>
      <c r="W86" s="3" t="s">
        <v>914</v>
      </c>
      <c r="X86" s="3" t="s">
        <v>2348</v>
      </c>
      <c r="Y86" s="7" t="s">
        <v>1745</v>
      </c>
      <c r="Z86" s="7" t="s">
        <v>1744</v>
      </c>
      <c r="AA86" s="7" t="s">
        <v>2165</v>
      </c>
      <c r="AB86" s="7" t="s">
        <v>787</v>
      </c>
      <c r="AC86" s="8">
        <v>4300</v>
      </c>
      <c r="AD86" s="8">
        <f t="shared" si="39"/>
        <v>0.89639357932040864</v>
      </c>
      <c r="AE86" s="7">
        <v>15780</v>
      </c>
      <c r="AF86" s="7">
        <f t="shared" si="40"/>
        <v>3.2895559724828018</v>
      </c>
      <c r="AG86" s="7" t="s">
        <v>768</v>
      </c>
      <c r="AH86" s="8">
        <f t="shared" si="41"/>
        <v>18.534500729622682</v>
      </c>
      <c r="AI86" s="8">
        <v>88910</v>
      </c>
      <c r="AJ86" s="8">
        <v>326010</v>
      </c>
      <c r="AK86" s="8">
        <f t="shared" si="42"/>
        <v>67.961225766103809</v>
      </c>
      <c r="AL86" s="8">
        <f t="shared" si="43"/>
        <v>39.435107935367412</v>
      </c>
      <c r="AM86" s="8">
        <f t="shared" si="43"/>
        <v>189170.21276595746</v>
      </c>
      <c r="AN86" s="7">
        <f t="shared" si="44"/>
        <v>31.80250639948985</v>
      </c>
      <c r="AO86" s="7">
        <f t="shared" si="45"/>
        <v>7.6326015358775638</v>
      </c>
      <c r="AP86" s="7" t="s">
        <v>763</v>
      </c>
      <c r="AQ86">
        <v>4797</v>
      </c>
      <c r="AR86" s="8" t="s">
        <v>763</v>
      </c>
      <c r="AS86" s="8" t="s">
        <v>763</v>
      </c>
      <c r="AT86" s="8" t="s">
        <v>763</v>
      </c>
      <c r="AU86" s="8" t="s">
        <v>763</v>
      </c>
    </row>
    <row r="87" spans="1:47" x14ac:dyDescent="0.35">
      <c r="A87">
        <v>111</v>
      </c>
      <c r="B87" s="3">
        <v>69</v>
      </c>
      <c r="C87" t="s">
        <v>712</v>
      </c>
      <c r="D87" t="s">
        <v>714</v>
      </c>
      <c r="E87" s="7" t="s">
        <v>751</v>
      </c>
      <c r="F87" s="7">
        <v>2025</v>
      </c>
      <c r="G87" s="7" t="s">
        <v>1742</v>
      </c>
      <c r="H87" s="7" t="s">
        <v>795</v>
      </c>
      <c r="I87" s="7" t="s">
        <v>776</v>
      </c>
      <c r="J87">
        <v>-9.6658000000000008</v>
      </c>
      <c r="K87">
        <v>-35.735300000000002</v>
      </c>
      <c r="L87" t="s">
        <v>1811</v>
      </c>
      <c r="M87" s="11">
        <v>957916</v>
      </c>
      <c r="N87" s="11">
        <v>1881</v>
      </c>
      <c r="O87" t="s">
        <v>2325</v>
      </c>
      <c r="P87" s="8" t="s">
        <v>846</v>
      </c>
      <c r="Q87" t="s">
        <v>2332</v>
      </c>
      <c r="R87" s="3">
        <v>1304</v>
      </c>
      <c r="S87" s="3">
        <v>25.2</v>
      </c>
      <c r="T87" s="3" t="s">
        <v>763</v>
      </c>
      <c r="U87" t="s">
        <v>2303</v>
      </c>
      <c r="V87" s="3" t="s">
        <v>2357</v>
      </c>
      <c r="W87" s="3" t="s">
        <v>914</v>
      </c>
      <c r="X87" s="3" t="s">
        <v>2348</v>
      </c>
      <c r="Y87" s="7" t="s">
        <v>1745</v>
      </c>
      <c r="Z87" s="7" t="s">
        <v>1744</v>
      </c>
      <c r="AA87" s="7" t="s">
        <v>2165</v>
      </c>
      <c r="AB87" s="7" t="s">
        <v>787</v>
      </c>
      <c r="AC87" s="8">
        <v>10870</v>
      </c>
      <c r="AD87" s="8">
        <f t="shared" si="39"/>
        <v>0.9445603058741745</v>
      </c>
      <c r="AE87" s="7">
        <v>39840</v>
      </c>
      <c r="AF87" s="7">
        <f t="shared" si="40"/>
        <v>3.4619395203336811</v>
      </c>
      <c r="AG87" s="7" t="s">
        <v>768</v>
      </c>
      <c r="AH87" s="8">
        <f t="shared" si="41"/>
        <v>19.506430309350016</v>
      </c>
      <c r="AI87" s="8">
        <v>224480</v>
      </c>
      <c r="AJ87" s="8">
        <v>823080</v>
      </c>
      <c r="AK87" s="8">
        <f t="shared" si="42"/>
        <v>71.522419186652769</v>
      </c>
      <c r="AL87" s="8">
        <f t="shared" si="43"/>
        <v>41.503043211383016</v>
      </c>
      <c r="AM87" s="8">
        <f t="shared" si="43"/>
        <v>477617.02127659577</v>
      </c>
      <c r="AN87" s="7">
        <f t="shared" si="44"/>
        <v>33.47019613821211</v>
      </c>
      <c r="AO87" s="7">
        <f t="shared" si="45"/>
        <v>8.0328470731709061</v>
      </c>
      <c r="AP87" s="7" t="s">
        <v>763</v>
      </c>
      <c r="AQ87">
        <v>11508</v>
      </c>
      <c r="AR87" s="8" t="s">
        <v>763</v>
      </c>
      <c r="AS87" s="8" t="s">
        <v>763</v>
      </c>
      <c r="AT87" s="8" t="s">
        <v>763</v>
      </c>
      <c r="AU87" s="8" t="s">
        <v>763</v>
      </c>
    </row>
    <row r="88" spans="1:47" x14ac:dyDescent="0.35">
      <c r="A88">
        <v>112</v>
      </c>
      <c r="B88" s="3">
        <v>69</v>
      </c>
      <c r="C88" t="s">
        <v>712</v>
      </c>
      <c r="D88" t="s">
        <v>714</v>
      </c>
      <c r="E88" s="7" t="s">
        <v>751</v>
      </c>
      <c r="F88" s="7">
        <v>2025</v>
      </c>
      <c r="G88" s="7" t="s">
        <v>1742</v>
      </c>
      <c r="H88" s="7" t="s">
        <v>795</v>
      </c>
      <c r="I88" s="7" t="s">
        <v>776</v>
      </c>
      <c r="J88">
        <v>-8.0475999999999992</v>
      </c>
      <c r="K88">
        <v>-34.877000000000002</v>
      </c>
      <c r="L88" t="s">
        <v>1813</v>
      </c>
      <c r="M88" s="11">
        <v>1488920</v>
      </c>
      <c r="N88" s="11">
        <v>6804</v>
      </c>
      <c r="O88" t="s">
        <v>2325</v>
      </c>
      <c r="P88" s="8" t="s">
        <v>846</v>
      </c>
      <c r="Q88" s="3" t="s">
        <v>2335</v>
      </c>
      <c r="R88" s="3">
        <v>988</v>
      </c>
      <c r="S88" s="3">
        <v>25.7</v>
      </c>
      <c r="T88" s="3" t="s">
        <v>763</v>
      </c>
      <c r="U88" t="s">
        <v>2303</v>
      </c>
      <c r="V88" s="3" t="s">
        <v>2357</v>
      </c>
      <c r="W88" s="3" t="s">
        <v>914</v>
      </c>
      <c r="X88" s="3" t="s">
        <v>2348</v>
      </c>
      <c r="Y88" s="7" t="s">
        <v>1745</v>
      </c>
      <c r="Z88" s="7" t="s">
        <v>1744</v>
      </c>
      <c r="AA88" s="7" t="s">
        <v>2165</v>
      </c>
      <c r="AB88" s="7" t="s">
        <v>787</v>
      </c>
      <c r="AC88" s="8">
        <v>10690</v>
      </c>
      <c r="AD88" s="8">
        <f t="shared" si="39"/>
        <v>0.74760472760332886</v>
      </c>
      <c r="AE88" s="7">
        <v>39190</v>
      </c>
      <c r="AF88" s="7">
        <f t="shared" si="40"/>
        <v>2.7407511014756278</v>
      </c>
      <c r="AG88" s="7" t="s">
        <v>768</v>
      </c>
      <c r="AH88" s="8">
        <f t="shared" si="41"/>
        <v>15.441639275473809</v>
      </c>
      <c r="AI88" s="8">
        <v>220800</v>
      </c>
      <c r="AJ88" s="8">
        <v>809580</v>
      </c>
      <c r="AK88" s="8">
        <f t="shared" si="42"/>
        <v>56.617945310860897</v>
      </c>
      <c r="AL88" s="8">
        <f t="shared" si="43"/>
        <v>32.854551649944277</v>
      </c>
      <c r="AM88" s="8">
        <f t="shared" si="43"/>
        <v>469787.23404255323</v>
      </c>
      <c r="AN88" s="7">
        <f t="shared" si="44"/>
        <v>26.495606169309902</v>
      </c>
      <c r="AO88" s="7">
        <f t="shared" si="45"/>
        <v>6.3589454806343761</v>
      </c>
      <c r="AP88" s="7" t="s">
        <v>763</v>
      </c>
      <c r="AQ88">
        <v>14299</v>
      </c>
      <c r="AR88" s="8" t="s">
        <v>763</v>
      </c>
      <c r="AS88" s="8" t="s">
        <v>763</v>
      </c>
      <c r="AT88" s="8" t="s">
        <v>763</v>
      </c>
      <c r="AU88" s="8" t="s">
        <v>763</v>
      </c>
    </row>
    <row r="89" spans="1:47" x14ac:dyDescent="0.35">
      <c r="A89">
        <v>113</v>
      </c>
      <c r="B89" s="3">
        <v>69</v>
      </c>
      <c r="C89" t="s">
        <v>712</v>
      </c>
      <c r="D89" t="s">
        <v>714</v>
      </c>
      <c r="E89" s="7" t="s">
        <v>751</v>
      </c>
      <c r="F89" s="7">
        <v>2025</v>
      </c>
      <c r="G89" s="7" t="s">
        <v>1742</v>
      </c>
      <c r="H89" s="7" t="s">
        <v>795</v>
      </c>
      <c r="I89" s="7" t="s">
        <v>776</v>
      </c>
      <c r="J89">
        <v>-22.8231</v>
      </c>
      <c r="K89">
        <v>-43.053899999999999</v>
      </c>
      <c r="L89" t="s">
        <v>1814</v>
      </c>
      <c r="M89" s="11">
        <v>896744</v>
      </c>
      <c r="N89" s="11">
        <v>3614</v>
      </c>
      <c r="O89" t="s">
        <v>2325</v>
      </c>
      <c r="P89" s="8" t="s">
        <v>846</v>
      </c>
      <c r="Q89" s="3" t="s">
        <v>2339</v>
      </c>
      <c r="R89" s="3">
        <v>1634</v>
      </c>
      <c r="S89" s="3">
        <v>23</v>
      </c>
      <c r="T89" s="3" t="s">
        <v>763</v>
      </c>
      <c r="U89" t="s">
        <v>2300</v>
      </c>
      <c r="V89" s="3" t="s">
        <v>2357</v>
      </c>
      <c r="W89" s="3" t="s">
        <v>914</v>
      </c>
      <c r="X89" s="3" t="s">
        <v>2348</v>
      </c>
      <c r="Y89" s="7" t="s">
        <v>1745</v>
      </c>
      <c r="Z89" s="7" t="s">
        <v>1744</v>
      </c>
      <c r="AA89" s="7" t="s">
        <v>2165</v>
      </c>
      <c r="AB89" s="7" t="s">
        <v>787</v>
      </c>
      <c r="AC89" s="8">
        <v>10600</v>
      </c>
      <c r="AD89" s="8">
        <f t="shared" si="39"/>
        <v>0.81645228375568046</v>
      </c>
      <c r="AE89" s="7">
        <v>38850</v>
      </c>
      <c r="AF89" s="7">
        <f t="shared" si="40"/>
        <v>2.9923746437649235</v>
      </c>
      <c r="AG89" s="7" t="s">
        <v>768</v>
      </c>
      <c r="AH89" s="8">
        <f t="shared" si="41"/>
        <v>16.860509897558345</v>
      </c>
      <c r="AI89" s="8">
        <v>218900</v>
      </c>
      <c r="AJ89" s="8">
        <v>802640</v>
      </c>
      <c r="AK89" s="8">
        <f t="shared" si="42"/>
        <v>61.822383116382966</v>
      </c>
      <c r="AL89" s="8">
        <f t="shared" si="43"/>
        <v>35.873425313953923</v>
      </c>
      <c r="AM89" s="8">
        <f t="shared" si="43"/>
        <v>465744.68085106387</v>
      </c>
      <c r="AN89" s="7">
        <f t="shared" si="44"/>
        <v>28.930181704801551</v>
      </c>
      <c r="AO89" s="7">
        <f t="shared" si="45"/>
        <v>6.9432436091523719</v>
      </c>
      <c r="AP89" s="7" t="s">
        <v>763</v>
      </c>
      <c r="AQ89">
        <v>12983</v>
      </c>
      <c r="AR89" s="8" t="s">
        <v>763</v>
      </c>
      <c r="AS89" s="8" t="s">
        <v>763</v>
      </c>
      <c r="AT89" s="8" t="s">
        <v>763</v>
      </c>
      <c r="AU89" s="8" t="s">
        <v>763</v>
      </c>
    </row>
    <row r="90" spans="1:47" x14ac:dyDescent="0.35">
      <c r="A90">
        <v>114</v>
      </c>
      <c r="B90" s="3">
        <v>69</v>
      </c>
      <c r="C90" t="s">
        <v>712</v>
      </c>
      <c r="D90" t="s">
        <v>714</v>
      </c>
      <c r="E90" s="7" t="s">
        <v>751</v>
      </c>
      <c r="F90" s="7">
        <v>2025</v>
      </c>
      <c r="G90" s="7" t="s">
        <v>1742</v>
      </c>
      <c r="H90" s="7" t="s">
        <v>795</v>
      </c>
      <c r="I90" s="7" t="s">
        <v>776</v>
      </c>
      <c r="J90">
        <v>-20.128599999999999</v>
      </c>
      <c r="K90">
        <v>-40.3078</v>
      </c>
      <c r="L90" t="s">
        <v>1815</v>
      </c>
      <c r="M90" s="11">
        <v>520653</v>
      </c>
      <c r="N90">
        <v>950.7</v>
      </c>
      <c r="O90" t="s">
        <v>2325</v>
      </c>
      <c r="P90" s="8" t="s">
        <v>846</v>
      </c>
      <c r="Q90" s="3" t="s">
        <v>2335</v>
      </c>
      <c r="R90" s="3">
        <v>1123</v>
      </c>
      <c r="S90" s="3">
        <v>23.6</v>
      </c>
      <c r="T90" s="3" t="s">
        <v>763</v>
      </c>
      <c r="U90" t="s">
        <v>2300</v>
      </c>
      <c r="V90" s="3" t="s">
        <v>2357</v>
      </c>
      <c r="W90" s="3" t="s">
        <v>914</v>
      </c>
      <c r="X90" s="3" t="s">
        <v>2348</v>
      </c>
      <c r="Y90" s="7" t="s">
        <v>1745</v>
      </c>
      <c r="Z90" s="7" t="s">
        <v>1744</v>
      </c>
      <c r="AA90" s="7" t="s">
        <v>2165</v>
      </c>
      <c r="AB90" s="7" t="s">
        <v>787</v>
      </c>
      <c r="AC90" s="8">
        <v>10000</v>
      </c>
      <c r="AD90" s="8">
        <f t="shared" si="39"/>
        <v>1.0673497705197994</v>
      </c>
      <c r="AE90" s="7">
        <v>36680</v>
      </c>
      <c r="AF90" s="7">
        <f t="shared" si="40"/>
        <v>3.9150389582666238</v>
      </c>
      <c r="AG90" s="7" t="s">
        <v>768</v>
      </c>
      <c r="AH90" s="8">
        <f t="shared" si="41"/>
        <v>22.058917707332693</v>
      </c>
      <c r="AI90" s="8">
        <v>206670</v>
      </c>
      <c r="AJ90" s="8">
        <v>757780</v>
      </c>
      <c r="AK90" s="8">
        <f t="shared" si="42"/>
        <v>80.88163091044936</v>
      </c>
      <c r="AL90" s="8">
        <f t="shared" si="43"/>
        <v>46.933867462409985</v>
      </c>
      <c r="AM90" s="8">
        <f t="shared" si="43"/>
        <v>439723.40425531915</v>
      </c>
      <c r="AN90" s="7">
        <f t="shared" si="44"/>
        <v>37.849893114846765</v>
      </c>
      <c r="AO90" s="7">
        <f t="shared" si="45"/>
        <v>9.083974347563224</v>
      </c>
      <c r="AP90" s="7" t="s">
        <v>763</v>
      </c>
      <c r="AQ90">
        <v>9369</v>
      </c>
      <c r="AR90" s="8" t="s">
        <v>763</v>
      </c>
      <c r="AS90" s="8" t="s">
        <v>763</v>
      </c>
      <c r="AT90" s="8" t="s">
        <v>763</v>
      </c>
      <c r="AU90" s="8" t="s">
        <v>763</v>
      </c>
    </row>
    <row r="91" spans="1:47" x14ac:dyDescent="0.35">
      <c r="A91">
        <v>115</v>
      </c>
      <c r="B91" s="3">
        <v>69</v>
      </c>
      <c r="C91" t="s">
        <v>712</v>
      </c>
      <c r="D91" t="s">
        <v>714</v>
      </c>
      <c r="E91" s="7" t="s">
        <v>751</v>
      </c>
      <c r="F91" s="7">
        <v>2025</v>
      </c>
      <c r="G91" s="7" t="s">
        <v>1742</v>
      </c>
      <c r="H91" s="7" t="s">
        <v>795</v>
      </c>
      <c r="I91" s="7" t="s">
        <v>776</v>
      </c>
      <c r="J91">
        <v>-12.785</v>
      </c>
      <c r="K91">
        <v>-38.404200000000003</v>
      </c>
      <c r="L91" t="s">
        <v>1816</v>
      </c>
      <c r="M91" s="11">
        <v>114559</v>
      </c>
      <c r="N91">
        <v>568.4</v>
      </c>
      <c r="O91" t="s">
        <v>2325</v>
      </c>
      <c r="P91" s="8" t="s">
        <v>846</v>
      </c>
      <c r="Q91" s="3" t="s">
        <v>2339</v>
      </c>
      <c r="R91" s="3">
        <v>1319</v>
      </c>
      <c r="S91" s="3">
        <v>25.3</v>
      </c>
      <c r="T91" s="3" t="s">
        <v>763</v>
      </c>
      <c r="U91" t="s">
        <v>2300</v>
      </c>
      <c r="V91" s="3" t="s">
        <v>2357</v>
      </c>
      <c r="W91" s="3" t="s">
        <v>914</v>
      </c>
      <c r="X91" s="3" t="s">
        <v>2348</v>
      </c>
      <c r="Y91" s="7" t="s">
        <v>1745</v>
      </c>
      <c r="Z91" s="7" t="s">
        <v>1744</v>
      </c>
      <c r="AA91" s="7" t="s">
        <v>2165</v>
      </c>
      <c r="AB91" s="7" t="s">
        <v>787</v>
      </c>
      <c r="AC91" s="8">
        <v>4480</v>
      </c>
      <c r="AD91" s="8">
        <f t="shared" si="39"/>
        <v>1.4048291000313577</v>
      </c>
      <c r="AE91" s="7">
        <v>16430</v>
      </c>
      <c r="AF91" s="7">
        <f t="shared" si="40"/>
        <v>5.1520852931953591</v>
      </c>
      <c r="AG91" s="7" t="s">
        <v>768</v>
      </c>
      <c r="AH91" s="8">
        <f t="shared" si="41"/>
        <v>29.03417999372844</v>
      </c>
      <c r="AI91" s="8">
        <v>92590</v>
      </c>
      <c r="AJ91" s="8">
        <v>339510</v>
      </c>
      <c r="AK91" s="8">
        <f t="shared" si="42"/>
        <v>106.46284101599248</v>
      </c>
      <c r="AL91" s="8">
        <f t="shared" si="43"/>
        <v>61.774851050486049</v>
      </c>
      <c r="AM91" s="8">
        <f t="shared" si="43"/>
        <v>197000</v>
      </c>
      <c r="AN91" s="7">
        <f t="shared" si="44"/>
        <v>49.818428266521011</v>
      </c>
      <c r="AO91" s="7">
        <f t="shared" si="45"/>
        <v>11.956422783965042</v>
      </c>
      <c r="AP91" s="7" t="s">
        <v>763</v>
      </c>
      <c r="AQ91" s="8">
        <v>3189</v>
      </c>
      <c r="AR91" s="8" t="s">
        <v>763</v>
      </c>
      <c r="AS91" s="8" t="s">
        <v>763</v>
      </c>
      <c r="AT91" s="8" t="s">
        <v>763</v>
      </c>
      <c r="AU91" s="8" t="s">
        <v>763</v>
      </c>
    </row>
  </sheetData>
  <autoFilter ref="B1:AP91" xr:uid="{4DCA69EF-7491-4A61-8A24-17E9235A1061}"/>
  <hyperlinks>
    <hyperlink ref="D26" r:id="rId1" display="https://www.sciencedirect.com/author/57219425459/erik-velasco" xr:uid="{0755B4B9-9F06-4EDF-A284-954A686CA0E9}"/>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7B50-E772-4643-8624-FE4169AE732E}">
  <dimension ref="A1:AL73"/>
  <sheetViews>
    <sheetView workbookViewId="0">
      <selection activeCell="Z74" sqref="Z74"/>
    </sheetView>
  </sheetViews>
  <sheetFormatPr defaultRowHeight="14.5" x14ac:dyDescent="0.35"/>
  <sheetData>
    <row r="1" spans="1:32"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1915</v>
      </c>
      <c r="O1" s="2" t="s">
        <v>1951</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2004</v>
      </c>
    </row>
    <row r="2" spans="1:32" x14ac:dyDescent="0.35">
      <c r="A2" s="3">
        <v>1</v>
      </c>
      <c r="B2" s="3" t="s">
        <v>33</v>
      </c>
      <c r="C2" s="3" t="s">
        <v>35</v>
      </c>
      <c r="D2" s="3" t="s">
        <v>751</v>
      </c>
      <c r="E2" s="3">
        <v>2025</v>
      </c>
      <c r="F2" s="3" t="s">
        <v>752</v>
      </c>
      <c r="G2" s="3" t="s">
        <v>753</v>
      </c>
      <c r="H2" s="3" t="s">
        <v>754</v>
      </c>
      <c r="I2" s="3">
        <v>13.01784</v>
      </c>
      <c r="J2" s="3">
        <v>80.268242000000001</v>
      </c>
      <c r="K2" s="3" t="s">
        <v>755</v>
      </c>
      <c r="L2" s="3" t="s">
        <v>756</v>
      </c>
      <c r="M2" s="3" t="s">
        <v>757</v>
      </c>
      <c r="N2" s="3" t="s">
        <v>1916</v>
      </c>
      <c r="O2" s="3" t="s">
        <v>763</v>
      </c>
      <c r="P2" s="3" t="s">
        <v>759</v>
      </c>
      <c r="Q2" s="3" t="s">
        <v>1113</v>
      </c>
      <c r="R2" s="3" t="s">
        <v>761</v>
      </c>
      <c r="S2" s="3" t="s">
        <v>762</v>
      </c>
      <c r="T2" s="3" t="s">
        <v>1031</v>
      </c>
      <c r="U2" s="3" t="s">
        <v>764</v>
      </c>
      <c r="V2" s="3" t="s">
        <v>2026</v>
      </c>
      <c r="W2" s="3" t="s">
        <v>766</v>
      </c>
      <c r="X2" s="3" t="s">
        <v>762</v>
      </c>
      <c r="Y2" s="3" t="s">
        <v>767</v>
      </c>
      <c r="Z2" s="3" t="s">
        <v>768</v>
      </c>
      <c r="AA2" s="3" t="s">
        <v>769</v>
      </c>
      <c r="AB2" s="3" t="s">
        <v>770</v>
      </c>
      <c r="AC2" s="3" t="s">
        <v>771</v>
      </c>
      <c r="AD2" s="3" t="s">
        <v>772</v>
      </c>
      <c r="AE2" s="3" t="s">
        <v>2008</v>
      </c>
      <c r="AF2" s="3" t="s">
        <v>2040</v>
      </c>
    </row>
    <row r="3" spans="1:32" x14ac:dyDescent="0.35">
      <c r="A3" s="3">
        <v>2</v>
      </c>
      <c r="B3" s="3" t="s">
        <v>38</v>
      </c>
      <c r="C3" s="3" t="s">
        <v>40</v>
      </c>
      <c r="D3" s="3" t="s">
        <v>751</v>
      </c>
      <c r="E3" s="3">
        <v>2023</v>
      </c>
      <c r="F3" s="3" t="s">
        <v>1890</v>
      </c>
      <c r="G3" s="3" t="s">
        <v>753</v>
      </c>
      <c r="H3" s="3" t="s">
        <v>776</v>
      </c>
      <c r="I3" s="3">
        <v>-12.816667000000001</v>
      </c>
      <c r="J3" s="3">
        <v>28.2</v>
      </c>
      <c r="K3" s="3" t="s">
        <v>779</v>
      </c>
      <c r="L3" s="3" t="s">
        <v>780</v>
      </c>
      <c r="M3" s="3" t="s">
        <v>781</v>
      </c>
      <c r="N3" s="3" t="s">
        <v>1917</v>
      </c>
      <c r="O3" s="3" t="s">
        <v>1953</v>
      </c>
      <c r="P3" s="3" t="s">
        <v>784</v>
      </c>
      <c r="Q3" s="3" t="s">
        <v>1882</v>
      </c>
      <c r="R3" s="3" t="s">
        <v>786</v>
      </c>
      <c r="S3" s="3" t="s">
        <v>787</v>
      </c>
      <c r="T3" s="3" t="s">
        <v>834</v>
      </c>
      <c r="U3" s="3" t="s">
        <v>764</v>
      </c>
      <c r="V3" s="3" t="s">
        <v>2027</v>
      </c>
      <c r="W3" s="3" t="s">
        <v>766</v>
      </c>
      <c r="X3" s="3" t="s">
        <v>787</v>
      </c>
      <c r="Y3" s="3" t="s">
        <v>763</v>
      </c>
      <c r="Z3" s="3" t="s">
        <v>789</v>
      </c>
      <c r="AA3" s="3" t="s">
        <v>790</v>
      </c>
      <c r="AB3" s="3" t="s">
        <v>791</v>
      </c>
      <c r="AC3" s="3" t="s">
        <v>763</v>
      </c>
      <c r="AD3" s="3" t="s">
        <v>763</v>
      </c>
      <c r="AE3" s="3" t="s">
        <v>792</v>
      </c>
      <c r="AF3" s="3" t="s">
        <v>793</v>
      </c>
    </row>
    <row r="4" spans="1:32" x14ac:dyDescent="0.35">
      <c r="A4" s="3">
        <v>3</v>
      </c>
      <c r="B4" s="3" t="s">
        <v>43</v>
      </c>
      <c r="C4" s="3" t="s">
        <v>45</v>
      </c>
      <c r="D4" s="3" t="s">
        <v>751</v>
      </c>
      <c r="E4" s="3">
        <v>2022</v>
      </c>
      <c r="F4" s="3" t="s">
        <v>1891</v>
      </c>
      <c r="G4" s="3" t="s">
        <v>795</v>
      </c>
      <c r="H4" s="3" t="s">
        <v>754</v>
      </c>
      <c r="I4" s="3">
        <v>4.6785030000000001</v>
      </c>
      <c r="J4" s="3">
        <v>101.07940000000001</v>
      </c>
      <c r="K4" s="3" t="s">
        <v>798</v>
      </c>
      <c r="L4" s="3" t="s">
        <v>799</v>
      </c>
      <c r="M4" s="3" t="s">
        <v>763</v>
      </c>
      <c r="N4" s="3" t="s">
        <v>763</v>
      </c>
      <c r="O4" s="3" t="s">
        <v>763</v>
      </c>
      <c r="P4" s="3" t="s">
        <v>763</v>
      </c>
      <c r="Q4" s="3" t="s">
        <v>763</v>
      </c>
      <c r="R4" s="3" t="s">
        <v>800</v>
      </c>
      <c r="S4" s="3" t="s">
        <v>762</v>
      </c>
      <c r="T4" s="3" t="s">
        <v>865</v>
      </c>
      <c r="U4" s="3" t="s">
        <v>801</v>
      </c>
      <c r="V4" s="3" t="s">
        <v>802</v>
      </c>
      <c r="W4" s="3" t="s">
        <v>766</v>
      </c>
      <c r="X4" s="3" t="s">
        <v>762</v>
      </c>
      <c r="Y4" s="3" t="s">
        <v>763</v>
      </c>
      <c r="Z4" s="3" t="s">
        <v>789</v>
      </c>
      <c r="AA4" s="3" t="s">
        <v>803</v>
      </c>
      <c r="AB4" s="3" t="s">
        <v>804</v>
      </c>
      <c r="AC4" s="3" t="s">
        <v>805</v>
      </c>
      <c r="AD4" s="3" t="s">
        <v>763</v>
      </c>
      <c r="AE4" s="3" t="s">
        <v>763</v>
      </c>
      <c r="AF4" s="3" t="s">
        <v>763</v>
      </c>
    </row>
    <row r="5" spans="1:32" x14ac:dyDescent="0.35">
      <c r="A5" s="3">
        <v>4</v>
      </c>
      <c r="B5" s="3" t="s">
        <v>53</v>
      </c>
      <c r="C5" s="3" t="s">
        <v>55</v>
      </c>
      <c r="D5" s="3" t="s">
        <v>751</v>
      </c>
      <c r="E5" s="3">
        <v>2016</v>
      </c>
      <c r="F5" s="3" t="s">
        <v>1892</v>
      </c>
      <c r="G5" s="3" t="s">
        <v>753</v>
      </c>
      <c r="H5" s="3" t="s">
        <v>754</v>
      </c>
      <c r="I5" s="3">
        <v>7.25</v>
      </c>
      <c r="J5" s="3">
        <v>5.1950000000000003</v>
      </c>
      <c r="K5" s="3" t="s">
        <v>822</v>
      </c>
      <c r="L5" s="3" t="s">
        <v>823</v>
      </c>
      <c r="M5" s="3" t="s">
        <v>763</v>
      </c>
      <c r="N5" s="3" t="s">
        <v>763</v>
      </c>
      <c r="O5" s="3" t="s">
        <v>763</v>
      </c>
      <c r="P5" s="3" t="s">
        <v>824</v>
      </c>
      <c r="Q5" s="3" t="s">
        <v>1860</v>
      </c>
      <c r="R5" s="3" t="s">
        <v>786</v>
      </c>
      <c r="S5" s="3" t="s">
        <v>787</v>
      </c>
      <c r="T5" s="3" t="s">
        <v>1031</v>
      </c>
      <c r="U5" s="3" t="s">
        <v>764</v>
      </c>
      <c r="V5" s="7" t="s">
        <v>2028</v>
      </c>
      <c r="W5" s="3" t="s">
        <v>766</v>
      </c>
      <c r="X5" s="3" t="s">
        <v>826</v>
      </c>
      <c r="Y5" s="3" t="s">
        <v>763</v>
      </c>
      <c r="Z5" s="3" t="s">
        <v>789</v>
      </c>
      <c r="AA5" s="3" t="s">
        <v>827</v>
      </c>
      <c r="AB5" s="3" t="s">
        <v>1780</v>
      </c>
      <c r="AC5" s="3" t="s">
        <v>763</v>
      </c>
      <c r="AD5" s="3" t="s">
        <v>763</v>
      </c>
      <c r="AE5" s="3" t="s">
        <v>2009</v>
      </c>
      <c r="AF5" s="5" t="s">
        <v>829</v>
      </c>
    </row>
    <row r="6" spans="1:32" x14ac:dyDescent="0.35">
      <c r="A6" s="3">
        <v>5</v>
      </c>
      <c r="B6" s="3" t="s">
        <v>58</v>
      </c>
      <c r="C6" s="3" t="s">
        <v>60</v>
      </c>
      <c r="D6" s="3" t="s">
        <v>751</v>
      </c>
      <c r="E6" s="3">
        <v>2024</v>
      </c>
      <c r="F6" s="3" t="s">
        <v>830</v>
      </c>
      <c r="G6" s="3" t="s">
        <v>753</v>
      </c>
      <c r="H6" s="3" t="s">
        <v>776</v>
      </c>
      <c r="I6" s="3">
        <v>-6.8858100000000002</v>
      </c>
      <c r="J6" s="3">
        <v>107.61136999999999</v>
      </c>
      <c r="K6" s="3" t="s">
        <v>831</v>
      </c>
      <c r="L6" s="3" t="s">
        <v>832</v>
      </c>
      <c r="M6" s="3" t="s">
        <v>763</v>
      </c>
      <c r="N6" s="3" t="s">
        <v>763</v>
      </c>
      <c r="O6" s="3" t="s">
        <v>763</v>
      </c>
      <c r="P6" s="3" t="s">
        <v>759</v>
      </c>
      <c r="Q6" s="3" t="s">
        <v>763</v>
      </c>
      <c r="R6" s="3" t="s">
        <v>833</v>
      </c>
      <c r="S6" s="3" t="s">
        <v>762</v>
      </c>
      <c r="T6" s="3" t="s">
        <v>834</v>
      </c>
      <c r="U6" s="7" t="s">
        <v>2003</v>
      </c>
      <c r="V6" s="3" t="s">
        <v>2038</v>
      </c>
      <c r="W6" s="3" t="s">
        <v>766</v>
      </c>
      <c r="X6" s="3" t="s">
        <v>762</v>
      </c>
      <c r="Y6" s="3" t="s">
        <v>837</v>
      </c>
      <c r="Z6" s="3" t="s">
        <v>789</v>
      </c>
      <c r="AA6" s="3" t="s">
        <v>838</v>
      </c>
      <c r="AB6" s="3" t="s">
        <v>763</v>
      </c>
      <c r="AC6" s="3" t="s">
        <v>839</v>
      </c>
      <c r="AD6" s="3" t="s">
        <v>763</v>
      </c>
      <c r="AE6" s="3" t="s">
        <v>840</v>
      </c>
      <c r="AF6" s="3" t="s">
        <v>2041</v>
      </c>
    </row>
    <row r="7" spans="1:32" x14ac:dyDescent="0.35">
      <c r="A7" s="3">
        <v>6</v>
      </c>
      <c r="B7" s="3" t="s">
        <v>63</v>
      </c>
      <c r="C7" s="3" t="s">
        <v>65</v>
      </c>
      <c r="D7" s="3" t="s">
        <v>751</v>
      </c>
      <c r="E7" s="3">
        <v>2023</v>
      </c>
      <c r="F7" s="3">
        <v>2020</v>
      </c>
      <c r="G7" s="3" t="s">
        <v>753</v>
      </c>
      <c r="H7" s="3" t="s">
        <v>776</v>
      </c>
      <c r="I7" s="3">
        <v>-21.688889</v>
      </c>
      <c r="J7" s="3">
        <v>-43.344444000000003</v>
      </c>
      <c r="K7" s="3" t="s">
        <v>845</v>
      </c>
      <c r="L7" s="3" t="s">
        <v>846</v>
      </c>
      <c r="M7" s="3" t="s">
        <v>1912</v>
      </c>
      <c r="N7" s="3" t="s">
        <v>1918</v>
      </c>
      <c r="O7" s="3" t="s">
        <v>1954</v>
      </c>
      <c r="P7" s="3" t="s">
        <v>763</v>
      </c>
      <c r="Q7" s="3" t="s">
        <v>850</v>
      </c>
      <c r="R7" s="3" t="s">
        <v>833</v>
      </c>
      <c r="S7" s="3" t="s">
        <v>787</v>
      </c>
      <c r="T7" s="3" t="s">
        <v>1397</v>
      </c>
      <c r="U7" s="3" t="s">
        <v>1990</v>
      </c>
      <c r="V7" t="s">
        <v>1032</v>
      </c>
      <c r="W7" s="3" t="s">
        <v>766</v>
      </c>
      <c r="X7" s="3" t="s">
        <v>787</v>
      </c>
      <c r="Y7" s="3" t="s">
        <v>853</v>
      </c>
      <c r="Z7" s="3" t="s">
        <v>789</v>
      </c>
      <c r="AA7" s="3" t="s">
        <v>854</v>
      </c>
      <c r="AB7" s="3" t="s">
        <v>763</v>
      </c>
      <c r="AC7" s="3" t="s">
        <v>855</v>
      </c>
      <c r="AD7" s="3" t="s">
        <v>763</v>
      </c>
      <c r="AE7" s="3" t="s">
        <v>763</v>
      </c>
      <c r="AF7" s="3" t="s">
        <v>2042</v>
      </c>
    </row>
    <row r="8" spans="1:32" x14ac:dyDescent="0.35">
      <c r="A8" s="3">
        <v>7</v>
      </c>
      <c r="B8" s="3" t="s">
        <v>857</v>
      </c>
      <c r="C8" s="3" t="s">
        <v>858</v>
      </c>
      <c r="D8" s="3" t="s">
        <v>859</v>
      </c>
      <c r="E8" s="3">
        <v>2014</v>
      </c>
      <c r="F8" s="3" t="s">
        <v>1893</v>
      </c>
      <c r="G8" s="3" t="s">
        <v>753</v>
      </c>
      <c r="H8" s="3" t="s">
        <v>776</v>
      </c>
      <c r="I8" s="3">
        <v>-20.8</v>
      </c>
      <c r="J8" s="3">
        <v>-42.883333</v>
      </c>
      <c r="K8" s="3" t="s">
        <v>863</v>
      </c>
      <c r="L8" s="3" t="s">
        <v>846</v>
      </c>
      <c r="M8" s="3" t="s">
        <v>763</v>
      </c>
      <c r="N8" s="3" t="s">
        <v>763</v>
      </c>
      <c r="O8" s="3" t="s">
        <v>763</v>
      </c>
      <c r="P8" s="3" t="s">
        <v>763</v>
      </c>
      <c r="Q8" s="3" t="s">
        <v>850</v>
      </c>
      <c r="R8" s="3" t="s">
        <v>864</v>
      </c>
      <c r="S8" s="3" t="s">
        <v>787</v>
      </c>
      <c r="T8" s="3" t="s">
        <v>865</v>
      </c>
      <c r="U8" s="3" t="s">
        <v>866</v>
      </c>
      <c r="V8" s="3" t="s">
        <v>763</v>
      </c>
      <c r="W8" s="3" t="s">
        <v>766</v>
      </c>
      <c r="X8" s="3" t="s">
        <v>787</v>
      </c>
      <c r="Y8" s="3" t="s">
        <v>867</v>
      </c>
      <c r="Z8" s="3" t="s">
        <v>768</v>
      </c>
      <c r="AA8" s="3" t="s">
        <v>763</v>
      </c>
      <c r="AB8" s="3" t="s">
        <v>763</v>
      </c>
      <c r="AC8" s="3" t="s">
        <v>869</v>
      </c>
      <c r="AD8" s="3" t="s">
        <v>763</v>
      </c>
      <c r="AE8" s="3" t="s">
        <v>870</v>
      </c>
      <c r="AF8" s="3" t="s">
        <v>763</v>
      </c>
    </row>
    <row r="9" spans="1:32" x14ac:dyDescent="0.35">
      <c r="A9" s="3">
        <v>8</v>
      </c>
      <c r="B9" s="3" t="s">
        <v>871</v>
      </c>
      <c r="C9" s="3" t="s">
        <v>872</v>
      </c>
      <c r="D9" s="3" t="s">
        <v>873</v>
      </c>
      <c r="E9" s="3">
        <v>2018</v>
      </c>
      <c r="F9" s="3" t="s">
        <v>1894</v>
      </c>
      <c r="G9" s="3" t="s">
        <v>753</v>
      </c>
      <c r="H9" s="3" t="s">
        <v>754</v>
      </c>
      <c r="I9" s="3">
        <v>20.143651999999999</v>
      </c>
      <c r="J9" s="3">
        <v>-75.202138000000005</v>
      </c>
      <c r="K9" s="3" t="s">
        <v>877</v>
      </c>
      <c r="L9" s="3" t="s">
        <v>878</v>
      </c>
      <c r="M9" s="3" t="s">
        <v>763</v>
      </c>
      <c r="N9" s="3" t="s">
        <v>1919</v>
      </c>
      <c r="O9" s="3" t="s">
        <v>1955</v>
      </c>
      <c r="P9" s="3" t="s">
        <v>881</v>
      </c>
      <c r="Q9" s="3" t="s">
        <v>763</v>
      </c>
      <c r="R9" s="3" t="s">
        <v>786</v>
      </c>
      <c r="S9" s="3" t="s">
        <v>787</v>
      </c>
      <c r="T9" s="3" t="s">
        <v>834</v>
      </c>
      <c r="U9" s="3" t="s">
        <v>764</v>
      </c>
      <c r="V9" s="3" t="s">
        <v>2025</v>
      </c>
      <c r="W9" s="3" t="s">
        <v>766</v>
      </c>
      <c r="X9" s="3" t="s">
        <v>826</v>
      </c>
      <c r="Y9" s="3" t="s">
        <v>763</v>
      </c>
      <c r="Z9" s="3" t="s">
        <v>768</v>
      </c>
      <c r="AA9" s="3" t="s">
        <v>883</v>
      </c>
      <c r="AB9" s="3" t="s">
        <v>884</v>
      </c>
      <c r="AC9" s="6" t="s">
        <v>885</v>
      </c>
      <c r="AD9" s="3" t="s">
        <v>763</v>
      </c>
      <c r="AE9" s="3" t="s">
        <v>886</v>
      </c>
      <c r="AF9" s="3" t="s">
        <v>2043</v>
      </c>
    </row>
    <row r="10" spans="1:32" x14ac:dyDescent="0.35">
      <c r="A10" s="3">
        <v>9</v>
      </c>
      <c r="B10" s="3" t="s">
        <v>888</v>
      </c>
      <c r="C10" s="3" t="s">
        <v>889</v>
      </c>
      <c r="D10" s="3" t="s">
        <v>873</v>
      </c>
      <c r="E10" s="3">
        <v>2022</v>
      </c>
      <c r="F10" s="3" t="s">
        <v>1895</v>
      </c>
      <c r="G10" s="3" t="s">
        <v>753</v>
      </c>
      <c r="H10" s="3" t="s">
        <v>754</v>
      </c>
      <c r="I10" s="3">
        <v>18.658055999999998</v>
      </c>
      <c r="J10" s="3">
        <v>-91.827777999999995</v>
      </c>
      <c r="K10" s="3" t="s">
        <v>893</v>
      </c>
      <c r="L10" s="3" t="s">
        <v>894</v>
      </c>
      <c r="M10" s="3" t="s">
        <v>1910</v>
      </c>
      <c r="N10" s="3" t="s">
        <v>1920</v>
      </c>
      <c r="O10" s="3" t="s">
        <v>1957</v>
      </c>
      <c r="P10" s="3" t="s">
        <v>759</v>
      </c>
      <c r="Q10" s="3" t="s">
        <v>763</v>
      </c>
      <c r="R10" s="3" t="s">
        <v>761</v>
      </c>
      <c r="S10" s="3" t="s">
        <v>762</v>
      </c>
      <c r="T10" s="3" t="s">
        <v>834</v>
      </c>
      <c r="U10" s="3" t="s">
        <v>764</v>
      </c>
      <c r="V10" s="3" t="s">
        <v>2026</v>
      </c>
      <c r="W10" s="3" t="s">
        <v>766</v>
      </c>
      <c r="X10" s="3" t="s">
        <v>762</v>
      </c>
      <c r="Y10" s="3" t="s">
        <v>763</v>
      </c>
      <c r="Z10" s="3" t="s">
        <v>768</v>
      </c>
      <c r="AA10" s="3" t="s">
        <v>900</v>
      </c>
      <c r="AB10" s="3" t="s">
        <v>901</v>
      </c>
      <c r="AC10" s="3" t="s">
        <v>902</v>
      </c>
      <c r="AD10" s="3" t="s">
        <v>763</v>
      </c>
      <c r="AE10" s="3" t="s">
        <v>903</v>
      </c>
      <c r="AF10" s="3" t="s">
        <v>2044</v>
      </c>
    </row>
    <row r="11" spans="1:32" x14ac:dyDescent="0.35">
      <c r="A11" s="3">
        <v>10</v>
      </c>
      <c r="B11" s="3" t="s">
        <v>905</v>
      </c>
      <c r="C11" s="3" t="s">
        <v>906</v>
      </c>
      <c r="D11" s="3" t="s">
        <v>873</v>
      </c>
      <c r="E11" s="3">
        <v>2023</v>
      </c>
      <c r="F11" s="3" t="s">
        <v>1896</v>
      </c>
      <c r="G11" s="3" t="s">
        <v>753</v>
      </c>
      <c r="H11" s="3" t="s">
        <v>754</v>
      </c>
      <c r="I11" s="3">
        <v>19.464027999999999</v>
      </c>
      <c r="J11" s="3">
        <v>-98.826291999999995</v>
      </c>
      <c r="K11" s="20" t="s">
        <v>1774</v>
      </c>
      <c r="L11" s="3" t="s">
        <v>894</v>
      </c>
      <c r="M11" s="3" t="s">
        <v>1911</v>
      </c>
      <c r="N11" s="3" t="s">
        <v>1921</v>
      </c>
      <c r="O11" s="3" t="s">
        <v>912</v>
      </c>
      <c r="P11" s="3" t="s">
        <v>913</v>
      </c>
      <c r="Q11" s="3" t="s">
        <v>1775</v>
      </c>
      <c r="R11" s="3" t="s">
        <v>833</v>
      </c>
      <c r="S11" s="3" t="s">
        <v>787</v>
      </c>
      <c r="T11" s="3" t="s">
        <v>865</v>
      </c>
      <c r="U11" s="7" t="s">
        <v>2003</v>
      </c>
      <c r="V11" s="7" t="s">
        <v>2029</v>
      </c>
      <c r="W11" s="3" t="s">
        <v>766</v>
      </c>
      <c r="X11" s="3" t="s">
        <v>787</v>
      </c>
      <c r="Y11" s="3" t="s">
        <v>916</v>
      </c>
      <c r="Z11" s="3" t="s">
        <v>768</v>
      </c>
      <c r="AA11" s="3" t="s">
        <v>1773</v>
      </c>
      <c r="AB11" s="3" t="s">
        <v>763</v>
      </c>
      <c r="AC11" s="7" t="s">
        <v>1772</v>
      </c>
      <c r="AD11" s="3" t="s">
        <v>763</v>
      </c>
      <c r="AE11" s="7" t="s">
        <v>1771</v>
      </c>
      <c r="AF11" s="3" t="s">
        <v>2045</v>
      </c>
    </row>
    <row r="12" spans="1:32" x14ac:dyDescent="0.35">
      <c r="A12" s="3">
        <v>11</v>
      </c>
      <c r="B12" s="3" t="s">
        <v>82</v>
      </c>
      <c r="C12" s="3" t="s">
        <v>84</v>
      </c>
      <c r="D12" s="3" t="s">
        <v>751</v>
      </c>
      <c r="E12" s="3">
        <v>2024</v>
      </c>
      <c r="F12" s="3">
        <v>2023</v>
      </c>
      <c r="G12" s="3" t="s">
        <v>753</v>
      </c>
      <c r="H12" s="3" t="s">
        <v>754</v>
      </c>
      <c r="I12" s="3">
        <v>9.5333330000000007</v>
      </c>
      <c r="J12" s="3">
        <v>76.599999999999994</v>
      </c>
      <c r="K12" s="3" t="s">
        <v>920</v>
      </c>
      <c r="L12" s="3" t="s">
        <v>756</v>
      </c>
      <c r="M12" s="3" t="s">
        <v>921</v>
      </c>
      <c r="N12" s="3" t="s">
        <v>1922</v>
      </c>
      <c r="O12" s="3" t="s">
        <v>923</v>
      </c>
      <c r="P12" s="3" t="s">
        <v>763</v>
      </c>
      <c r="Q12" s="3" t="s">
        <v>763</v>
      </c>
      <c r="R12" s="3" t="s">
        <v>924</v>
      </c>
      <c r="S12" s="3" t="s">
        <v>787</v>
      </c>
      <c r="T12" s="3" t="s">
        <v>865</v>
      </c>
      <c r="U12" s="3" t="s">
        <v>925</v>
      </c>
      <c r="V12" s="3" t="s">
        <v>2033</v>
      </c>
      <c r="W12" s="3" t="s">
        <v>766</v>
      </c>
      <c r="X12" s="3" t="s">
        <v>787</v>
      </c>
      <c r="Y12" s="3" t="s">
        <v>927</v>
      </c>
      <c r="Z12" s="3" t="s">
        <v>768</v>
      </c>
      <c r="AA12" s="3" t="s">
        <v>928</v>
      </c>
      <c r="AB12" s="3" t="s">
        <v>763</v>
      </c>
      <c r="AC12" s="3" t="s">
        <v>929</v>
      </c>
      <c r="AD12" s="3" t="s">
        <v>930</v>
      </c>
      <c r="AE12" s="3" t="s">
        <v>931</v>
      </c>
      <c r="AF12" s="3" t="s">
        <v>763</v>
      </c>
    </row>
    <row r="13" spans="1:32" x14ac:dyDescent="0.35">
      <c r="A13" s="3">
        <v>12</v>
      </c>
      <c r="B13" s="3" t="s">
        <v>932</v>
      </c>
      <c r="C13" s="3" t="s">
        <v>933</v>
      </c>
      <c r="D13" s="3" t="s">
        <v>751</v>
      </c>
      <c r="E13" s="3">
        <v>2023</v>
      </c>
      <c r="F13" s="3" t="s">
        <v>763</v>
      </c>
      <c r="G13" s="3" t="s">
        <v>753</v>
      </c>
      <c r="H13" s="3" t="s">
        <v>754</v>
      </c>
      <c r="I13" s="3">
        <v>9.8820949999999996</v>
      </c>
      <c r="J13" s="3">
        <v>78.081536999999997</v>
      </c>
      <c r="K13" s="3" t="s">
        <v>934</v>
      </c>
      <c r="L13" s="3" t="s">
        <v>756</v>
      </c>
      <c r="M13" s="3" t="s">
        <v>763</v>
      </c>
      <c r="N13" s="3" t="s">
        <v>763</v>
      </c>
      <c r="O13" s="3" t="s">
        <v>763</v>
      </c>
      <c r="P13" s="3" t="s">
        <v>763</v>
      </c>
      <c r="Q13" s="3" t="s">
        <v>763</v>
      </c>
      <c r="R13" s="3" t="s">
        <v>833</v>
      </c>
      <c r="S13" s="3" t="s">
        <v>762</v>
      </c>
      <c r="T13" s="3" t="s">
        <v>865</v>
      </c>
      <c r="U13" s="3" t="s">
        <v>936</v>
      </c>
      <c r="V13" s="3" t="s">
        <v>2026</v>
      </c>
      <c r="W13" s="3" t="s">
        <v>766</v>
      </c>
      <c r="X13" s="3" t="s">
        <v>762</v>
      </c>
      <c r="Y13" s="3" t="s">
        <v>763</v>
      </c>
      <c r="Z13" s="3" t="s">
        <v>768</v>
      </c>
      <c r="AA13" s="3" t="s">
        <v>938</v>
      </c>
      <c r="AB13" s="3" t="s">
        <v>763</v>
      </c>
      <c r="AC13" s="3" t="s">
        <v>939</v>
      </c>
      <c r="AD13" s="3" t="s">
        <v>2006</v>
      </c>
      <c r="AE13" s="3" t="s">
        <v>941</v>
      </c>
      <c r="AF13" s="3" t="s">
        <v>942</v>
      </c>
    </row>
    <row r="14" spans="1:32" x14ac:dyDescent="0.35">
      <c r="A14" s="3">
        <v>13</v>
      </c>
      <c r="B14" s="3" t="s">
        <v>958</v>
      </c>
      <c r="C14" s="3" t="s">
        <v>959</v>
      </c>
      <c r="D14" s="3" t="s">
        <v>751</v>
      </c>
      <c r="E14" s="3">
        <v>2021</v>
      </c>
      <c r="F14" s="3">
        <v>2020</v>
      </c>
      <c r="G14" s="3" t="s">
        <v>753</v>
      </c>
      <c r="H14" s="3" t="s">
        <v>776</v>
      </c>
      <c r="I14" s="3">
        <v>-6.2394439999999998</v>
      </c>
      <c r="J14" s="3">
        <v>106.992778</v>
      </c>
      <c r="K14" s="3" t="s">
        <v>962</v>
      </c>
      <c r="L14" s="3" t="s">
        <v>832</v>
      </c>
      <c r="M14" s="3" t="s">
        <v>763</v>
      </c>
      <c r="N14" s="3" t="s">
        <v>763</v>
      </c>
      <c r="O14" s="3" t="s">
        <v>763</v>
      </c>
      <c r="P14" s="3" t="s">
        <v>763</v>
      </c>
      <c r="Q14" s="3" t="s">
        <v>763</v>
      </c>
      <c r="R14" s="3" t="s">
        <v>1560</v>
      </c>
      <c r="S14" s="3" t="s">
        <v>787</v>
      </c>
      <c r="T14" s="3" t="s">
        <v>1031</v>
      </c>
      <c r="U14" s="3" t="s">
        <v>1989</v>
      </c>
      <c r="V14" s="3" t="s">
        <v>2026</v>
      </c>
      <c r="W14" s="3" t="s">
        <v>766</v>
      </c>
      <c r="X14" s="3" t="s">
        <v>787</v>
      </c>
      <c r="Y14" s="3" t="s">
        <v>763</v>
      </c>
      <c r="Z14" s="3" t="s">
        <v>789</v>
      </c>
      <c r="AA14" s="3" t="s">
        <v>966</v>
      </c>
      <c r="AB14" s="3" t="s">
        <v>967</v>
      </c>
      <c r="AC14" s="3" t="s">
        <v>968</v>
      </c>
      <c r="AD14" s="3" t="s">
        <v>763</v>
      </c>
      <c r="AE14" s="3" t="s">
        <v>969</v>
      </c>
      <c r="AF14" s="3" t="s">
        <v>763</v>
      </c>
    </row>
    <row r="15" spans="1:32" x14ac:dyDescent="0.35">
      <c r="A15" s="3">
        <v>14</v>
      </c>
      <c r="B15" s="3" t="s">
        <v>92</v>
      </c>
      <c r="C15" s="3" t="s">
        <v>1008</v>
      </c>
      <c r="D15" s="3" t="s">
        <v>751</v>
      </c>
      <c r="E15" s="3">
        <v>2020</v>
      </c>
      <c r="F15" s="27">
        <v>43831</v>
      </c>
      <c r="G15" s="3" t="s">
        <v>753</v>
      </c>
      <c r="H15" s="3" t="s">
        <v>754</v>
      </c>
      <c r="I15" s="3">
        <v>23.241667</v>
      </c>
      <c r="J15" s="3">
        <v>77.391666999999998</v>
      </c>
      <c r="K15" s="3" t="s">
        <v>1012</v>
      </c>
      <c r="L15" s="3" t="s">
        <v>756</v>
      </c>
      <c r="M15" s="3" t="s">
        <v>1912</v>
      </c>
      <c r="N15" s="3" t="s">
        <v>1923</v>
      </c>
      <c r="O15" s="3" t="s">
        <v>1956</v>
      </c>
      <c r="P15" s="3" t="s">
        <v>1016</v>
      </c>
      <c r="Q15" s="3" t="s">
        <v>763</v>
      </c>
      <c r="R15" s="3" t="s">
        <v>833</v>
      </c>
      <c r="S15" s="3" t="s">
        <v>787</v>
      </c>
      <c r="T15" s="3" t="s">
        <v>865</v>
      </c>
      <c r="U15" s="3" t="s">
        <v>764</v>
      </c>
      <c r="V15" s="29" t="s">
        <v>2030</v>
      </c>
      <c r="W15" s="3" t="s">
        <v>766</v>
      </c>
      <c r="X15" s="3" t="s">
        <v>787</v>
      </c>
      <c r="Y15" s="3" t="s">
        <v>763</v>
      </c>
      <c r="Z15" s="3" t="s">
        <v>768</v>
      </c>
      <c r="AA15" s="3" t="s">
        <v>1781</v>
      </c>
      <c r="AB15" s="3" t="s">
        <v>763</v>
      </c>
      <c r="AC15" s="3" t="s">
        <v>1013</v>
      </c>
      <c r="AD15" s="3" t="s">
        <v>1022</v>
      </c>
      <c r="AE15" s="3" t="s">
        <v>1018</v>
      </c>
      <c r="AF15" s="3" t="s">
        <v>2046</v>
      </c>
    </row>
    <row r="16" spans="1:32" x14ac:dyDescent="0.35">
      <c r="A16" s="3">
        <v>15</v>
      </c>
      <c r="B16" s="3" t="s">
        <v>98</v>
      </c>
      <c r="C16" s="3" t="s">
        <v>1030</v>
      </c>
      <c r="D16" s="3" t="s">
        <v>751</v>
      </c>
      <c r="E16" s="3">
        <v>2018</v>
      </c>
      <c r="F16" s="3" t="s">
        <v>1897</v>
      </c>
      <c r="G16" s="3" t="s">
        <v>795</v>
      </c>
      <c r="H16" s="3" t="s">
        <v>754</v>
      </c>
      <c r="I16" s="3">
        <v>9.9311939999999996</v>
      </c>
      <c r="J16" s="3">
        <v>76.267306000000005</v>
      </c>
      <c r="K16" s="3" t="s">
        <v>1753</v>
      </c>
      <c r="L16" s="3" t="s">
        <v>756</v>
      </c>
      <c r="M16" s="3" t="s">
        <v>1024</v>
      </c>
      <c r="N16" s="3" t="s">
        <v>1924</v>
      </c>
      <c r="O16" s="3" t="s">
        <v>1959</v>
      </c>
      <c r="P16" s="3" t="s">
        <v>759</v>
      </c>
      <c r="Q16" s="3" t="s">
        <v>763</v>
      </c>
      <c r="R16" s="3" t="s">
        <v>786</v>
      </c>
      <c r="S16" s="3" t="s">
        <v>762</v>
      </c>
      <c r="T16" s="3" t="s">
        <v>1031</v>
      </c>
      <c r="U16" s="3" t="s">
        <v>1991</v>
      </c>
      <c r="V16" s="3" t="s">
        <v>1032</v>
      </c>
      <c r="W16" s="3" t="s">
        <v>766</v>
      </c>
      <c r="X16" s="3" t="s">
        <v>762</v>
      </c>
      <c r="Y16" s="3" t="s">
        <v>763</v>
      </c>
      <c r="Z16" s="3" t="s">
        <v>789</v>
      </c>
      <c r="AA16" s="3" t="s">
        <v>1033</v>
      </c>
      <c r="AB16" s="3" t="s">
        <v>763</v>
      </c>
      <c r="AC16" s="3" t="s">
        <v>1034</v>
      </c>
      <c r="AD16" s="3" t="s">
        <v>763</v>
      </c>
      <c r="AE16" s="3" t="s">
        <v>763</v>
      </c>
      <c r="AF16" s="3" t="s">
        <v>1027</v>
      </c>
    </row>
    <row r="17" spans="1:32" x14ac:dyDescent="0.35">
      <c r="A17" s="3">
        <v>16</v>
      </c>
      <c r="B17" t="s">
        <v>111</v>
      </c>
      <c r="C17" t="s">
        <v>113</v>
      </c>
      <c r="D17" s="3" t="s">
        <v>751</v>
      </c>
      <c r="E17" s="3">
        <v>2018</v>
      </c>
      <c r="F17" s="3">
        <v>2016</v>
      </c>
      <c r="G17" s="3" t="s">
        <v>753</v>
      </c>
      <c r="H17" s="3" t="s">
        <v>776</v>
      </c>
      <c r="I17" s="3">
        <v>-6.2249999999999996</v>
      </c>
      <c r="J17" s="3">
        <v>106.63333299999999</v>
      </c>
      <c r="K17" s="3" t="s">
        <v>1037</v>
      </c>
      <c r="L17" s="3" t="s">
        <v>832</v>
      </c>
      <c r="M17" s="3" t="s">
        <v>763</v>
      </c>
      <c r="N17" s="3" t="s">
        <v>763</v>
      </c>
      <c r="O17" s="3" t="s">
        <v>763</v>
      </c>
      <c r="P17" s="3" t="s">
        <v>763</v>
      </c>
      <c r="Q17" s="3" t="s">
        <v>763</v>
      </c>
      <c r="R17" s="3" t="s">
        <v>1560</v>
      </c>
      <c r="S17" s="3" t="s">
        <v>787</v>
      </c>
      <c r="T17" s="3" t="s">
        <v>1031</v>
      </c>
      <c r="U17" s="3" t="s">
        <v>1039</v>
      </c>
      <c r="V17" s="3" t="s">
        <v>2026</v>
      </c>
      <c r="W17" s="3" t="s">
        <v>766</v>
      </c>
      <c r="X17" s="3" t="s">
        <v>787</v>
      </c>
      <c r="Y17" s="3" t="s">
        <v>763</v>
      </c>
      <c r="Z17" s="3" t="s">
        <v>789</v>
      </c>
      <c r="AA17" s="3" t="s">
        <v>1041</v>
      </c>
      <c r="AB17" s="3" t="s">
        <v>1040</v>
      </c>
      <c r="AC17" s="3" t="s">
        <v>2007</v>
      </c>
      <c r="AD17" s="3" t="s">
        <v>763</v>
      </c>
      <c r="AE17" s="3" t="s">
        <v>2010</v>
      </c>
      <c r="AF17" s="5" t="s">
        <v>1044</v>
      </c>
    </row>
    <row r="18" spans="1:32" x14ac:dyDescent="0.35">
      <c r="A18" s="3">
        <v>17</v>
      </c>
      <c r="B18" t="s">
        <v>126</v>
      </c>
      <c r="C18" t="s">
        <v>128</v>
      </c>
      <c r="D18" s="3" t="s">
        <v>751</v>
      </c>
      <c r="E18" s="3">
        <v>2023</v>
      </c>
      <c r="F18" s="3">
        <v>2019</v>
      </c>
      <c r="G18" s="3" t="s">
        <v>753</v>
      </c>
      <c r="H18" s="3" t="s">
        <v>776</v>
      </c>
      <c r="I18" s="3">
        <v>-20.761651000000001</v>
      </c>
      <c r="J18" s="3">
        <v>-42.870387999999998</v>
      </c>
      <c r="K18" s="3" t="s">
        <v>863</v>
      </c>
      <c r="L18" s="3" t="s">
        <v>846</v>
      </c>
      <c r="M18" s="3" t="s">
        <v>763</v>
      </c>
      <c r="N18" s="3" t="s">
        <v>763</v>
      </c>
      <c r="O18" s="3" t="s">
        <v>763</v>
      </c>
      <c r="P18" s="3" t="s">
        <v>763</v>
      </c>
      <c r="Q18" s="3" t="s">
        <v>850</v>
      </c>
      <c r="R18" s="3" t="s">
        <v>833</v>
      </c>
      <c r="S18" s="3" t="s">
        <v>787</v>
      </c>
      <c r="T18" s="3" t="s">
        <v>865</v>
      </c>
      <c r="U18" s="3" t="s">
        <v>1052</v>
      </c>
      <c r="V18" s="3" t="s">
        <v>1032</v>
      </c>
      <c r="W18" s="3" t="s">
        <v>766</v>
      </c>
      <c r="X18" s="3" t="s">
        <v>787</v>
      </c>
      <c r="Y18" s="3" t="s">
        <v>1053</v>
      </c>
      <c r="Z18" s="3" t="s">
        <v>789</v>
      </c>
      <c r="AA18" s="3" t="s">
        <v>763</v>
      </c>
      <c r="AB18" s="3" t="s">
        <v>763</v>
      </c>
      <c r="AC18" s="3" t="s">
        <v>1048</v>
      </c>
      <c r="AD18" s="3" t="s">
        <v>763</v>
      </c>
      <c r="AE18" s="3" t="s">
        <v>763</v>
      </c>
      <c r="AF18" s="3" t="s">
        <v>1051</v>
      </c>
    </row>
    <row r="19" spans="1:32" x14ac:dyDescent="0.35">
      <c r="A19" s="3">
        <v>18</v>
      </c>
      <c r="B19" t="s">
        <v>131</v>
      </c>
      <c r="C19" t="s">
        <v>133</v>
      </c>
      <c r="D19" s="3" t="s">
        <v>751</v>
      </c>
      <c r="E19" s="3">
        <v>2021</v>
      </c>
      <c r="F19" s="3">
        <v>2019</v>
      </c>
      <c r="G19" s="3" t="s">
        <v>753</v>
      </c>
      <c r="H19" s="3" t="s">
        <v>754</v>
      </c>
      <c r="I19" s="3">
        <v>3.103361</v>
      </c>
      <c r="J19" s="3">
        <v>101.625111</v>
      </c>
      <c r="K19" s="3" t="s">
        <v>1054</v>
      </c>
      <c r="L19" s="3" t="s">
        <v>799</v>
      </c>
      <c r="M19" s="3" t="s">
        <v>1019</v>
      </c>
      <c r="N19" s="3" t="s">
        <v>763</v>
      </c>
      <c r="O19" s="3" t="s">
        <v>1960</v>
      </c>
      <c r="P19" s="3" t="s">
        <v>763</v>
      </c>
      <c r="Q19" s="3" t="s">
        <v>763</v>
      </c>
      <c r="R19" s="3" t="s">
        <v>1055</v>
      </c>
      <c r="S19" s="3" t="s">
        <v>787</v>
      </c>
      <c r="T19" s="3" t="s">
        <v>834</v>
      </c>
      <c r="U19" s="3" t="s">
        <v>1059</v>
      </c>
      <c r="V19" s="3" t="s">
        <v>2026</v>
      </c>
      <c r="W19" s="3" t="s">
        <v>1058</v>
      </c>
      <c r="X19" s="3" t="s">
        <v>787</v>
      </c>
      <c r="Y19" s="3" t="s">
        <v>1066</v>
      </c>
      <c r="Z19" s="3" t="s">
        <v>789</v>
      </c>
      <c r="AA19" s="3" t="s">
        <v>763</v>
      </c>
      <c r="AB19" s="3" t="s">
        <v>763</v>
      </c>
      <c r="AC19" s="3" t="s">
        <v>1056</v>
      </c>
      <c r="AD19" s="3" t="s">
        <v>1057</v>
      </c>
      <c r="AE19" s="3" t="s">
        <v>2011</v>
      </c>
      <c r="AF19" s="3" t="s">
        <v>1064</v>
      </c>
    </row>
    <row r="20" spans="1:32" x14ac:dyDescent="0.35">
      <c r="A20" s="3">
        <v>19</v>
      </c>
      <c r="B20" t="s">
        <v>136</v>
      </c>
      <c r="C20" t="s">
        <v>138</v>
      </c>
      <c r="D20" s="3" t="s">
        <v>751</v>
      </c>
      <c r="E20" s="3">
        <v>2024</v>
      </c>
      <c r="F20" s="3" t="s">
        <v>1079</v>
      </c>
      <c r="G20" s="3" t="s">
        <v>753</v>
      </c>
      <c r="H20" s="3" t="s">
        <v>754</v>
      </c>
      <c r="I20" s="3">
        <v>14.292999999999999</v>
      </c>
      <c r="J20" s="3">
        <v>99.825999999999993</v>
      </c>
      <c r="K20" s="18" t="s">
        <v>1793</v>
      </c>
      <c r="L20" s="3" t="s">
        <v>1068</v>
      </c>
      <c r="M20" s="3" t="s">
        <v>763</v>
      </c>
      <c r="N20" s="3" t="s">
        <v>763</v>
      </c>
      <c r="O20" s="3" t="s">
        <v>763</v>
      </c>
      <c r="P20" s="3" t="s">
        <v>763</v>
      </c>
      <c r="Q20" s="3" t="s">
        <v>763</v>
      </c>
      <c r="R20" s="3" t="s">
        <v>833</v>
      </c>
      <c r="S20" s="3" t="s">
        <v>787</v>
      </c>
      <c r="T20" s="3" t="s">
        <v>1031</v>
      </c>
      <c r="U20" s="3" t="s">
        <v>1992</v>
      </c>
      <c r="V20" s="3" t="s">
        <v>2026</v>
      </c>
      <c r="W20" s="3" t="s">
        <v>766</v>
      </c>
      <c r="X20" s="3" t="s">
        <v>787</v>
      </c>
      <c r="Y20" s="3" t="s">
        <v>1072</v>
      </c>
      <c r="Z20" s="3" t="s">
        <v>768</v>
      </c>
      <c r="AA20" s="3" t="s">
        <v>1071</v>
      </c>
      <c r="AB20" s="3" t="s">
        <v>1073</v>
      </c>
      <c r="AC20" s="3" t="s">
        <v>1075</v>
      </c>
      <c r="AD20" s="3" t="s">
        <v>763</v>
      </c>
      <c r="AE20" s="3" t="s">
        <v>763</v>
      </c>
      <c r="AF20" s="3" t="s">
        <v>2047</v>
      </c>
    </row>
    <row r="21" spans="1:32" x14ac:dyDescent="0.35">
      <c r="A21" s="3">
        <v>20</v>
      </c>
      <c r="B21" t="s">
        <v>148</v>
      </c>
      <c r="C21" t="s">
        <v>150</v>
      </c>
      <c r="D21" s="3" t="s">
        <v>751</v>
      </c>
      <c r="E21" s="3">
        <v>2022</v>
      </c>
      <c r="F21" s="3">
        <v>2021</v>
      </c>
      <c r="G21" s="3" t="s">
        <v>753</v>
      </c>
      <c r="H21" s="3" t="s">
        <v>754</v>
      </c>
      <c r="I21" s="3">
        <v>23.181944000000001</v>
      </c>
      <c r="J21" s="3">
        <v>77.421943999999996</v>
      </c>
      <c r="K21" s="3" t="s">
        <v>1012</v>
      </c>
      <c r="L21" s="3" t="s">
        <v>756</v>
      </c>
      <c r="M21" s="3" t="s">
        <v>1912</v>
      </c>
      <c r="N21" s="3" t="s">
        <v>1925</v>
      </c>
      <c r="O21" s="3" t="s">
        <v>1961</v>
      </c>
      <c r="P21" s="3" t="s">
        <v>763</v>
      </c>
      <c r="Q21" s="3" t="s">
        <v>763</v>
      </c>
      <c r="R21" s="3" t="s">
        <v>786</v>
      </c>
      <c r="S21" s="3" t="s">
        <v>762</v>
      </c>
      <c r="T21" s="3" t="s">
        <v>834</v>
      </c>
      <c r="U21" s="3" t="s">
        <v>1993</v>
      </c>
      <c r="V21" s="3" t="s">
        <v>2027</v>
      </c>
      <c r="W21" s="3" t="s">
        <v>766</v>
      </c>
      <c r="X21" s="3" t="s">
        <v>787</v>
      </c>
      <c r="Y21" s="3" t="s">
        <v>763</v>
      </c>
      <c r="Z21" s="3" t="s">
        <v>768</v>
      </c>
      <c r="AA21" s="3" t="s">
        <v>1089</v>
      </c>
      <c r="AB21" s="3" t="s">
        <v>1088</v>
      </c>
      <c r="AC21" s="3" t="s">
        <v>1084</v>
      </c>
      <c r="AD21" s="3" t="s">
        <v>763</v>
      </c>
      <c r="AE21" s="3" t="s">
        <v>1090</v>
      </c>
      <c r="AF21" s="3" t="s">
        <v>1087</v>
      </c>
    </row>
    <row r="22" spans="1:32" x14ac:dyDescent="0.35">
      <c r="A22" s="3">
        <v>21</v>
      </c>
      <c r="B22" t="s">
        <v>153</v>
      </c>
      <c r="C22" t="s">
        <v>155</v>
      </c>
      <c r="D22" s="3" t="s">
        <v>751</v>
      </c>
      <c r="E22" s="3">
        <v>2015</v>
      </c>
      <c r="F22" s="3">
        <v>2015</v>
      </c>
      <c r="G22" s="3" t="s">
        <v>753</v>
      </c>
      <c r="H22" s="3" t="s">
        <v>754</v>
      </c>
      <c r="I22" s="3">
        <v>1.5027779999999999</v>
      </c>
      <c r="J22" s="3">
        <v>103.93555600000001</v>
      </c>
      <c r="K22" t="s">
        <v>1095</v>
      </c>
      <c r="L22" s="3" t="s">
        <v>799</v>
      </c>
      <c r="M22" s="3" t="s">
        <v>763</v>
      </c>
      <c r="N22" s="3" t="s">
        <v>763</v>
      </c>
      <c r="O22" s="3" t="s">
        <v>763</v>
      </c>
      <c r="P22" s="3" t="s">
        <v>763</v>
      </c>
      <c r="Q22" s="3" t="s">
        <v>763</v>
      </c>
      <c r="R22" s="3" t="s">
        <v>1094</v>
      </c>
      <c r="S22" s="3" t="s">
        <v>787</v>
      </c>
      <c r="T22" s="3" t="s">
        <v>1031</v>
      </c>
      <c r="U22" s="3" t="s">
        <v>764</v>
      </c>
      <c r="V22" s="3" t="s">
        <v>2026</v>
      </c>
      <c r="W22" s="3" t="s">
        <v>766</v>
      </c>
      <c r="X22" s="3" t="s">
        <v>787</v>
      </c>
      <c r="Y22" t="s">
        <v>1096</v>
      </c>
      <c r="Z22" s="3" t="s">
        <v>789</v>
      </c>
      <c r="AA22" s="3" t="s">
        <v>763</v>
      </c>
      <c r="AB22" s="3" t="s">
        <v>763</v>
      </c>
      <c r="AC22" s="3" t="s">
        <v>1093</v>
      </c>
      <c r="AD22" s="3" t="s">
        <v>1097</v>
      </c>
      <c r="AE22" s="3" t="s">
        <v>1100</v>
      </c>
      <c r="AF22" s="3" t="s">
        <v>1092</v>
      </c>
    </row>
    <row r="23" spans="1:32" x14ac:dyDescent="0.35">
      <c r="A23" s="3">
        <v>22</v>
      </c>
      <c r="B23" t="s">
        <v>158</v>
      </c>
      <c r="C23" t="s">
        <v>160</v>
      </c>
      <c r="D23" s="3" t="s">
        <v>751</v>
      </c>
      <c r="E23" s="3">
        <v>2020</v>
      </c>
      <c r="F23" s="3" t="s">
        <v>763</v>
      </c>
      <c r="G23" s="3" t="s">
        <v>753</v>
      </c>
      <c r="H23" s="3" t="s">
        <v>754</v>
      </c>
      <c r="I23" s="3">
        <v>8.1652780000000007</v>
      </c>
      <c r="J23" s="3">
        <v>38.054443999999997</v>
      </c>
      <c r="K23" t="s">
        <v>1104</v>
      </c>
      <c r="L23" s="3" t="s">
        <v>1102</v>
      </c>
      <c r="M23" s="3" t="s">
        <v>763</v>
      </c>
      <c r="N23" s="3" t="s">
        <v>763</v>
      </c>
      <c r="O23" s="3" t="s">
        <v>763</v>
      </c>
      <c r="P23" s="3" t="s">
        <v>763</v>
      </c>
      <c r="Q23" s="3" t="s">
        <v>763</v>
      </c>
      <c r="R23" s="3" t="s">
        <v>833</v>
      </c>
      <c r="S23" s="3" t="s">
        <v>787</v>
      </c>
      <c r="T23" s="3" t="s">
        <v>865</v>
      </c>
      <c r="U23" s="3" t="s">
        <v>764</v>
      </c>
      <c r="V23" s="3" t="s">
        <v>2026</v>
      </c>
      <c r="W23" s="3" t="s">
        <v>766</v>
      </c>
      <c r="X23" s="3" t="s">
        <v>787</v>
      </c>
      <c r="Y23" s="3" t="s">
        <v>763</v>
      </c>
      <c r="Z23" s="3" t="s">
        <v>768</v>
      </c>
      <c r="AA23" s="3" t="s">
        <v>1103</v>
      </c>
      <c r="AB23" s="3" t="s">
        <v>1108</v>
      </c>
      <c r="AC23" s="3" t="s">
        <v>1107</v>
      </c>
      <c r="AD23" t="s">
        <v>1110</v>
      </c>
      <c r="AE23" s="3" t="s">
        <v>2012</v>
      </c>
      <c r="AF23" s="3" t="s">
        <v>1109</v>
      </c>
    </row>
    <row r="24" spans="1:32" x14ac:dyDescent="0.35">
      <c r="A24" s="3">
        <v>24</v>
      </c>
      <c r="B24" t="s">
        <v>173</v>
      </c>
      <c r="C24" t="s">
        <v>175</v>
      </c>
      <c r="D24" s="3" t="s">
        <v>751</v>
      </c>
      <c r="E24" s="3">
        <v>2024</v>
      </c>
      <c r="F24" s="3">
        <v>2020</v>
      </c>
      <c r="G24" s="3" t="s">
        <v>753</v>
      </c>
      <c r="H24" s="3" t="s">
        <v>754</v>
      </c>
      <c r="I24" s="3">
        <v>9.0783889999999996</v>
      </c>
      <c r="J24" s="3">
        <v>38.759208000000001</v>
      </c>
      <c r="K24" t="s">
        <v>1104</v>
      </c>
      <c r="L24" s="3" t="s">
        <v>1102</v>
      </c>
      <c r="M24" s="3" t="s">
        <v>763</v>
      </c>
      <c r="N24" t="s">
        <v>1926</v>
      </c>
      <c r="O24" t="s">
        <v>1962</v>
      </c>
      <c r="P24" s="3" t="s">
        <v>763</v>
      </c>
      <c r="Q24" s="3" t="s">
        <v>763</v>
      </c>
      <c r="R24" s="3" t="s">
        <v>833</v>
      </c>
      <c r="S24" s="3" t="s">
        <v>762</v>
      </c>
      <c r="T24" s="3" t="s">
        <v>865</v>
      </c>
      <c r="U24" s="3" t="s">
        <v>764</v>
      </c>
      <c r="V24" t="s">
        <v>2026</v>
      </c>
      <c r="W24" s="3" t="s">
        <v>766</v>
      </c>
      <c r="X24" s="3" t="s">
        <v>762</v>
      </c>
      <c r="Y24" s="3" t="s">
        <v>763</v>
      </c>
      <c r="Z24" s="3" t="s">
        <v>768</v>
      </c>
      <c r="AA24" s="3" t="s">
        <v>1121</v>
      </c>
      <c r="AB24" s="3" t="s">
        <v>1120</v>
      </c>
      <c r="AC24" s="3" t="s">
        <v>1124</v>
      </c>
      <c r="AD24" s="3" t="s">
        <v>763</v>
      </c>
      <c r="AE24" s="3" t="s">
        <v>1125</v>
      </c>
      <c r="AF24" t="s">
        <v>1119</v>
      </c>
    </row>
    <row r="25" spans="1:32" x14ac:dyDescent="0.35">
      <c r="A25" s="3">
        <v>25</v>
      </c>
      <c r="B25" t="s">
        <v>1144</v>
      </c>
      <c r="C25" t="s">
        <v>1145</v>
      </c>
      <c r="D25" s="3" t="s">
        <v>751</v>
      </c>
      <c r="E25" s="3">
        <v>2019</v>
      </c>
      <c r="F25" s="3">
        <v>2018</v>
      </c>
      <c r="G25" s="3" t="s">
        <v>753</v>
      </c>
      <c r="H25" s="3" t="s">
        <v>754</v>
      </c>
      <c r="I25" s="3">
        <v>10.296523000000001</v>
      </c>
      <c r="J25" s="3">
        <v>123.8986</v>
      </c>
      <c r="K25" t="s">
        <v>1143</v>
      </c>
      <c r="L25" s="3" t="s">
        <v>1112</v>
      </c>
      <c r="M25" t="s">
        <v>1208</v>
      </c>
      <c r="N25" t="s">
        <v>1927</v>
      </c>
      <c r="O25" t="s">
        <v>1963</v>
      </c>
      <c r="P25" s="3" t="s">
        <v>763</v>
      </c>
      <c r="Q25" s="3" t="s">
        <v>763</v>
      </c>
      <c r="R25" s="3" t="s">
        <v>786</v>
      </c>
      <c r="S25" s="3" t="s">
        <v>787</v>
      </c>
      <c r="T25" s="3" t="s">
        <v>834</v>
      </c>
      <c r="U25" s="3" t="s">
        <v>1148</v>
      </c>
      <c r="V25" t="s">
        <v>2027</v>
      </c>
      <c r="W25" s="3" t="s">
        <v>766</v>
      </c>
      <c r="X25" s="3" t="s">
        <v>787</v>
      </c>
      <c r="Y25" s="3" t="s">
        <v>1142</v>
      </c>
      <c r="Z25" s="3" t="s">
        <v>789</v>
      </c>
      <c r="AA25" t="s">
        <v>1146</v>
      </c>
      <c r="AB25" s="7" t="s">
        <v>1147</v>
      </c>
      <c r="AC25" t="s">
        <v>1156</v>
      </c>
      <c r="AD25" s="3" t="s">
        <v>763</v>
      </c>
      <c r="AE25" s="7" t="s">
        <v>1157</v>
      </c>
      <c r="AF25" t="s">
        <v>1150</v>
      </c>
    </row>
    <row r="26" spans="1:32" x14ac:dyDescent="0.35">
      <c r="A26" s="3">
        <v>26</v>
      </c>
      <c r="B26" t="s">
        <v>183</v>
      </c>
      <c r="C26" t="s">
        <v>1158</v>
      </c>
      <c r="D26" s="3" t="s">
        <v>751</v>
      </c>
      <c r="E26" s="3">
        <v>2019</v>
      </c>
      <c r="F26" s="3" t="s">
        <v>1898</v>
      </c>
      <c r="G26" s="3" t="s">
        <v>753</v>
      </c>
      <c r="H26" s="3" t="s">
        <v>754</v>
      </c>
      <c r="I26" s="3">
        <v>1.3122499999999999</v>
      </c>
      <c r="J26" s="3">
        <v>103.910861</v>
      </c>
      <c r="K26" t="s">
        <v>1159</v>
      </c>
      <c r="L26" t="s">
        <v>1159</v>
      </c>
      <c r="M26" t="s">
        <v>1019</v>
      </c>
      <c r="N26" t="s">
        <v>1928</v>
      </c>
      <c r="O26" t="s">
        <v>1964</v>
      </c>
      <c r="P26" s="3" t="s">
        <v>948</v>
      </c>
      <c r="Q26" s="3" t="s">
        <v>763</v>
      </c>
      <c r="R26" s="3" t="s">
        <v>786</v>
      </c>
      <c r="S26" s="3" t="s">
        <v>762</v>
      </c>
      <c r="T26" s="3" t="s">
        <v>834</v>
      </c>
      <c r="U26" s="3" t="s">
        <v>1994</v>
      </c>
      <c r="V26" t="s">
        <v>2026</v>
      </c>
      <c r="W26" s="3" t="s">
        <v>766</v>
      </c>
      <c r="X26" s="3" t="s">
        <v>826</v>
      </c>
      <c r="Y26" s="3" t="s">
        <v>1170</v>
      </c>
      <c r="Z26" s="3" t="s">
        <v>789</v>
      </c>
      <c r="AA26" s="3" t="s">
        <v>763</v>
      </c>
      <c r="AB26" s="7" t="s">
        <v>1169</v>
      </c>
      <c r="AC26" t="s">
        <v>763</v>
      </c>
      <c r="AD26" s="3" t="s">
        <v>763</v>
      </c>
      <c r="AE26" s="7" t="s">
        <v>1168</v>
      </c>
      <c r="AF26" t="s">
        <v>1136</v>
      </c>
    </row>
    <row r="27" spans="1:32" x14ac:dyDescent="0.35">
      <c r="A27" s="3">
        <v>27</v>
      </c>
      <c r="B27" t="s">
        <v>185</v>
      </c>
      <c r="C27" t="s">
        <v>187</v>
      </c>
      <c r="D27" s="3" t="s">
        <v>751</v>
      </c>
      <c r="E27" s="3">
        <v>2023</v>
      </c>
      <c r="F27" s="3">
        <v>2013</v>
      </c>
      <c r="G27" s="3" t="s">
        <v>753</v>
      </c>
      <c r="H27" s="3" t="s">
        <v>754</v>
      </c>
      <c r="I27" s="3">
        <v>19.546806</v>
      </c>
      <c r="J27" s="3">
        <v>-96.950417000000002</v>
      </c>
      <c r="K27" t="s">
        <v>1171</v>
      </c>
      <c r="L27" t="s">
        <v>894</v>
      </c>
      <c r="M27" t="s">
        <v>1019</v>
      </c>
      <c r="N27" s="3" t="s">
        <v>763</v>
      </c>
      <c r="O27" s="3" t="s">
        <v>763</v>
      </c>
      <c r="P27" s="3" t="s">
        <v>763</v>
      </c>
      <c r="Q27" s="3" t="s">
        <v>763</v>
      </c>
      <c r="R27" s="3" t="s">
        <v>833</v>
      </c>
      <c r="S27" s="3" t="s">
        <v>787</v>
      </c>
      <c r="T27" s="3" t="s">
        <v>865</v>
      </c>
      <c r="U27" s="3" t="s">
        <v>764</v>
      </c>
      <c r="V27" t="s">
        <v>2027</v>
      </c>
      <c r="W27" t="s">
        <v>766</v>
      </c>
      <c r="X27" s="3" t="s">
        <v>787</v>
      </c>
      <c r="Y27" s="3" t="s">
        <v>763</v>
      </c>
      <c r="Z27" s="3" t="s">
        <v>789</v>
      </c>
      <c r="AA27" s="3" t="s">
        <v>1175</v>
      </c>
      <c r="AB27" s="7" t="s">
        <v>1174</v>
      </c>
      <c r="AC27" t="s">
        <v>1172</v>
      </c>
      <c r="AD27" s="3" t="s">
        <v>763</v>
      </c>
      <c r="AE27" t="s">
        <v>1176</v>
      </c>
      <c r="AF27" t="s">
        <v>1160</v>
      </c>
    </row>
    <row r="28" spans="1:32" x14ac:dyDescent="0.35">
      <c r="A28" s="3">
        <v>28</v>
      </c>
      <c r="B28" t="s">
        <v>200</v>
      </c>
      <c r="C28" t="s">
        <v>202</v>
      </c>
      <c r="D28" s="3" t="s">
        <v>751</v>
      </c>
      <c r="E28" s="3">
        <v>2018</v>
      </c>
      <c r="F28" s="3" t="s">
        <v>1899</v>
      </c>
      <c r="G28" s="3" t="s">
        <v>795</v>
      </c>
      <c r="H28" s="3" t="s">
        <v>776</v>
      </c>
      <c r="I28" s="3">
        <v>-8.6636769999999999</v>
      </c>
      <c r="J28" s="3">
        <v>115.22344699999999</v>
      </c>
      <c r="K28" t="s">
        <v>1754</v>
      </c>
      <c r="L28" t="s">
        <v>832</v>
      </c>
      <c r="M28" t="s">
        <v>1019</v>
      </c>
      <c r="N28" s="3" t="s">
        <v>763</v>
      </c>
      <c r="O28" t="s">
        <v>1965</v>
      </c>
      <c r="P28" s="3" t="s">
        <v>763</v>
      </c>
      <c r="Q28" s="3" t="s">
        <v>763</v>
      </c>
      <c r="R28" t="s">
        <v>1187</v>
      </c>
      <c r="S28" s="3" t="s">
        <v>787</v>
      </c>
      <c r="T28" s="3" t="s">
        <v>1397</v>
      </c>
      <c r="U28" s="3" t="s">
        <v>1182</v>
      </c>
      <c r="V28" t="s">
        <v>1744</v>
      </c>
      <c r="W28" s="3" t="s">
        <v>2165</v>
      </c>
      <c r="X28" s="3" t="s">
        <v>787</v>
      </c>
      <c r="Y28" s="3" t="s">
        <v>1189</v>
      </c>
      <c r="Z28" s="3" t="s">
        <v>789</v>
      </c>
      <c r="AA28" s="3" t="s">
        <v>763</v>
      </c>
      <c r="AB28" s="7" t="s">
        <v>763</v>
      </c>
      <c r="AC28" s="8" t="s">
        <v>1186</v>
      </c>
      <c r="AD28" s="7" t="s">
        <v>763</v>
      </c>
      <c r="AE28" t="s">
        <v>763</v>
      </c>
      <c r="AF28" t="s">
        <v>763</v>
      </c>
    </row>
    <row r="29" spans="1:32" x14ac:dyDescent="0.35">
      <c r="A29" s="3">
        <v>29</v>
      </c>
      <c r="B29" t="s">
        <v>210</v>
      </c>
      <c r="C29" t="s">
        <v>212</v>
      </c>
      <c r="D29" s="3" t="s">
        <v>751</v>
      </c>
      <c r="E29" s="3">
        <v>2024</v>
      </c>
      <c r="F29" s="3" t="s">
        <v>1900</v>
      </c>
      <c r="G29" s="3" t="s">
        <v>753</v>
      </c>
      <c r="H29" s="3" t="s">
        <v>754</v>
      </c>
      <c r="I29" s="3">
        <v>11.266667</v>
      </c>
      <c r="J29" s="3">
        <v>36.833333000000003</v>
      </c>
      <c r="K29" t="s">
        <v>1193</v>
      </c>
      <c r="L29" s="3" t="s">
        <v>1102</v>
      </c>
      <c r="M29" s="3" t="s">
        <v>1019</v>
      </c>
      <c r="N29" s="3" t="s">
        <v>1929</v>
      </c>
      <c r="O29" s="3" t="s">
        <v>1962</v>
      </c>
      <c r="P29" s="3" t="s">
        <v>1016</v>
      </c>
      <c r="Q29" s="3" t="s">
        <v>763</v>
      </c>
      <c r="R29" s="3" t="s">
        <v>833</v>
      </c>
      <c r="S29" s="3" t="s">
        <v>787</v>
      </c>
      <c r="T29" t="s">
        <v>1986</v>
      </c>
      <c r="U29" s="3" t="s">
        <v>764</v>
      </c>
      <c r="V29" s="3" t="s">
        <v>2026</v>
      </c>
      <c r="W29" s="3" t="s">
        <v>766</v>
      </c>
      <c r="X29" s="3" t="s">
        <v>787</v>
      </c>
      <c r="Y29" s="3" t="s">
        <v>763</v>
      </c>
      <c r="Z29" s="3" t="s">
        <v>768</v>
      </c>
      <c r="AA29" s="7" t="s">
        <v>1196</v>
      </c>
      <c r="AB29" s="7" t="s">
        <v>763</v>
      </c>
      <c r="AC29" s="8" t="s">
        <v>1194</v>
      </c>
      <c r="AD29" s="7" t="s">
        <v>763</v>
      </c>
      <c r="AE29" s="7" t="s">
        <v>2013</v>
      </c>
      <c r="AF29" s="7" t="s">
        <v>763</v>
      </c>
    </row>
    <row r="30" spans="1:32" x14ac:dyDescent="0.35">
      <c r="A30" s="3">
        <v>30</v>
      </c>
      <c r="B30" t="s">
        <v>235</v>
      </c>
      <c r="C30" t="s">
        <v>237</v>
      </c>
      <c r="D30" s="3" t="s">
        <v>751</v>
      </c>
      <c r="E30" s="3">
        <v>2021</v>
      </c>
      <c r="F30" s="27">
        <v>42401</v>
      </c>
      <c r="G30" s="3" t="s">
        <v>753</v>
      </c>
      <c r="H30" s="3" t="s">
        <v>754</v>
      </c>
      <c r="I30" s="3">
        <v>10.775556</v>
      </c>
      <c r="J30" s="3">
        <v>106.701944</v>
      </c>
      <c r="K30" t="s">
        <v>1204</v>
      </c>
      <c r="L30" s="3" t="s">
        <v>1202</v>
      </c>
      <c r="M30" t="s">
        <v>1208</v>
      </c>
      <c r="N30" s="3" t="s">
        <v>763</v>
      </c>
      <c r="O30" s="3" t="s">
        <v>763</v>
      </c>
      <c r="P30" s="3" t="s">
        <v>1016</v>
      </c>
      <c r="Q30" t="s">
        <v>1113</v>
      </c>
      <c r="R30" s="3" t="s">
        <v>1560</v>
      </c>
      <c r="S30" s="3" t="s">
        <v>787</v>
      </c>
      <c r="T30" t="s">
        <v>1211</v>
      </c>
      <c r="U30" s="3" t="s">
        <v>1205</v>
      </c>
      <c r="V30" t="s">
        <v>1744</v>
      </c>
      <c r="W30" s="3" t="s">
        <v>2165</v>
      </c>
      <c r="X30" s="3" t="s">
        <v>787</v>
      </c>
      <c r="Y30" s="3" t="s">
        <v>1209</v>
      </c>
      <c r="Z30" s="3" t="s">
        <v>789</v>
      </c>
      <c r="AA30" s="7" t="s">
        <v>763</v>
      </c>
      <c r="AB30" s="7" t="s">
        <v>763</v>
      </c>
      <c r="AC30" s="8" t="s">
        <v>1212</v>
      </c>
      <c r="AD30" s="7" t="s">
        <v>763</v>
      </c>
      <c r="AE30" s="7" t="s">
        <v>763</v>
      </c>
      <c r="AF30" s="7" t="s">
        <v>763</v>
      </c>
    </row>
    <row r="31" spans="1:32" x14ac:dyDescent="0.35">
      <c r="A31" s="3">
        <v>31</v>
      </c>
      <c r="B31" t="s">
        <v>254</v>
      </c>
      <c r="C31" t="s">
        <v>256</v>
      </c>
      <c r="D31" s="3" t="s">
        <v>751</v>
      </c>
      <c r="E31" s="3">
        <v>2017</v>
      </c>
      <c r="F31" s="3">
        <v>2007</v>
      </c>
      <c r="G31" s="3" t="s">
        <v>753</v>
      </c>
      <c r="H31" s="3" t="s">
        <v>754</v>
      </c>
      <c r="I31" s="3">
        <v>6.2319440000000004</v>
      </c>
      <c r="J31" s="3">
        <v>-75.568055999999999</v>
      </c>
      <c r="K31" t="s">
        <v>1214</v>
      </c>
      <c r="L31" s="3" t="s">
        <v>1213</v>
      </c>
      <c r="M31" s="3" t="s">
        <v>1019</v>
      </c>
      <c r="N31" t="s">
        <v>1930</v>
      </c>
      <c r="O31" t="s">
        <v>1966</v>
      </c>
      <c r="P31" s="3" t="s">
        <v>763</v>
      </c>
      <c r="Q31" s="3" t="s">
        <v>763</v>
      </c>
      <c r="R31" t="s">
        <v>786</v>
      </c>
      <c r="S31" s="3" t="s">
        <v>787</v>
      </c>
      <c r="T31" t="s">
        <v>834</v>
      </c>
      <c r="U31" s="8" t="s">
        <v>1222</v>
      </c>
      <c r="V31" s="29" t="s">
        <v>2032</v>
      </c>
      <c r="W31" s="3" t="s">
        <v>766</v>
      </c>
      <c r="X31" s="3" t="s">
        <v>787</v>
      </c>
      <c r="Y31" t="s">
        <v>1221</v>
      </c>
      <c r="Z31" s="3" t="s">
        <v>768</v>
      </c>
      <c r="AA31" s="7" t="s">
        <v>1220</v>
      </c>
      <c r="AB31" s="7" t="s">
        <v>763</v>
      </c>
      <c r="AC31" t="s">
        <v>1216</v>
      </c>
      <c r="AD31" s="7" t="s">
        <v>763</v>
      </c>
      <c r="AE31" s="7" t="s">
        <v>2014</v>
      </c>
      <c r="AF31" t="s">
        <v>2048</v>
      </c>
    </row>
    <row r="32" spans="1:32" x14ac:dyDescent="0.35">
      <c r="A32" s="3">
        <v>32</v>
      </c>
      <c r="B32" t="s">
        <v>259</v>
      </c>
      <c r="C32" t="s">
        <v>261</v>
      </c>
      <c r="D32" s="3" t="s">
        <v>751</v>
      </c>
      <c r="E32" s="3">
        <v>2021</v>
      </c>
      <c r="F32" s="3" t="s">
        <v>1264</v>
      </c>
      <c r="G32" s="3" t="s">
        <v>795</v>
      </c>
      <c r="H32" s="3" t="s">
        <v>754</v>
      </c>
      <c r="I32" s="3">
        <v>22.574999999999999</v>
      </c>
      <c r="J32" s="3">
        <v>90.775000000000006</v>
      </c>
      <c r="K32" s="19" t="s">
        <v>1770</v>
      </c>
      <c r="L32" s="3" t="s">
        <v>985</v>
      </c>
      <c r="M32" t="s">
        <v>1360</v>
      </c>
      <c r="N32" t="s">
        <v>1931</v>
      </c>
      <c r="O32" t="s">
        <v>1967</v>
      </c>
      <c r="P32" s="3" t="s">
        <v>763</v>
      </c>
      <c r="Q32" t="s">
        <v>1113</v>
      </c>
      <c r="R32" t="s">
        <v>1234</v>
      </c>
      <c r="S32" s="3" t="s">
        <v>787</v>
      </c>
      <c r="T32" s="3" t="s">
        <v>1235</v>
      </c>
      <c r="U32" s="8" t="s">
        <v>1995</v>
      </c>
      <c r="V32" t="s">
        <v>1744</v>
      </c>
      <c r="W32" s="3" t="s">
        <v>2165</v>
      </c>
      <c r="X32" s="3" t="s">
        <v>787</v>
      </c>
      <c r="Y32" s="3" t="s">
        <v>763</v>
      </c>
      <c r="Z32" s="3" t="s">
        <v>768</v>
      </c>
      <c r="AA32" t="s">
        <v>1233</v>
      </c>
      <c r="AB32" s="7" t="s">
        <v>763</v>
      </c>
      <c r="AC32" s="7" t="s">
        <v>1237</v>
      </c>
      <c r="AD32" s="7" t="s">
        <v>763</v>
      </c>
      <c r="AE32" s="7" t="s">
        <v>763</v>
      </c>
      <c r="AF32" t="s">
        <v>763</v>
      </c>
    </row>
    <row r="33" spans="1:32" x14ac:dyDescent="0.35">
      <c r="A33" s="3">
        <v>33</v>
      </c>
      <c r="B33" t="s">
        <v>263</v>
      </c>
      <c r="C33" t="s">
        <v>265</v>
      </c>
      <c r="D33" s="3" t="s">
        <v>751</v>
      </c>
      <c r="E33" s="3">
        <v>2009</v>
      </c>
      <c r="F33" s="3" t="s">
        <v>1901</v>
      </c>
      <c r="G33" s="3" t="s">
        <v>753</v>
      </c>
      <c r="H33" s="3" t="s">
        <v>754</v>
      </c>
      <c r="I33" s="3">
        <v>23.155556000000001</v>
      </c>
      <c r="J33" s="3">
        <v>77.366944000000004</v>
      </c>
      <c r="K33" t="s">
        <v>1012</v>
      </c>
      <c r="L33" s="3" t="s">
        <v>756</v>
      </c>
      <c r="M33" t="s">
        <v>1912</v>
      </c>
      <c r="N33" s="3" t="s">
        <v>763</v>
      </c>
      <c r="O33" s="3" t="s">
        <v>763</v>
      </c>
      <c r="P33" s="3" t="s">
        <v>948</v>
      </c>
      <c r="Q33" s="3" t="s">
        <v>763</v>
      </c>
      <c r="R33" s="3" t="s">
        <v>833</v>
      </c>
      <c r="S33" s="3" t="s">
        <v>787</v>
      </c>
      <c r="T33" s="3" t="s">
        <v>1238</v>
      </c>
      <c r="U33" s="7" t="s">
        <v>764</v>
      </c>
      <c r="V33" s="8" t="s">
        <v>2026</v>
      </c>
      <c r="W33" s="3" t="s">
        <v>766</v>
      </c>
      <c r="X33" s="3" t="s">
        <v>787</v>
      </c>
      <c r="Y33" s="3" t="s">
        <v>763</v>
      </c>
      <c r="Z33" s="3" t="s">
        <v>789</v>
      </c>
      <c r="AA33" t="s">
        <v>1244</v>
      </c>
      <c r="AB33" s="7" t="s">
        <v>763</v>
      </c>
      <c r="AC33" t="s">
        <v>1245</v>
      </c>
      <c r="AD33" s="7" t="s">
        <v>763</v>
      </c>
      <c r="AE33" s="8" t="s">
        <v>1248</v>
      </c>
      <c r="AF33" t="s">
        <v>2049</v>
      </c>
    </row>
    <row r="34" spans="1:32" x14ac:dyDescent="0.35">
      <c r="A34" s="3">
        <v>34</v>
      </c>
      <c r="B34" t="s">
        <v>268</v>
      </c>
      <c r="C34" t="s">
        <v>270</v>
      </c>
      <c r="D34" s="3" t="s">
        <v>751</v>
      </c>
      <c r="E34" s="3">
        <v>2024</v>
      </c>
      <c r="F34" s="3" t="s">
        <v>763</v>
      </c>
      <c r="G34" s="3" t="s">
        <v>753</v>
      </c>
      <c r="H34" s="3" t="s">
        <v>754</v>
      </c>
      <c r="I34" s="3">
        <v>16.478860999999998</v>
      </c>
      <c r="J34" s="3">
        <v>120.586167</v>
      </c>
      <c r="K34" t="s">
        <v>1250</v>
      </c>
      <c r="L34" s="3" t="s">
        <v>1112</v>
      </c>
      <c r="M34" t="s">
        <v>1913</v>
      </c>
      <c r="N34" s="3" t="s">
        <v>763</v>
      </c>
      <c r="O34" s="3" t="s">
        <v>763</v>
      </c>
      <c r="P34" s="3" t="s">
        <v>763</v>
      </c>
      <c r="Q34" s="3" t="s">
        <v>763</v>
      </c>
      <c r="R34" s="3" t="s">
        <v>833</v>
      </c>
      <c r="S34" s="3" t="s">
        <v>787</v>
      </c>
      <c r="T34" s="3" t="s">
        <v>1238</v>
      </c>
      <c r="U34" s="7" t="s">
        <v>1996</v>
      </c>
      <c r="V34" t="s">
        <v>2031</v>
      </c>
      <c r="W34" s="3" t="s">
        <v>766</v>
      </c>
      <c r="X34" s="3" t="s">
        <v>787</v>
      </c>
      <c r="Y34" s="3" t="s">
        <v>763</v>
      </c>
      <c r="Z34" s="3" t="s">
        <v>768</v>
      </c>
      <c r="AA34" t="s">
        <v>1249</v>
      </c>
      <c r="AB34" s="3" t="s">
        <v>763</v>
      </c>
      <c r="AC34" t="s">
        <v>1252</v>
      </c>
      <c r="AD34" t="s">
        <v>1251</v>
      </c>
      <c r="AE34" t="s">
        <v>2015</v>
      </c>
      <c r="AF34" t="s">
        <v>763</v>
      </c>
    </row>
    <row r="35" spans="1:32" x14ac:dyDescent="0.35">
      <c r="A35" s="3">
        <v>35</v>
      </c>
      <c r="B35" t="s">
        <v>273</v>
      </c>
      <c r="C35" t="s">
        <v>275</v>
      </c>
      <c r="D35" s="3" t="s">
        <v>751</v>
      </c>
      <c r="E35" s="3">
        <v>2023</v>
      </c>
      <c r="F35" s="3">
        <v>2017</v>
      </c>
      <c r="G35" s="3" t="s">
        <v>753</v>
      </c>
      <c r="H35" s="3" t="s">
        <v>754</v>
      </c>
      <c r="I35" s="3">
        <v>23.2</v>
      </c>
      <c r="J35" s="3">
        <v>83.033332999999999</v>
      </c>
      <c r="K35" t="s">
        <v>1258</v>
      </c>
      <c r="L35" s="3" t="s">
        <v>756</v>
      </c>
      <c r="M35" s="3" t="s">
        <v>1019</v>
      </c>
      <c r="N35" t="s">
        <v>1261</v>
      </c>
      <c r="O35" t="s">
        <v>1968</v>
      </c>
      <c r="P35" s="3" t="s">
        <v>763</v>
      </c>
      <c r="Q35" s="3" t="s">
        <v>763</v>
      </c>
      <c r="R35" t="s">
        <v>786</v>
      </c>
      <c r="S35" s="3" t="s">
        <v>787</v>
      </c>
      <c r="T35" s="3" t="s">
        <v>834</v>
      </c>
      <c r="U35" s="7" t="s">
        <v>764</v>
      </c>
      <c r="V35" s="7" t="s">
        <v>2031</v>
      </c>
      <c r="W35" s="3" t="s">
        <v>766</v>
      </c>
      <c r="X35" s="3" t="s">
        <v>787</v>
      </c>
      <c r="Y35" s="3" t="s">
        <v>763</v>
      </c>
      <c r="Z35" s="3" t="s">
        <v>789</v>
      </c>
      <c r="AA35" t="s">
        <v>2050</v>
      </c>
      <c r="AB35" s="3" t="s">
        <v>1266</v>
      </c>
      <c r="AC35" t="s">
        <v>1269</v>
      </c>
      <c r="AD35" t="s">
        <v>763</v>
      </c>
      <c r="AE35" s="8" t="s">
        <v>1265</v>
      </c>
      <c r="AF35" s="8" t="s">
        <v>1270</v>
      </c>
    </row>
    <row r="36" spans="1:32" x14ac:dyDescent="0.35">
      <c r="A36" s="3">
        <v>36</v>
      </c>
      <c r="B36" t="s">
        <v>283</v>
      </c>
      <c r="C36" t="s">
        <v>1158</v>
      </c>
      <c r="D36" s="3" t="s">
        <v>751</v>
      </c>
      <c r="E36" s="3">
        <v>2017</v>
      </c>
      <c r="F36" s="3" t="s">
        <v>763</v>
      </c>
      <c r="G36" s="3" t="s">
        <v>753</v>
      </c>
      <c r="H36" s="3" t="s">
        <v>754</v>
      </c>
      <c r="I36" s="3">
        <v>8.75</v>
      </c>
      <c r="J36" s="3">
        <v>38.65</v>
      </c>
      <c r="K36" t="s">
        <v>1104</v>
      </c>
      <c r="L36" s="3" t="s">
        <v>1102</v>
      </c>
      <c r="M36" s="3" t="s">
        <v>1913</v>
      </c>
      <c r="N36" s="3" t="s">
        <v>763</v>
      </c>
      <c r="O36" s="3" t="s">
        <v>763</v>
      </c>
      <c r="P36" s="3" t="s">
        <v>763</v>
      </c>
      <c r="Q36" s="3" t="s">
        <v>763</v>
      </c>
      <c r="R36" s="3" t="s">
        <v>833</v>
      </c>
      <c r="S36" s="3" t="s">
        <v>787</v>
      </c>
      <c r="T36" s="3" t="s">
        <v>1238</v>
      </c>
      <c r="U36" s="7" t="s">
        <v>764</v>
      </c>
      <c r="V36" s="7" t="s">
        <v>2031</v>
      </c>
      <c r="W36" s="3" t="s">
        <v>766</v>
      </c>
      <c r="X36" s="3" t="s">
        <v>787</v>
      </c>
      <c r="Y36" s="3" t="s">
        <v>763</v>
      </c>
      <c r="Z36" s="3" t="s">
        <v>768</v>
      </c>
      <c r="AA36" t="s">
        <v>1273</v>
      </c>
      <c r="AB36" s="3" t="s">
        <v>1271</v>
      </c>
      <c r="AC36" t="s">
        <v>1272</v>
      </c>
      <c r="AD36" t="s">
        <v>763</v>
      </c>
      <c r="AE36" s="8" t="s">
        <v>1274</v>
      </c>
      <c r="AF36" t="s">
        <v>2051</v>
      </c>
    </row>
    <row r="37" spans="1:32" x14ac:dyDescent="0.35">
      <c r="A37" s="3">
        <v>43</v>
      </c>
      <c r="B37" t="s">
        <v>292</v>
      </c>
      <c r="C37" t="s">
        <v>294</v>
      </c>
      <c r="D37" s="3" t="s">
        <v>751</v>
      </c>
      <c r="E37" s="3">
        <v>2023</v>
      </c>
      <c r="F37" s="3" t="s">
        <v>1282</v>
      </c>
      <c r="G37" s="3" t="s">
        <v>795</v>
      </c>
      <c r="H37" s="3" t="s">
        <v>754</v>
      </c>
      <c r="I37" s="3">
        <v>6.6678009999999999</v>
      </c>
      <c r="J37" s="3">
        <v>2.1480250000000001</v>
      </c>
      <c r="K37" t="s">
        <v>1788</v>
      </c>
      <c r="L37" s="3" t="s">
        <v>1280</v>
      </c>
      <c r="M37" t="s">
        <v>1208</v>
      </c>
      <c r="N37" s="3" t="s">
        <v>763</v>
      </c>
      <c r="O37" s="3" t="s">
        <v>763</v>
      </c>
      <c r="P37" s="3" t="s">
        <v>763</v>
      </c>
      <c r="Q37" s="3" t="s">
        <v>1883</v>
      </c>
      <c r="R37" t="s">
        <v>1285</v>
      </c>
      <c r="S37" s="3" t="s">
        <v>787</v>
      </c>
      <c r="T37" s="3" t="s">
        <v>1284</v>
      </c>
      <c r="U37" s="7" t="s">
        <v>1281</v>
      </c>
      <c r="V37" t="s">
        <v>1744</v>
      </c>
      <c r="W37" s="3" t="s">
        <v>2165</v>
      </c>
      <c r="X37" s="3" t="s">
        <v>787</v>
      </c>
      <c r="Y37" s="3" t="s">
        <v>763</v>
      </c>
      <c r="Z37" s="3" t="s">
        <v>768</v>
      </c>
      <c r="AA37" s="8" t="s">
        <v>1283</v>
      </c>
      <c r="AB37" s="7" t="s">
        <v>1792</v>
      </c>
      <c r="AC37" s="8" t="s">
        <v>1286</v>
      </c>
      <c r="AD37" t="s">
        <v>763</v>
      </c>
      <c r="AE37" s="8" t="s">
        <v>2016</v>
      </c>
      <c r="AF37" t="s">
        <v>763</v>
      </c>
    </row>
    <row r="38" spans="1:32" x14ac:dyDescent="0.35">
      <c r="A38" s="3">
        <v>38</v>
      </c>
      <c r="B38" t="s">
        <v>330</v>
      </c>
      <c r="C38" t="s">
        <v>332</v>
      </c>
      <c r="D38" s="3" t="s">
        <v>751</v>
      </c>
      <c r="E38" s="3">
        <v>2016</v>
      </c>
      <c r="F38" s="3">
        <v>2013</v>
      </c>
      <c r="G38" s="3" t="s">
        <v>753</v>
      </c>
      <c r="H38" s="3" t="s">
        <v>754</v>
      </c>
      <c r="I38" s="3">
        <v>19.283332999999999</v>
      </c>
      <c r="J38" s="3">
        <v>-99.183333000000005</v>
      </c>
      <c r="K38" t="s">
        <v>1292</v>
      </c>
      <c r="L38" s="3" t="s">
        <v>1213</v>
      </c>
      <c r="M38" s="3" t="s">
        <v>763</v>
      </c>
      <c r="N38" t="s">
        <v>1932</v>
      </c>
      <c r="O38" t="s">
        <v>1969</v>
      </c>
      <c r="P38" s="3" t="s">
        <v>763</v>
      </c>
      <c r="Q38" s="3" t="s">
        <v>763</v>
      </c>
      <c r="R38" s="3" t="s">
        <v>833</v>
      </c>
      <c r="S38" s="3" t="s">
        <v>787</v>
      </c>
      <c r="T38" s="3" t="s">
        <v>1284</v>
      </c>
      <c r="U38" s="7" t="s">
        <v>764</v>
      </c>
      <c r="V38" s="7" t="s">
        <v>2031</v>
      </c>
      <c r="W38" s="7" t="s">
        <v>766</v>
      </c>
      <c r="X38" s="3" t="s">
        <v>787</v>
      </c>
      <c r="Y38" s="3" t="s">
        <v>763</v>
      </c>
      <c r="Z38" s="3" t="s">
        <v>789</v>
      </c>
      <c r="AA38" s="7" t="s">
        <v>1296</v>
      </c>
      <c r="AB38" s="7" t="s">
        <v>1289</v>
      </c>
      <c r="AC38" s="8" t="s">
        <v>1297</v>
      </c>
      <c r="AD38" s="8" t="s">
        <v>1295</v>
      </c>
      <c r="AE38" s="8" t="s">
        <v>2017</v>
      </c>
      <c r="AF38" t="s">
        <v>2052</v>
      </c>
    </row>
    <row r="39" spans="1:32" ht="15.5" x14ac:dyDescent="0.35">
      <c r="A39" s="3">
        <v>39</v>
      </c>
      <c r="B39" t="s">
        <v>335</v>
      </c>
      <c r="C39" t="s">
        <v>337</v>
      </c>
      <c r="D39" s="3" t="s">
        <v>751</v>
      </c>
      <c r="E39" s="3">
        <v>2022</v>
      </c>
      <c r="F39" s="3" t="s">
        <v>1304</v>
      </c>
      <c r="G39" s="3" t="s">
        <v>795</v>
      </c>
      <c r="H39" s="3" t="s">
        <v>754</v>
      </c>
      <c r="I39" s="3">
        <v>18.159199999999998</v>
      </c>
      <c r="J39" s="3">
        <v>42.397908000000001</v>
      </c>
      <c r="K39" t="s">
        <v>1301</v>
      </c>
      <c r="L39" s="3" t="s">
        <v>1300</v>
      </c>
      <c r="M39" s="3" t="s">
        <v>763</v>
      </c>
      <c r="N39" t="s">
        <v>1933</v>
      </c>
      <c r="O39" t="s">
        <v>1970</v>
      </c>
      <c r="P39" s="3" t="s">
        <v>763</v>
      </c>
      <c r="Q39" t="s">
        <v>1306</v>
      </c>
      <c r="R39" t="s">
        <v>1889</v>
      </c>
      <c r="S39" s="3" t="s">
        <v>787</v>
      </c>
      <c r="T39" s="3" t="s">
        <v>1310</v>
      </c>
      <c r="U39" s="8" t="s">
        <v>1997</v>
      </c>
      <c r="V39" t="s">
        <v>1744</v>
      </c>
      <c r="W39" s="3" t="s">
        <v>2165</v>
      </c>
      <c r="X39" s="3" t="s">
        <v>787</v>
      </c>
      <c r="Y39" s="3" t="s">
        <v>763</v>
      </c>
      <c r="Z39" s="3" t="s">
        <v>768</v>
      </c>
      <c r="AA39" s="9" t="s">
        <v>1311</v>
      </c>
      <c r="AB39" s="7" t="s">
        <v>763</v>
      </c>
      <c r="AC39" t="s">
        <v>1305</v>
      </c>
      <c r="AD39" s="8" t="s">
        <v>763</v>
      </c>
      <c r="AE39" t="s">
        <v>1307</v>
      </c>
      <c r="AF39" s="8" t="s">
        <v>1308</v>
      </c>
    </row>
    <row r="40" spans="1:32" x14ac:dyDescent="0.35">
      <c r="A40" s="3">
        <v>40</v>
      </c>
      <c r="B40" s="8" t="s">
        <v>360</v>
      </c>
      <c r="C40" s="8" t="s">
        <v>362</v>
      </c>
      <c r="D40" s="7" t="s">
        <v>751</v>
      </c>
      <c r="E40" s="7">
        <v>2018</v>
      </c>
      <c r="F40" s="7" t="s">
        <v>1312</v>
      </c>
      <c r="G40" s="7" t="s">
        <v>795</v>
      </c>
      <c r="H40" s="7" t="s">
        <v>776</v>
      </c>
      <c r="I40" s="3">
        <v>4.5980559999999997</v>
      </c>
      <c r="J40" s="3">
        <v>-74.075833000000003</v>
      </c>
      <c r="K40" s="8" t="s">
        <v>1292</v>
      </c>
      <c r="L40" s="7" t="s">
        <v>1213</v>
      </c>
      <c r="M40" s="8" t="s">
        <v>1914</v>
      </c>
      <c r="N40" s="8" t="s">
        <v>1916</v>
      </c>
      <c r="O40" s="8" t="s">
        <v>1971</v>
      </c>
      <c r="P40" s="7" t="s">
        <v>763</v>
      </c>
      <c r="Q40" s="8" t="s">
        <v>1884</v>
      </c>
      <c r="R40" s="3" t="s">
        <v>1560</v>
      </c>
      <c r="S40" s="7" t="s">
        <v>787</v>
      </c>
      <c r="T40" s="8" t="s">
        <v>1235</v>
      </c>
      <c r="U40" s="8" t="s">
        <v>1995</v>
      </c>
      <c r="V40" t="s">
        <v>1744</v>
      </c>
      <c r="W40" s="3" t="s">
        <v>2165</v>
      </c>
      <c r="X40" s="7" t="s">
        <v>787</v>
      </c>
      <c r="Y40" s="7" t="s">
        <v>763</v>
      </c>
      <c r="Z40" s="3" t="s">
        <v>768</v>
      </c>
      <c r="AA40" s="8" t="s">
        <v>1324</v>
      </c>
      <c r="AB40" s="7" t="s">
        <v>763</v>
      </c>
      <c r="AC40" s="8" t="s">
        <v>1323</v>
      </c>
      <c r="AD40" s="8" t="s">
        <v>763</v>
      </c>
      <c r="AE40" s="8" t="s">
        <v>763</v>
      </c>
      <c r="AF40" s="8" t="s">
        <v>1322</v>
      </c>
    </row>
    <row r="41" spans="1:32" x14ac:dyDescent="0.35">
      <c r="A41" s="3">
        <v>41</v>
      </c>
      <c r="B41" t="s">
        <v>364</v>
      </c>
      <c r="C41" t="s">
        <v>366</v>
      </c>
      <c r="D41" s="7" t="s">
        <v>751</v>
      </c>
      <c r="E41" s="7">
        <v>2021</v>
      </c>
      <c r="F41" s="3">
        <v>2018</v>
      </c>
      <c r="G41" s="7" t="s">
        <v>753</v>
      </c>
      <c r="H41" s="7" t="s">
        <v>754</v>
      </c>
      <c r="I41" s="3">
        <v>5.55</v>
      </c>
      <c r="J41" s="3">
        <v>-0.2</v>
      </c>
      <c r="K41" s="8" t="s">
        <v>1326</v>
      </c>
      <c r="L41" s="7" t="s">
        <v>1325</v>
      </c>
      <c r="M41" s="7" t="s">
        <v>1329</v>
      </c>
      <c r="N41" s="7" t="s">
        <v>1934</v>
      </c>
      <c r="O41" s="7" t="s">
        <v>1972</v>
      </c>
      <c r="P41" s="7" t="s">
        <v>763</v>
      </c>
      <c r="Q41" s="3" t="s">
        <v>763</v>
      </c>
      <c r="R41" s="8" t="s">
        <v>786</v>
      </c>
      <c r="S41" s="7" t="s">
        <v>787</v>
      </c>
      <c r="T41" s="7" t="s">
        <v>1031</v>
      </c>
      <c r="U41" s="8" t="s">
        <v>1998</v>
      </c>
      <c r="V41" s="7" t="s">
        <v>1032</v>
      </c>
      <c r="W41" s="7" t="s">
        <v>766</v>
      </c>
      <c r="X41" s="7" t="s">
        <v>787</v>
      </c>
      <c r="Y41" s="7" t="s">
        <v>1334</v>
      </c>
      <c r="Z41" s="7" t="s">
        <v>789</v>
      </c>
      <c r="AA41" s="7" t="s">
        <v>1335</v>
      </c>
      <c r="AB41" s="7" t="s">
        <v>763</v>
      </c>
      <c r="AC41" s="8" t="s">
        <v>1333</v>
      </c>
      <c r="AD41" s="8" t="s">
        <v>763</v>
      </c>
      <c r="AE41" s="8" t="s">
        <v>763</v>
      </c>
      <c r="AF41" s="8" t="s">
        <v>763</v>
      </c>
    </row>
    <row r="42" spans="1:32" x14ac:dyDescent="0.35">
      <c r="A42" s="3">
        <v>42</v>
      </c>
      <c r="B42" t="s">
        <v>374</v>
      </c>
      <c r="C42" t="s">
        <v>376</v>
      </c>
      <c r="D42" s="7" t="s">
        <v>751</v>
      </c>
      <c r="E42" s="7">
        <v>2010</v>
      </c>
      <c r="F42" s="3">
        <v>2009</v>
      </c>
      <c r="G42" s="7" t="s">
        <v>753</v>
      </c>
      <c r="H42" s="7" t="s">
        <v>776</v>
      </c>
      <c r="I42" s="3">
        <v>-23.15</v>
      </c>
      <c r="J42" s="3">
        <v>-46.333333000000003</v>
      </c>
      <c r="K42" s="8" t="s">
        <v>1349</v>
      </c>
      <c r="L42" s="7" t="s">
        <v>846</v>
      </c>
      <c r="M42" s="3" t="s">
        <v>763</v>
      </c>
      <c r="N42" s="3" t="s">
        <v>763</v>
      </c>
      <c r="O42" s="3" t="s">
        <v>763</v>
      </c>
      <c r="P42" s="3" t="s">
        <v>763</v>
      </c>
      <c r="Q42" t="s">
        <v>850</v>
      </c>
      <c r="R42" s="3" t="s">
        <v>833</v>
      </c>
      <c r="S42" s="3" t="s">
        <v>787</v>
      </c>
      <c r="T42" s="7" t="s">
        <v>1238</v>
      </c>
      <c r="U42" s="7" t="s">
        <v>764</v>
      </c>
      <c r="V42" t="s">
        <v>2031</v>
      </c>
      <c r="W42" s="7" t="s">
        <v>766</v>
      </c>
      <c r="X42" s="7" t="s">
        <v>787</v>
      </c>
      <c r="Y42" s="7" t="s">
        <v>763</v>
      </c>
      <c r="Z42" s="3" t="s">
        <v>768</v>
      </c>
      <c r="AA42" s="8" t="s">
        <v>1355</v>
      </c>
      <c r="AB42" s="7" t="s">
        <v>1350</v>
      </c>
      <c r="AC42" t="s">
        <v>1348</v>
      </c>
      <c r="AD42" s="8" t="s">
        <v>1351</v>
      </c>
      <c r="AE42" s="8" t="s">
        <v>763</v>
      </c>
      <c r="AF42" s="8" t="s">
        <v>1356</v>
      </c>
    </row>
    <row r="43" spans="1:32" x14ac:dyDescent="0.35">
      <c r="A43" s="3">
        <v>43</v>
      </c>
      <c r="B43" s="8" t="s">
        <v>394</v>
      </c>
      <c r="C43" s="8" t="s">
        <v>396</v>
      </c>
      <c r="D43" s="7" t="s">
        <v>751</v>
      </c>
      <c r="E43" s="7">
        <v>2019</v>
      </c>
      <c r="F43" s="7" t="s">
        <v>1357</v>
      </c>
      <c r="G43" s="7" t="s">
        <v>753</v>
      </c>
      <c r="H43" s="7" t="s">
        <v>754</v>
      </c>
      <c r="I43" s="3">
        <v>23.2</v>
      </c>
      <c r="J43" s="3">
        <v>83.033332999999999</v>
      </c>
      <c r="K43" s="8" t="s">
        <v>1358</v>
      </c>
      <c r="L43" s="7" t="s">
        <v>756</v>
      </c>
      <c r="M43" s="7" t="s">
        <v>1360</v>
      </c>
      <c r="N43" s="7" t="s">
        <v>1935</v>
      </c>
      <c r="O43" s="7" t="s">
        <v>1973</v>
      </c>
      <c r="P43" s="7" t="s">
        <v>1363</v>
      </c>
      <c r="Q43" s="7" t="s">
        <v>763</v>
      </c>
      <c r="R43" s="8" t="s">
        <v>786</v>
      </c>
      <c r="S43" s="7" t="s">
        <v>787</v>
      </c>
      <c r="T43" s="7" t="s">
        <v>834</v>
      </c>
      <c r="U43" s="7" t="s">
        <v>925</v>
      </c>
      <c r="V43" s="8" t="s">
        <v>2033</v>
      </c>
      <c r="W43" s="7" t="s">
        <v>1359</v>
      </c>
      <c r="X43" s="7" t="s">
        <v>787</v>
      </c>
      <c r="Y43" s="7" t="s">
        <v>763</v>
      </c>
      <c r="Z43" s="7" t="s">
        <v>768</v>
      </c>
      <c r="AA43" s="8" t="s">
        <v>1367</v>
      </c>
      <c r="AB43" s="7" t="s">
        <v>1368</v>
      </c>
      <c r="AC43" s="8" t="s">
        <v>1365</v>
      </c>
      <c r="AD43" s="8" t="s">
        <v>763</v>
      </c>
      <c r="AE43" s="8" t="s">
        <v>1366</v>
      </c>
      <c r="AF43" s="8" t="s">
        <v>1369</v>
      </c>
    </row>
    <row r="44" spans="1:32" x14ac:dyDescent="0.35">
      <c r="A44" s="3">
        <v>44</v>
      </c>
      <c r="B44" s="8" t="s">
        <v>399</v>
      </c>
      <c r="C44" s="8" t="s">
        <v>401</v>
      </c>
      <c r="D44" s="7" t="s">
        <v>751</v>
      </c>
      <c r="E44" s="7">
        <v>2023</v>
      </c>
      <c r="F44" s="7" t="s">
        <v>1902</v>
      </c>
      <c r="G44" s="7" t="s">
        <v>753</v>
      </c>
      <c r="H44" s="7" t="s">
        <v>754</v>
      </c>
      <c r="I44" s="3">
        <v>11.183332999999999</v>
      </c>
      <c r="J44" s="3">
        <v>-4.2833329999999998</v>
      </c>
      <c r="K44" s="23" t="s">
        <v>1374</v>
      </c>
      <c r="L44" s="7" t="s">
        <v>1373</v>
      </c>
      <c r="M44" s="8" t="s">
        <v>1383</v>
      </c>
      <c r="N44" s="7" t="s">
        <v>1936</v>
      </c>
      <c r="O44" s="7" t="s">
        <v>1974</v>
      </c>
      <c r="P44" s="7" t="s">
        <v>881</v>
      </c>
      <c r="Q44" s="8" t="s">
        <v>1337</v>
      </c>
      <c r="R44" s="3" t="s">
        <v>833</v>
      </c>
      <c r="S44" s="7" t="s">
        <v>787</v>
      </c>
      <c r="T44" s="7" t="s">
        <v>865</v>
      </c>
      <c r="U44" s="7" t="s">
        <v>764</v>
      </c>
      <c r="V44" s="8" t="s">
        <v>2026</v>
      </c>
      <c r="W44" s="7" t="s">
        <v>766</v>
      </c>
      <c r="X44" s="7" t="s">
        <v>787</v>
      </c>
      <c r="Y44" s="7" t="s">
        <v>763</v>
      </c>
      <c r="Z44" s="7" t="s">
        <v>789</v>
      </c>
      <c r="AA44" s="8" t="s">
        <v>1378</v>
      </c>
      <c r="AB44" s="7" t="s">
        <v>1377</v>
      </c>
      <c r="AC44" s="8" t="s">
        <v>1379</v>
      </c>
      <c r="AD44" s="8" t="s">
        <v>763</v>
      </c>
      <c r="AE44" s="8" t="s">
        <v>1375</v>
      </c>
      <c r="AF44" s="8" t="s">
        <v>1376</v>
      </c>
    </row>
    <row r="45" spans="1:32" x14ac:dyDescent="0.35">
      <c r="A45" s="3">
        <v>45</v>
      </c>
      <c r="B45" t="s">
        <v>414</v>
      </c>
      <c r="C45" t="s">
        <v>416</v>
      </c>
      <c r="D45" s="7" t="s">
        <v>873</v>
      </c>
      <c r="E45" s="7">
        <v>2018</v>
      </c>
      <c r="F45" s="27">
        <v>41913</v>
      </c>
      <c r="G45" s="7" t="s">
        <v>753</v>
      </c>
      <c r="H45" s="7" t="s">
        <v>754</v>
      </c>
      <c r="I45" s="3">
        <v>7.0998609999999998</v>
      </c>
      <c r="J45" s="3">
        <v>-73.111500000000007</v>
      </c>
      <c r="K45" s="17" t="s">
        <v>1384</v>
      </c>
      <c r="L45" s="7" t="s">
        <v>1213</v>
      </c>
      <c r="M45" s="3" t="s">
        <v>763</v>
      </c>
      <c r="N45" s="3" t="s">
        <v>763</v>
      </c>
      <c r="O45" s="3" t="s">
        <v>763</v>
      </c>
      <c r="P45" s="7" t="s">
        <v>881</v>
      </c>
      <c r="Q45" s="3" t="s">
        <v>763</v>
      </c>
      <c r="R45" s="8" t="s">
        <v>786</v>
      </c>
      <c r="S45" s="7" t="s">
        <v>762</v>
      </c>
      <c r="T45" s="7" t="s">
        <v>1031</v>
      </c>
      <c r="U45" s="7" t="s">
        <v>1386</v>
      </c>
      <c r="V45" s="7" t="s">
        <v>2026</v>
      </c>
      <c r="W45" s="7" t="s">
        <v>766</v>
      </c>
      <c r="X45" s="7" t="s">
        <v>762</v>
      </c>
      <c r="Y45" s="7" t="s">
        <v>763</v>
      </c>
      <c r="Z45" s="7" t="s">
        <v>768</v>
      </c>
      <c r="AA45" s="7" t="s">
        <v>1392</v>
      </c>
      <c r="AB45" s="7" t="s">
        <v>1390</v>
      </c>
      <c r="AC45" s="8" t="s">
        <v>1389</v>
      </c>
      <c r="AD45" s="8" t="s">
        <v>763</v>
      </c>
      <c r="AE45" s="8" t="s">
        <v>1391</v>
      </c>
      <c r="AF45" t="s">
        <v>1388</v>
      </c>
    </row>
    <row r="46" spans="1:32" x14ac:dyDescent="0.35">
      <c r="A46" s="3">
        <v>46</v>
      </c>
      <c r="B46" t="s">
        <v>434</v>
      </c>
      <c r="C46" t="s">
        <v>436</v>
      </c>
      <c r="D46" s="7" t="s">
        <v>751</v>
      </c>
      <c r="E46" s="7">
        <v>2019</v>
      </c>
      <c r="F46" s="3" t="s">
        <v>1903</v>
      </c>
      <c r="G46" s="7" t="s">
        <v>753</v>
      </c>
      <c r="H46" s="7" t="s">
        <v>754</v>
      </c>
      <c r="I46" s="3">
        <v>22.033332999999999</v>
      </c>
      <c r="J46" s="3">
        <v>96.458736000000002</v>
      </c>
      <c r="K46" t="s">
        <v>1395</v>
      </c>
      <c r="L46" s="7" t="s">
        <v>1396</v>
      </c>
      <c r="M46" t="s">
        <v>1208</v>
      </c>
      <c r="N46" t="s">
        <v>1937</v>
      </c>
      <c r="O46" t="s">
        <v>1978</v>
      </c>
      <c r="P46" s="3" t="s">
        <v>1016</v>
      </c>
      <c r="Q46" t="s">
        <v>1403</v>
      </c>
      <c r="R46" s="8" t="s">
        <v>1983</v>
      </c>
      <c r="S46" s="7" t="s">
        <v>787</v>
      </c>
      <c r="T46" s="7" t="s">
        <v>1397</v>
      </c>
      <c r="U46" s="7" t="s">
        <v>764</v>
      </c>
      <c r="V46" s="7" t="s">
        <v>2026</v>
      </c>
      <c r="W46" s="7" t="s">
        <v>2165</v>
      </c>
      <c r="X46" s="7" t="s">
        <v>787</v>
      </c>
      <c r="Y46" s="7" t="s">
        <v>763</v>
      </c>
      <c r="Z46" s="7" t="s">
        <v>768</v>
      </c>
      <c r="AA46" s="8" t="s">
        <v>1410</v>
      </c>
      <c r="AB46" s="7" t="s">
        <v>1408</v>
      </c>
      <c r="AC46" s="8" t="s">
        <v>1411</v>
      </c>
      <c r="AD46" s="8" t="s">
        <v>763</v>
      </c>
      <c r="AE46" s="8" t="s">
        <v>2018</v>
      </c>
      <c r="AF46" s="8" t="s">
        <v>763</v>
      </c>
    </row>
    <row r="47" spans="1:32" x14ac:dyDescent="0.35">
      <c r="A47" s="3">
        <v>47</v>
      </c>
      <c r="B47" t="s">
        <v>457</v>
      </c>
      <c r="C47" t="s">
        <v>459</v>
      </c>
      <c r="D47" s="7" t="s">
        <v>751</v>
      </c>
      <c r="E47" s="7">
        <v>2021</v>
      </c>
      <c r="F47" s="7" t="s">
        <v>1414</v>
      </c>
      <c r="G47" s="7" t="s">
        <v>795</v>
      </c>
      <c r="H47" s="7" t="s">
        <v>754</v>
      </c>
      <c r="I47" s="3">
        <v>9.0875000000000004</v>
      </c>
      <c r="J47" s="3">
        <v>38.905833000000001</v>
      </c>
      <c r="K47" t="s">
        <v>1104</v>
      </c>
      <c r="L47" s="7" t="s">
        <v>1102</v>
      </c>
      <c r="M47" s="3" t="s">
        <v>763</v>
      </c>
      <c r="N47" t="s">
        <v>1261</v>
      </c>
      <c r="O47" t="s">
        <v>1979</v>
      </c>
      <c r="P47" s="3" t="s">
        <v>763</v>
      </c>
      <c r="Q47" s="3" t="s">
        <v>763</v>
      </c>
      <c r="R47" s="8" t="s">
        <v>1418</v>
      </c>
      <c r="S47" s="7" t="s">
        <v>787</v>
      </c>
      <c r="T47" s="7" t="s">
        <v>1397</v>
      </c>
      <c r="U47" s="7" t="s">
        <v>1999</v>
      </c>
      <c r="V47" t="s">
        <v>1744</v>
      </c>
      <c r="W47" s="7" t="s">
        <v>2165</v>
      </c>
      <c r="X47" s="7" t="s">
        <v>787</v>
      </c>
      <c r="Y47" s="7" t="s">
        <v>763</v>
      </c>
      <c r="Z47" s="7" t="s">
        <v>768</v>
      </c>
      <c r="AA47" s="8" t="s">
        <v>1419</v>
      </c>
      <c r="AB47" s="7" t="s">
        <v>763</v>
      </c>
      <c r="AC47" s="8" t="s">
        <v>1420</v>
      </c>
      <c r="AD47" s="8" t="s">
        <v>763</v>
      </c>
      <c r="AE47" s="8" t="s">
        <v>763</v>
      </c>
      <c r="AF47" s="8" t="s">
        <v>763</v>
      </c>
    </row>
    <row r="48" spans="1:32" x14ac:dyDescent="0.35">
      <c r="A48" s="3">
        <v>48</v>
      </c>
      <c r="B48" t="s">
        <v>466</v>
      </c>
      <c r="C48" t="s">
        <v>468</v>
      </c>
      <c r="D48" s="7" t="s">
        <v>751</v>
      </c>
      <c r="E48" s="7">
        <v>2016</v>
      </c>
      <c r="F48" s="3" t="s">
        <v>1904</v>
      </c>
      <c r="G48" s="7" t="s">
        <v>753</v>
      </c>
      <c r="H48" s="7" t="s">
        <v>776</v>
      </c>
      <c r="I48" s="3">
        <v>1.517139</v>
      </c>
      <c r="J48" s="3">
        <v>103.667556</v>
      </c>
      <c r="K48" s="21" t="s">
        <v>1778</v>
      </c>
      <c r="L48" s="7" t="s">
        <v>799</v>
      </c>
      <c r="M48" s="3" t="s">
        <v>763</v>
      </c>
      <c r="N48" s="3" t="s">
        <v>763</v>
      </c>
      <c r="O48" s="3" t="s">
        <v>763</v>
      </c>
      <c r="P48" s="7" t="s">
        <v>1843</v>
      </c>
      <c r="Q48" t="s">
        <v>1885</v>
      </c>
      <c r="R48" s="8" t="s">
        <v>1777</v>
      </c>
      <c r="S48" s="7" t="s">
        <v>787</v>
      </c>
      <c r="T48" s="7" t="s">
        <v>1397</v>
      </c>
      <c r="U48" s="7" t="s">
        <v>2000</v>
      </c>
      <c r="V48" s="8" t="s">
        <v>2027</v>
      </c>
      <c r="W48" s="7" t="s">
        <v>766</v>
      </c>
      <c r="X48" s="7" t="s">
        <v>787</v>
      </c>
      <c r="Y48" s="7" t="s">
        <v>763</v>
      </c>
      <c r="Z48" s="7" t="s">
        <v>789</v>
      </c>
      <c r="AA48" s="8" t="s">
        <v>1427</v>
      </c>
      <c r="AB48" s="7" t="s">
        <v>1426</v>
      </c>
      <c r="AC48" s="8" t="s">
        <v>1428</v>
      </c>
      <c r="AD48" s="8" t="s">
        <v>763</v>
      </c>
      <c r="AE48" s="8" t="s">
        <v>763</v>
      </c>
      <c r="AF48" s="8" t="s">
        <v>763</v>
      </c>
    </row>
    <row r="49" spans="1:32" x14ac:dyDescent="0.35">
      <c r="A49" s="3">
        <v>49</v>
      </c>
      <c r="B49" t="s">
        <v>476</v>
      </c>
      <c r="C49" t="s">
        <v>478</v>
      </c>
      <c r="D49" s="7" t="s">
        <v>751</v>
      </c>
      <c r="E49" s="7">
        <v>2023</v>
      </c>
      <c r="F49" s="3">
        <v>2021</v>
      </c>
      <c r="G49" s="7" t="s">
        <v>753</v>
      </c>
      <c r="H49" s="7" t="s">
        <v>754</v>
      </c>
      <c r="I49" s="3">
        <v>19.997499999999999</v>
      </c>
      <c r="J49" s="3">
        <v>73.789805999999999</v>
      </c>
      <c r="K49" s="7" t="s">
        <v>1431</v>
      </c>
      <c r="L49" s="7" t="s">
        <v>756</v>
      </c>
      <c r="M49" s="3" t="s">
        <v>763</v>
      </c>
      <c r="N49" s="3" t="s">
        <v>763</v>
      </c>
      <c r="O49" s="3" t="s">
        <v>763</v>
      </c>
      <c r="P49" s="3" t="s">
        <v>763</v>
      </c>
      <c r="Q49" s="3" t="s">
        <v>763</v>
      </c>
      <c r="R49" s="3" t="s">
        <v>1560</v>
      </c>
      <c r="S49" s="7" t="s">
        <v>787</v>
      </c>
      <c r="T49" s="7" t="s">
        <v>1031</v>
      </c>
      <c r="U49" s="7" t="s">
        <v>764</v>
      </c>
      <c r="V49" s="8" t="s">
        <v>2026</v>
      </c>
      <c r="W49" s="7" t="s">
        <v>766</v>
      </c>
      <c r="X49" s="7" t="s">
        <v>787</v>
      </c>
      <c r="Y49" s="7" t="s">
        <v>1439</v>
      </c>
      <c r="Z49" s="7" t="s">
        <v>768</v>
      </c>
      <c r="AA49" s="7" t="s">
        <v>1440</v>
      </c>
      <c r="AB49" s="7" t="s">
        <v>1429</v>
      </c>
      <c r="AC49" t="s">
        <v>1438</v>
      </c>
      <c r="AD49" s="8" t="s">
        <v>763</v>
      </c>
      <c r="AE49" s="8" t="s">
        <v>763</v>
      </c>
      <c r="AF49" t="s">
        <v>1430</v>
      </c>
    </row>
    <row r="50" spans="1:32" x14ac:dyDescent="0.35">
      <c r="A50" s="3">
        <v>50</v>
      </c>
      <c r="B50" t="s">
        <v>481</v>
      </c>
      <c r="C50" t="s">
        <v>483</v>
      </c>
      <c r="D50" s="7" t="s">
        <v>751</v>
      </c>
      <c r="E50" s="7">
        <v>2022</v>
      </c>
      <c r="F50" s="3" t="s">
        <v>763</v>
      </c>
      <c r="G50" s="7" t="s">
        <v>753</v>
      </c>
      <c r="H50" s="7" t="s">
        <v>754</v>
      </c>
      <c r="I50" s="3">
        <v>11.016667</v>
      </c>
      <c r="J50" s="3">
        <v>76.966667000000001</v>
      </c>
      <c r="K50" s="24" t="s">
        <v>1441</v>
      </c>
      <c r="L50" s="7" t="s">
        <v>756</v>
      </c>
      <c r="M50" s="7" t="s">
        <v>1019</v>
      </c>
      <c r="N50" t="s">
        <v>1938</v>
      </c>
      <c r="O50" t="s">
        <v>1980</v>
      </c>
      <c r="P50" s="3" t="s">
        <v>763</v>
      </c>
      <c r="Q50" s="3" t="s">
        <v>763</v>
      </c>
      <c r="R50" s="8" t="s">
        <v>1055</v>
      </c>
      <c r="S50" s="7" t="s">
        <v>787</v>
      </c>
      <c r="T50" s="7" t="s">
        <v>1031</v>
      </c>
      <c r="U50" s="7" t="s">
        <v>2005</v>
      </c>
      <c r="V50" s="7" t="s">
        <v>2027</v>
      </c>
      <c r="W50" s="7" t="s">
        <v>766</v>
      </c>
      <c r="X50" s="7" t="s">
        <v>787</v>
      </c>
      <c r="Y50" s="8" t="s">
        <v>1450</v>
      </c>
      <c r="Z50" s="7" t="s">
        <v>768</v>
      </c>
      <c r="AA50" s="8" t="s">
        <v>1449</v>
      </c>
      <c r="AB50" s="7" t="s">
        <v>1451</v>
      </c>
      <c r="AC50" t="s">
        <v>763</v>
      </c>
      <c r="AD50" s="8" t="s">
        <v>763</v>
      </c>
      <c r="AE50" s="8" t="s">
        <v>1448</v>
      </c>
      <c r="AF50" t="s">
        <v>763</v>
      </c>
    </row>
    <row r="51" spans="1:32" x14ac:dyDescent="0.35">
      <c r="A51" s="3">
        <v>51</v>
      </c>
      <c r="B51" t="s">
        <v>486</v>
      </c>
      <c r="C51" t="s">
        <v>488</v>
      </c>
      <c r="D51" s="7" t="s">
        <v>751</v>
      </c>
      <c r="E51" s="7">
        <v>2018</v>
      </c>
      <c r="F51" s="3" t="s">
        <v>1905</v>
      </c>
      <c r="G51" s="7" t="s">
        <v>753</v>
      </c>
      <c r="H51" s="7" t="s">
        <v>754</v>
      </c>
      <c r="I51" s="3">
        <v>4.6626940000000001</v>
      </c>
      <c r="J51" s="3">
        <v>9.3976749999999996</v>
      </c>
      <c r="K51" s="7" t="s">
        <v>1456</v>
      </c>
      <c r="L51" s="7" t="s">
        <v>1457</v>
      </c>
      <c r="M51" s="7" t="s">
        <v>1458</v>
      </c>
      <c r="N51" t="s">
        <v>1939</v>
      </c>
      <c r="O51" t="s">
        <v>1460</v>
      </c>
      <c r="P51" s="7" t="s">
        <v>1843</v>
      </c>
      <c r="Q51" t="s">
        <v>1461</v>
      </c>
      <c r="R51" s="3" t="s">
        <v>833</v>
      </c>
      <c r="S51" s="7" t="s">
        <v>787</v>
      </c>
      <c r="T51" s="7" t="s">
        <v>865</v>
      </c>
      <c r="U51" s="7" t="s">
        <v>764</v>
      </c>
      <c r="V51" s="7" t="s">
        <v>2031</v>
      </c>
      <c r="W51" s="7" t="s">
        <v>766</v>
      </c>
      <c r="X51" s="7" t="s">
        <v>787</v>
      </c>
      <c r="Y51" s="7" t="s">
        <v>763</v>
      </c>
      <c r="Z51" s="7" t="s">
        <v>789</v>
      </c>
      <c r="AA51" s="8" t="s">
        <v>1464</v>
      </c>
      <c r="AB51" s="7" t="s">
        <v>1463</v>
      </c>
      <c r="AC51" t="s">
        <v>1465</v>
      </c>
      <c r="AD51" s="8" t="s">
        <v>763</v>
      </c>
      <c r="AE51" s="8" t="s">
        <v>2019</v>
      </c>
      <c r="AF51" t="s">
        <v>1452</v>
      </c>
    </row>
    <row r="52" spans="1:32" x14ac:dyDescent="0.35">
      <c r="A52" s="3">
        <v>53</v>
      </c>
      <c r="B52" t="s">
        <v>516</v>
      </c>
      <c r="C52" t="s">
        <v>518</v>
      </c>
      <c r="D52" s="7" t="s">
        <v>751</v>
      </c>
      <c r="E52" s="7">
        <v>2021</v>
      </c>
      <c r="F52" s="3">
        <v>2017</v>
      </c>
      <c r="G52" s="7" t="s">
        <v>753</v>
      </c>
      <c r="H52" s="7" t="s">
        <v>754</v>
      </c>
      <c r="I52" s="3">
        <v>18.428277999999999</v>
      </c>
      <c r="J52" s="3">
        <v>-66.037861000000007</v>
      </c>
      <c r="K52" s="7" t="s">
        <v>1858</v>
      </c>
      <c r="L52" s="7" t="s">
        <v>1502</v>
      </c>
      <c r="M52" s="8" t="s">
        <v>1019</v>
      </c>
      <c r="N52" s="3" t="s">
        <v>763</v>
      </c>
      <c r="O52" s="3" t="s">
        <v>763</v>
      </c>
      <c r="P52" s="3" t="s">
        <v>763</v>
      </c>
      <c r="Q52" t="s">
        <v>1113</v>
      </c>
      <c r="R52" s="3" t="s">
        <v>833</v>
      </c>
      <c r="S52" s="7" t="s">
        <v>787</v>
      </c>
      <c r="T52" s="7" t="s">
        <v>865</v>
      </c>
      <c r="U52" s="7" t="s">
        <v>764</v>
      </c>
      <c r="V52" s="7" t="s">
        <v>2031</v>
      </c>
      <c r="W52" s="7" t="s">
        <v>766</v>
      </c>
      <c r="X52" s="7" t="s">
        <v>787</v>
      </c>
      <c r="Y52" s="8" t="s">
        <v>1507</v>
      </c>
      <c r="Z52" s="7" t="s">
        <v>768</v>
      </c>
      <c r="AA52" s="8" t="s">
        <v>1508</v>
      </c>
      <c r="AB52" s="7" t="s">
        <v>1509</v>
      </c>
      <c r="AC52" s="8" t="s">
        <v>1504</v>
      </c>
      <c r="AD52" s="8" t="s">
        <v>1510</v>
      </c>
      <c r="AE52" s="8" t="s">
        <v>1503</v>
      </c>
      <c r="AF52" t="s">
        <v>2053</v>
      </c>
    </row>
    <row r="53" spans="1:32" x14ac:dyDescent="0.35">
      <c r="A53" s="3">
        <v>54</v>
      </c>
      <c r="B53" t="s">
        <v>521</v>
      </c>
      <c r="C53" t="s">
        <v>523</v>
      </c>
      <c r="D53" s="7" t="s">
        <v>751</v>
      </c>
      <c r="E53" s="7">
        <v>2014</v>
      </c>
      <c r="F53" s="3">
        <v>2010</v>
      </c>
      <c r="G53" s="7" t="s">
        <v>753</v>
      </c>
      <c r="H53" s="7" t="s">
        <v>754</v>
      </c>
      <c r="I53" s="3">
        <v>1.5100750000000001</v>
      </c>
      <c r="J53" s="3">
        <v>103.632458</v>
      </c>
      <c r="K53" s="7" t="s">
        <v>1778</v>
      </c>
      <c r="L53" s="8" t="s">
        <v>799</v>
      </c>
      <c r="M53" s="8" t="s">
        <v>1019</v>
      </c>
      <c r="N53" s="3" t="s">
        <v>763</v>
      </c>
      <c r="O53" t="s">
        <v>1964</v>
      </c>
      <c r="P53" s="3" t="s">
        <v>763</v>
      </c>
      <c r="Q53" t="s">
        <v>1886</v>
      </c>
      <c r="R53" s="3" t="s">
        <v>833</v>
      </c>
      <c r="S53" s="7" t="s">
        <v>762</v>
      </c>
      <c r="T53" s="7" t="s">
        <v>1031</v>
      </c>
      <c r="U53" s="7" t="s">
        <v>2002</v>
      </c>
      <c r="V53" t="s">
        <v>2031</v>
      </c>
      <c r="W53" s="7" t="s">
        <v>766</v>
      </c>
      <c r="X53" s="7" t="s">
        <v>787</v>
      </c>
      <c r="Y53" s="7" t="s">
        <v>763</v>
      </c>
      <c r="Z53" s="7" t="s">
        <v>789</v>
      </c>
      <c r="AA53" s="7" t="s">
        <v>1520</v>
      </c>
      <c r="AB53" s="7" t="s">
        <v>763</v>
      </c>
      <c r="AC53" t="s">
        <v>1518</v>
      </c>
      <c r="AD53" s="8" t="s">
        <v>763</v>
      </c>
      <c r="AE53" s="8" t="s">
        <v>2021</v>
      </c>
      <c r="AF53" t="s">
        <v>763</v>
      </c>
    </row>
    <row r="54" spans="1:32" x14ac:dyDescent="0.35">
      <c r="A54" s="3">
        <v>55</v>
      </c>
      <c r="B54" t="s">
        <v>535</v>
      </c>
      <c r="C54" t="s">
        <v>537</v>
      </c>
      <c r="D54" s="7" t="s">
        <v>751</v>
      </c>
      <c r="E54" s="7">
        <v>2025</v>
      </c>
      <c r="F54" s="3" t="s">
        <v>1534</v>
      </c>
      <c r="G54" s="7" t="s">
        <v>795</v>
      </c>
      <c r="H54" s="7" t="s">
        <v>754</v>
      </c>
      <c r="I54" s="3">
        <v>22.410833</v>
      </c>
      <c r="J54" s="3">
        <v>88.188610999999995</v>
      </c>
      <c r="K54" t="s">
        <v>1538</v>
      </c>
      <c r="L54" s="8" t="s">
        <v>756</v>
      </c>
      <c r="M54" s="8" t="s">
        <v>1360</v>
      </c>
      <c r="N54" s="3" t="s">
        <v>763</v>
      </c>
      <c r="O54" s="3" t="s">
        <v>763</v>
      </c>
      <c r="P54" s="3" t="s">
        <v>1016</v>
      </c>
      <c r="Q54" s="3" t="s">
        <v>763</v>
      </c>
      <c r="R54" s="3" t="s">
        <v>833</v>
      </c>
      <c r="S54" s="7" t="s">
        <v>762</v>
      </c>
      <c r="T54" s="7" t="s">
        <v>1986</v>
      </c>
      <c r="U54" s="7" t="s">
        <v>1541</v>
      </c>
      <c r="V54" t="s">
        <v>1744</v>
      </c>
      <c r="W54" s="3" t="s">
        <v>2165</v>
      </c>
      <c r="X54" s="7" t="s">
        <v>762</v>
      </c>
      <c r="Y54" s="7" t="s">
        <v>1545</v>
      </c>
      <c r="Z54" s="7" t="s">
        <v>768</v>
      </c>
      <c r="AA54" s="8" t="s">
        <v>1535</v>
      </c>
      <c r="AB54" s="7" t="s">
        <v>763</v>
      </c>
      <c r="AC54" t="s">
        <v>1537</v>
      </c>
      <c r="AD54" s="8" t="s">
        <v>763</v>
      </c>
      <c r="AE54" s="8" t="s">
        <v>763</v>
      </c>
      <c r="AF54" s="8" t="s">
        <v>1536</v>
      </c>
    </row>
    <row r="55" spans="1:32" x14ac:dyDescent="0.35">
      <c r="A55" s="3">
        <v>56</v>
      </c>
      <c r="B55" t="s">
        <v>544</v>
      </c>
      <c r="C55" t="s">
        <v>546</v>
      </c>
      <c r="D55" s="7" t="s">
        <v>751</v>
      </c>
      <c r="E55" s="7">
        <v>2014</v>
      </c>
      <c r="F55" s="3" t="s">
        <v>763</v>
      </c>
      <c r="G55" s="7" t="s">
        <v>753</v>
      </c>
      <c r="H55" s="7" t="s">
        <v>754</v>
      </c>
      <c r="I55" s="3">
        <v>22.866667</v>
      </c>
      <c r="J55" s="3">
        <v>113.841667</v>
      </c>
      <c r="K55" t="s">
        <v>1550</v>
      </c>
      <c r="L55" s="8" t="s">
        <v>1546</v>
      </c>
      <c r="M55" s="8" t="s">
        <v>1551</v>
      </c>
      <c r="N55" s="3" t="s">
        <v>763</v>
      </c>
      <c r="O55" s="3" t="s">
        <v>763</v>
      </c>
      <c r="P55" s="3" t="s">
        <v>763</v>
      </c>
      <c r="Q55" s="3" t="s">
        <v>763</v>
      </c>
      <c r="R55" t="s">
        <v>1055</v>
      </c>
      <c r="S55" s="7" t="s">
        <v>787</v>
      </c>
      <c r="T55" s="8" t="s">
        <v>1561</v>
      </c>
      <c r="U55" s="7" t="s">
        <v>764</v>
      </c>
      <c r="V55" s="7" t="s">
        <v>2026</v>
      </c>
      <c r="W55" s="7" t="s">
        <v>766</v>
      </c>
      <c r="X55" s="7" t="s">
        <v>787</v>
      </c>
      <c r="Y55" s="7" t="s">
        <v>763</v>
      </c>
      <c r="Z55" s="7" t="s">
        <v>789</v>
      </c>
      <c r="AA55" s="8" t="s">
        <v>1566</v>
      </c>
      <c r="AB55" s="7" t="s">
        <v>1563</v>
      </c>
      <c r="AC55" t="s">
        <v>763</v>
      </c>
      <c r="AD55" s="8" t="s">
        <v>763</v>
      </c>
      <c r="AE55" s="8" t="s">
        <v>1547</v>
      </c>
      <c r="AF55" s="8" t="s">
        <v>1553</v>
      </c>
    </row>
    <row r="56" spans="1:32" x14ac:dyDescent="0.35">
      <c r="A56" s="3">
        <v>57</v>
      </c>
      <c r="B56" t="s">
        <v>554</v>
      </c>
      <c r="C56" t="s">
        <v>556</v>
      </c>
      <c r="D56" s="7" t="s">
        <v>751</v>
      </c>
      <c r="E56" s="7">
        <v>2018</v>
      </c>
      <c r="F56" s="3">
        <v>2014</v>
      </c>
      <c r="G56" s="7" t="s">
        <v>753</v>
      </c>
      <c r="H56" s="7" t="s">
        <v>754</v>
      </c>
      <c r="I56" s="3">
        <v>6.6833330000000002</v>
      </c>
      <c r="J56" s="3">
        <v>-1.6166670000000001</v>
      </c>
      <c r="K56" t="s">
        <v>1554</v>
      </c>
      <c r="L56" s="8" t="s">
        <v>1325</v>
      </c>
      <c r="M56" s="8" t="s">
        <v>1019</v>
      </c>
      <c r="N56" s="8" t="s">
        <v>1944</v>
      </c>
      <c r="O56" s="28" t="s">
        <v>1952</v>
      </c>
      <c r="P56" s="3" t="s">
        <v>763</v>
      </c>
      <c r="Q56" t="s">
        <v>1886</v>
      </c>
      <c r="R56" t="s">
        <v>1560</v>
      </c>
      <c r="S56" s="7" t="s">
        <v>787</v>
      </c>
      <c r="T56" s="7" t="s">
        <v>1986</v>
      </c>
      <c r="U56" s="7" t="s">
        <v>764</v>
      </c>
      <c r="V56" s="7" t="s">
        <v>2026</v>
      </c>
      <c r="W56" s="7" t="s">
        <v>766</v>
      </c>
      <c r="X56" s="7" t="s">
        <v>787</v>
      </c>
      <c r="Y56" s="7" t="s">
        <v>763</v>
      </c>
      <c r="Z56" s="7" t="s">
        <v>789</v>
      </c>
      <c r="AA56" s="8" t="s">
        <v>1562</v>
      </c>
      <c r="AB56" s="7" t="s">
        <v>1568</v>
      </c>
      <c r="AC56" t="s">
        <v>1567</v>
      </c>
      <c r="AD56" s="8" t="s">
        <v>763</v>
      </c>
      <c r="AE56" s="8" t="s">
        <v>1569</v>
      </c>
      <c r="AF56" t="s">
        <v>2054</v>
      </c>
    </row>
    <row r="57" spans="1:32" x14ac:dyDescent="0.35">
      <c r="A57" s="3">
        <v>58</v>
      </c>
      <c r="B57" t="s">
        <v>549</v>
      </c>
      <c r="C57" t="s">
        <v>551</v>
      </c>
      <c r="D57" s="7" t="s">
        <v>751</v>
      </c>
      <c r="E57" s="7">
        <v>2022</v>
      </c>
      <c r="F57" s="3">
        <v>2018</v>
      </c>
      <c r="G57" s="7" t="s">
        <v>753</v>
      </c>
      <c r="H57" s="7" t="s">
        <v>754</v>
      </c>
      <c r="I57" s="3">
        <v>13.7525</v>
      </c>
      <c r="J57" s="3">
        <v>100.494167</v>
      </c>
      <c r="K57" t="s">
        <v>1572</v>
      </c>
      <c r="L57" s="8" t="s">
        <v>1068</v>
      </c>
      <c r="M57" s="8" t="s">
        <v>1019</v>
      </c>
      <c r="N57" s="3" t="s">
        <v>763</v>
      </c>
      <c r="O57" s="3" t="s">
        <v>763</v>
      </c>
      <c r="P57" s="3" t="s">
        <v>763</v>
      </c>
      <c r="Q57" t="s">
        <v>1573</v>
      </c>
      <c r="R57" t="s">
        <v>1560</v>
      </c>
      <c r="S57" s="7" t="s">
        <v>787</v>
      </c>
      <c r="T57" s="7" t="s">
        <v>1031</v>
      </c>
      <c r="U57" s="7" t="s">
        <v>764</v>
      </c>
      <c r="V57" s="7" t="s">
        <v>2026</v>
      </c>
      <c r="W57" s="7" t="s">
        <v>766</v>
      </c>
      <c r="X57" s="7" t="s">
        <v>787</v>
      </c>
      <c r="Y57" s="7" t="s">
        <v>763</v>
      </c>
      <c r="Z57" s="7" t="s">
        <v>768</v>
      </c>
      <c r="AA57" s="7" t="s">
        <v>1578</v>
      </c>
      <c r="AB57" s="7" t="s">
        <v>1577</v>
      </c>
      <c r="AC57" t="s">
        <v>1574</v>
      </c>
      <c r="AD57" s="8" t="s">
        <v>763</v>
      </c>
      <c r="AE57" s="8" t="s">
        <v>1570</v>
      </c>
      <c r="AF57" s="11" t="s">
        <v>2055</v>
      </c>
    </row>
    <row r="58" spans="1:32" x14ac:dyDescent="0.35">
      <c r="A58" s="3">
        <v>59</v>
      </c>
      <c r="B58" t="s">
        <v>564</v>
      </c>
      <c r="C58" t="s">
        <v>566</v>
      </c>
      <c r="D58" s="7" t="s">
        <v>751</v>
      </c>
      <c r="E58" s="7">
        <v>2022</v>
      </c>
      <c r="F58" s="3" t="s">
        <v>1907</v>
      </c>
      <c r="G58" s="7" t="s">
        <v>753</v>
      </c>
      <c r="H58" s="7" t="s">
        <v>776</v>
      </c>
      <c r="I58" s="3">
        <v>-5.1166669999999996</v>
      </c>
      <c r="J58" s="3">
        <v>105.3</v>
      </c>
      <c r="K58" t="s">
        <v>1583</v>
      </c>
      <c r="L58" s="8" t="s">
        <v>832</v>
      </c>
      <c r="M58" s="3" t="s">
        <v>763</v>
      </c>
      <c r="N58" s="3" t="s">
        <v>763</v>
      </c>
      <c r="O58" s="3" t="s">
        <v>763</v>
      </c>
      <c r="P58" s="3" t="s">
        <v>759</v>
      </c>
      <c r="Q58" s="3" t="s">
        <v>763</v>
      </c>
      <c r="R58" t="s">
        <v>786</v>
      </c>
      <c r="S58" s="7" t="s">
        <v>762</v>
      </c>
      <c r="T58" s="7" t="s">
        <v>834</v>
      </c>
      <c r="U58" s="7" t="s">
        <v>764</v>
      </c>
      <c r="V58" s="7" t="s">
        <v>2031</v>
      </c>
      <c r="W58" s="7" t="s">
        <v>766</v>
      </c>
      <c r="X58" s="7" t="s">
        <v>762</v>
      </c>
      <c r="Y58" s="7" t="s">
        <v>1584</v>
      </c>
      <c r="Z58" s="7" t="s">
        <v>789</v>
      </c>
      <c r="AA58" s="7" t="s">
        <v>1589</v>
      </c>
      <c r="AB58" s="7" t="s">
        <v>1585</v>
      </c>
      <c r="AC58" t="s">
        <v>763</v>
      </c>
      <c r="AD58" s="8" t="s">
        <v>763</v>
      </c>
      <c r="AE58" t="s">
        <v>1571</v>
      </c>
      <c r="AF58" t="s">
        <v>1581</v>
      </c>
    </row>
    <row r="59" spans="1:32" x14ac:dyDescent="0.35">
      <c r="A59" s="3">
        <v>60</v>
      </c>
      <c r="B59" t="s">
        <v>578</v>
      </c>
      <c r="C59" t="s">
        <v>580</v>
      </c>
      <c r="D59" s="7" t="s">
        <v>751</v>
      </c>
      <c r="E59" s="7">
        <v>2024</v>
      </c>
      <c r="F59" s="3" t="s">
        <v>763</v>
      </c>
      <c r="G59" s="7" t="s">
        <v>753</v>
      </c>
      <c r="H59" s="7" t="s">
        <v>754</v>
      </c>
      <c r="I59" s="3">
        <v>11.183332999999999</v>
      </c>
      <c r="J59" s="3">
        <v>-4.2833329999999998</v>
      </c>
      <c r="K59" s="25" t="s">
        <v>1374</v>
      </c>
      <c r="L59" s="8" t="s">
        <v>1373</v>
      </c>
      <c r="M59" s="8" t="s">
        <v>1591</v>
      </c>
      <c r="N59" s="8" t="s">
        <v>1945</v>
      </c>
      <c r="O59" s="8" t="s">
        <v>1982</v>
      </c>
      <c r="P59" s="3" t="s">
        <v>763</v>
      </c>
      <c r="Q59" t="s">
        <v>1887</v>
      </c>
      <c r="R59" s="3" t="s">
        <v>833</v>
      </c>
      <c r="S59" s="7" t="s">
        <v>787</v>
      </c>
      <c r="T59" s="7" t="s">
        <v>865</v>
      </c>
      <c r="U59" s="7" t="s">
        <v>764</v>
      </c>
      <c r="V59" s="7" t="s">
        <v>2026</v>
      </c>
      <c r="W59" s="7" t="s">
        <v>766</v>
      </c>
      <c r="X59" s="7" t="s">
        <v>787</v>
      </c>
      <c r="Y59" s="7" t="s">
        <v>763</v>
      </c>
      <c r="Z59" s="7" t="s">
        <v>789</v>
      </c>
      <c r="AA59" s="8" t="s">
        <v>1597</v>
      </c>
      <c r="AB59" s="7" t="s">
        <v>1598</v>
      </c>
      <c r="AC59" s="8" t="s">
        <v>1600</v>
      </c>
      <c r="AD59" s="8" t="s">
        <v>763</v>
      </c>
      <c r="AE59" s="8" t="s">
        <v>2022</v>
      </c>
      <c r="AF59" t="s">
        <v>2062</v>
      </c>
    </row>
    <row r="60" spans="1:32" x14ac:dyDescent="0.35">
      <c r="A60" s="3">
        <v>61</v>
      </c>
      <c r="B60" t="s">
        <v>593</v>
      </c>
      <c r="C60" t="s">
        <v>595</v>
      </c>
      <c r="D60" s="7" t="s">
        <v>751</v>
      </c>
      <c r="E60" s="7">
        <v>2025</v>
      </c>
      <c r="F60" s="3" t="s">
        <v>830</v>
      </c>
      <c r="G60" s="7" t="s">
        <v>753</v>
      </c>
      <c r="H60" s="7" t="s">
        <v>776</v>
      </c>
      <c r="I60" s="3">
        <v>-6.8848890000000003</v>
      </c>
      <c r="J60" s="3">
        <v>107.61061100000001</v>
      </c>
      <c r="K60" t="s">
        <v>831</v>
      </c>
      <c r="L60" s="8" t="s">
        <v>832</v>
      </c>
      <c r="M60" s="3" t="s">
        <v>763</v>
      </c>
      <c r="N60" s="3" t="s">
        <v>763</v>
      </c>
      <c r="O60" s="3" t="s">
        <v>763</v>
      </c>
      <c r="P60" s="3" t="s">
        <v>759</v>
      </c>
      <c r="Q60" t="s">
        <v>1886</v>
      </c>
      <c r="R60" s="3" t="s">
        <v>833</v>
      </c>
      <c r="S60" s="7" t="s">
        <v>762</v>
      </c>
      <c r="T60" s="7" t="s">
        <v>834</v>
      </c>
      <c r="U60" s="7" t="s">
        <v>2003</v>
      </c>
      <c r="V60" s="7" t="s">
        <v>2035</v>
      </c>
      <c r="W60" s="7" t="s">
        <v>766</v>
      </c>
      <c r="X60" s="7" t="s">
        <v>787</v>
      </c>
      <c r="Y60" s="7" t="s">
        <v>1606</v>
      </c>
      <c r="Z60" s="7" t="s">
        <v>768</v>
      </c>
      <c r="AA60" s="8" t="s">
        <v>1605</v>
      </c>
      <c r="AB60" s="7" t="s">
        <v>763</v>
      </c>
      <c r="AC60" s="8" t="s">
        <v>1604</v>
      </c>
      <c r="AD60" s="8" t="s">
        <v>763</v>
      </c>
      <c r="AE60" s="8" t="s">
        <v>2023</v>
      </c>
      <c r="AF60" t="s">
        <v>2056</v>
      </c>
    </row>
    <row r="61" spans="1:32" x14ac:dyDescent="0.35">
      <c r="A61" s="3">
        <v>62</v>
      </c>
      <c r="B61" t="s">
        <v>607</v>
      </c>
      <c r="C61" t="s">
        <v>1611</v>
      </c>
      <c r="D61" s="7" t="s">
        <v>751</v>
      </c>
      <c r="E61" s="7">
        <v>2013</v>
      </c>
      <c r="F61" s="3" t="s">
        <v>1626</v>
      </c>
      <c r="G61" s="7" t="s">
        <v>795</v>
      </c>
      <c r="H61" s="7" t="s">
        <v>754</v>
      </c>
      <c r="I61" s="3">
        <v>1.3142940000000001</v>
      </c>
      <c r="J61" s="3">
        <v>103.911197</v>
      </c>
      <c r="K61" t="s">
        <v>1159</v>
      </c>
      <c r="L61" s="8" t="s">
        <v>1159</v>
      </c>
      <c r="M61" s="8" t="s">
        <v>1360</v>
      </c>
      <c r="N61" s="8" t="s">
        <v>1950</v>
      </c>
      <c r="O61" t="s">
        <v>1963</v>
      </c>
      <c r="P61" s="3" t="s">
        <v>1843</v>
      </c>
      <c r="Q61" t="s">
        <v>1860</v>
      </c>
      <c r="R61" t="s">
        <v>1560</v>
      </c>
      <c r="S61" s="7" t="s">
        <v>787</v>
      </c>
      <c r="T61" s="7" t="s">
        <v>834</v>
      </c>
      <c r="U61" s="7" t="s">
        <v>764</v>
      </c>
      <c r="V61" s="7" t="s">
        <v>2027</v>
      </c>
      <c r="W61" s="7" t="s">
        <v>2165</v>
      </c>
      <c r="X61" s="7" t="s">
        <v>787</v>
      </c>
      <c r="Y61" s="8" t="s">
        <v>1621</v>
      </c>
      <c r="Z61" s="7" t="s">
        <v>768</v>
      </c>
      <c r="AA61" s="8" t="s">
        <v>1623</v>
      </c>
      <c r="AB61" s="3" t="s">
        <v>1625</v>
      </c>
      <c r="AC61" s="8" t="s">
        <v>1624</v>
      </c>
      <c r="AD61" s="8" t="s">
        <v>763</v>
      </c>
      <c r="AE61" s="8" t="s">
        <v>1636</v>
      </c>
      <c r="AF61" t="s">
        <v>2057</v>
      </c>
    </row>
    <row r="62" spans="1:32" x14ac:dyDescent="0.35">
      <c r="A62" s="3">
        <v>63</v>
      </c>
      <c r="B62" t="s">
        <v>624</v>
      </c>
      <c r="C62" t="s">
        <v>626</v>
      </c>
      <c r="D62" s="7" t="s">
        <v>751</v>
      </c>
      <c r="E62" s="7">
        <v>2020</v>
      </c>
      <c r="F62" s="3" t="s">
        <v>763</v>
      </c>
      <c r="G62" s="7" t="s">
        <v>753</v>
      </c>
      <c r="H62" s="7" t="s">
        <v>776</v>
      </c>
      <c r="I62" s="3">
        <v>-1.4837</v>
      </c>
      <c r="J62" s="3">
        <v>-78.002600000000001</v>
      </c>
      <c r="K62" t="s">
        <v>1628</v>
      </c>
      <c r="L62" t="s">
        <v>1627</v>
      </c>
      <c r="M62" s="8" t="s">
        <v>1019</v>
      </c>
      <c r="N62" s="8" t="s">
        <v>1946</v>
      </c>
      <c r="O62" s="8" t="s">
        <v>1977</v>
      </c>
      <c r="P62" s="3" t="s">
        <v>763</v>
      </c>
      <c r="Q62" t="s">
        <v>1633</v>
      </c>
      <c r="R62" s="3" t="s">
        <v>833</v>
      </c>
      <c r="S62" s="7" t="s">
        <v>787</v>
      </c>
      <c r="T62" s="7" t="s">
        <v>865</v>
      </c>
      <c r="U62" s="7" t="s">
        <v>764</v>
      </c>
      <c r="V62" s="7" t="s">
        <v>2036</v>
      </c>
      <c r="W62" s="7" t="s">
        <v>1241</v>
      </c>
      <c r="X62" s="7" t="s">
        <v>787</v>
      </c>
      <c r="Y62" s="7" t="s">
        <v>763</v>
      </c>
      <c r="Z62" s="7" t="s">
        <v>789</v>
      </c>
      <c r="AA62" s="8" t="s">
        <v>1637</v>
      </c>
      <c r="AB62" s="7" t="s">
        <v>1638</v>
      </c>
      <c r="AC62" s="8" t="s">
        <v>1639</v>
      </c>
      <c r="AD62" s="8" t="s">
        <v>763</v>
      </c>
      <c r="AE62" s="8" t="s">
        <v>1640</v>
      </c>
      <c r="AF62" t="s">
        <v>2058</v>
      </c>
    </row>
    <row r="63" spans="1:32" x14ac:dyDescent="0.35">
      <c r="A63" s="3">
        <v>65</v>
      </c>
      <c r="B63" t="s">
        <v>640</v>
      </c>
      <c r="C63" t="s">
        <v>1656</v>
      </c>
      <c r="D63" s="7" t="s">
        <v>751</v>
      </c>
      <c r="E63" s="7">
        <v>2020</v>
      </c>
      <c r="F63" s="3" t="s">
        <v>1659</v>
      </c>
      <c r="G63" s="7" t="s">
        <v>753</v>
      </c>
      <c r="H63" s="7" t="s">
        <v>754</v>
      </c>
      <c r="I63" s="3">
        <v>22.09</v>
      </c>
      <c r="J63" s="3">
        <v>82.15</v>
      </c>
      <c r="K63" t="s">
        <v>1658</v>
      </c>
      <c r="L63" t="s">
        <v>756</v>
      </c>
      <c r="M63" s="3" t="s">
        <v>763</v>
      </c>
      <c r="N63" s="3" t="s">
        <v>763</v>
      </c>
      <c r="O63" s="8" t="s">
        <v>1975</v>
      </c>
      <c r="P63" s="3" t="s">
        <v>913</v>
      </c>
      <c r="Q63" s="3" t="s">
        <v>763</v>
      </c>
      <c r="R63" s="8" t="s">
        <v>786</v>
      </c>
      <c r="S63" s="7" t="s">
        <v>787</v>
      </c>
      <c r="T63" s="7" t="s">
        <v>834</v>
      </c>
      <c r="U63" s="7" t="s">
        <v>764</v>
      </c>
      <c r="V63" s="7" t="s">
        <v>2026</v>
      </c>
      <c r="W63" s="7" t="s">
        <v>766</v>
      </c>
      <c r="X63" s="7" t="s">
        <v>787</v>
      </c>
      <c r="Y63" s="7" t="s">
        <v>763</v>
      </c>
      <c r="Z63" s="7" t="s">
        <v>768</v>
      </c>
      <c r="AA63" s="8" t="s">
        <v>1664</v>
      </c>
      <c r="AB63" s="7" t="s">
        <v>1667</v>
      </c>
      <c r="AC63" s="8" t="s">
        <v>1666</v>
      </c>
      <c r="AD63" s="8" t="s">
        <v>763</v>
      </c>
      <c r="AE63" s="8" t="s">
        <v>1665</v>
      </c>
      <c r="AF63" t="s">
        <v>1657</v>
      </c>
    </row>
    <row r="64" spans="1:32" x14ac:dyDescent="0.35">
      <c r="A64" s="3">
        <v>66</v>
      </c>
      <c r="B64" t="s">
        <v>646</v>
      </c>
      <c r="C64" t="s">
        <v>648</v>
      </c>
      <c r="D64" s="7" t="s">
        <v>751</v>
      </c>
      <c r="E64" s="7">
        <v>2021</v>
      </c>
      <c r="F64" s="7" t="s">
        <v>1669</v>
      </c>
      <c r="G64" s="7" t="s">
        <v>753</v>
      </c>
      <c r="H64" s="7" t="s">
        <v>754</v>
      </c>
      <c r="I64" s="3">
        <v>9.8333329999999997</v>
      </c>
      <c r="J64" s="3">
        <v>76.94</v>
      </c>
      <c r="K64" t="s">
        <v>1668</v>
      </c>
      <c r="L64" t="s">
        <v>756</v>
      </c>
      <c r="M64" s="3" t="s">
        <v>763</v>
      </c>
      <c r="N64" t="s">
        <v>1947</v>
      </c>
      <c r="O64" s="8" t="s">
        <v>1976</v>
      </c>
      <c r="P64" s="3" t="s">
        <v>763</v>
      </c>
      <c r="Q64" s="3" t="s">
        <v>763</v>
      </c>
      <c r="R64" s="8" t="s">
        <v>1673</v>
      </c>
      <c r="S64" s="7" t="s">
        <v>787</v>
      </c>
      <c r="T64" s="7" t="s">
        <v>1031</v>
      </c>
      <c r="U64" s="7" t="s">
        <v>764</v>
      </c>
      <c r="V64" s="7" t="s">
        <v>2026</v>
      </c>
      <c r="W64" s="7" t="s">
        <v>766</v>
      </c>
      <c r="X64" s="7" t="s">
        <v>787</v>
      </c>
      <c r="Y64" s="7" t="s">
        <v>763</v>
      </c>
      <c r="Z64" s="7" t="s">
        <v>768</v>
      </c>
      <c r="AA64" s="7" t="s">
        <v>1677</v>
      </c>
      <c r="AB64" s="7" t="s">
        <v>1678</v>
      </c>
      <c r="AC64" s="8" t="s">
        <v>1670</v>
      </c>
      <c r="AD64" s="8" t="s">
        <v>763</v>
      </c>
      <c r="AE64" s="8" t="s">
        <v>1676</v>
      </c>
      <c r="AF64" t="s">
        <v>2059</v>
      </c>
    </row>
    <row r="65" spans="1:38" x14ac:dyDescent="0.35">
      <c r="A65" s="3">
        <v>67</v>
      </c>
      <c r="B65" t="s">
        <v>651</v>
      </c>
      <c r="C65" t="s">
        <v>653</v>
      </c>
      <c r="D65" s="7" t="s">
        <v>751</v>
      </c>
      <c r="E65" s="7">
        <v>2021</v>
      </c>
      <c r="F65" s="3">
        <v>2016</v>
      </c>
      <c r="G65" s="7" t="s">
        <v>753</v>
      </c>
      <c r="H65" s="7" t="s">
        <v>754</v>
      </c>
      <c r="I65" s="3">
        <v>23.7</v>
      </c>
      <c r="J65" s="3">
        <v>90.366667000000007</v>
      </c>
      <c r="K65" t="s">
        <v>1679</v>
      </c>
      <c r="L65" t="s">
        <v>985</v>
      </c>
      <c r="M65" t="s">
        <v>1685</v>
      </c>
      <c r="N65" s="3" t="s">
        <v>763</v>
      </c>
      <c r="O65" s="3" t="s">
        <v>763</v>
      </c>
      <c r="P65" s="3" t="s">
        <v>763</v>
      </c>
      <c r="Q65" s="3" t="s">
        <v>763</v>
      </c>
      <c r="R65" s="8" t="s">
        <v>1615</v>
      </c>
      <c r="S65" s="7" t="s">
        <v>787</v>
      </c>
      <c r="T65" s="7" t="s">
        <v>834</v>
      </c>
      <c r="U65" s="7" t="s">
        <v>764</v>
      </c>
      <c r="V65" t="s">
        <v>2026</v>
      </c>
      <c r="W65" s="7" t="s">
        <v>766</v>
      </c>
      <c r="X65" s="7" t="s">
        <v>787</v>
      </c>
      <c r="Y65" s="7" t="s">
        <v>763</v>
      </c>
      <c r="Z65" s="7" t="s">
        <v>789</v>
      </c>
      <c r="AA65" s="8" t="s">
        <v>1686</v>
      </c>
      <c r="AB65" s="7" t="s">
        <v>1687</v>
      </c>
      <c r="AC65" s="8" t="s">
        <v>1681</v>
      </c>
      <c r="AD65" s="8" t="s">
        <v>763</v>
      </c>
      <c r="AE65" s="8" t="s">
        <v>1688</v>
      </c>
      <c r="AF65" t="s">
        <v>2049</v>
      </c>
    </row>
    <row r="66" spans="1:38" x14ac:dyDescent="0.35">
      <c r="A66" s="3">
        <v>68</v>
      </c>
      <c r="B66" t="s">
        <v>655</v>
      </c>
      <c r="C66" t="s">
        <v>657</v>
      </c>
      <c r="D66" s="7" t="s">
        <v>751</v>
      </c>
      <c r="E66" s="7">
        <v>2023</v>
      </c>
      <c r="F66" s="3" t="s">
        <v>1908</v>
      </c>
      <c r="G66" s="7" t="s">
        <v>795</v>
      </c>
      <c r="H66" s="7" t="s">
        <v>776</v>
      </c>
      <c r="I66" s="3">
        <v>-12.05</v>
      </c>
      <c r="J66" s="3">
        <v>-77.033332999999999</v>
      </c>
      <c r="K66" s="7" t="s">
        <v>1694</v>
      </c>
      <c r="L66" t="s">
        <v>1689</v>
      </c>
      <c r="M66" s="3" t="s">
        <v>763</v>
      </c>
      <c r="N66" s="3" t="s">
        <v>763</v>
      </c>
      <c r="O66" s="3" t="s">
        <v>763</v>
      </c>
      <c r="P66" s="3" t="s">
        <v>763</v>
      </c>
      <c r="Q66" t="s">
        <v>1888</v>
      </c>
      <c r="R66" s="8" t="s">
        <v>786</v>
      </c>
      <c r="S66" s="7" t="s">
        <v>787</v>
      </c>
      <c r="T66" s="7" t="s">
        <v>834</v>
      </c>
      <c r="U66" s="7" t="s">
        <v>764</v>
      </c>
      <c r="V66" s="7" t="s">
        <v>2031</v>
      </c>
      <c r="W66" s="7" t="s">
        <v>766</v>
      </c>
      <c r="X66" s="7" t="s">
        <v>787</v>
      </c>
      <c r="Y66" s="7" t="s">
        <v>1690</v>
      </c>
      <c r="Z66" s="7" t="s">
        <v>789</v>
      </c>
      <c r="AA66" s="7" t="s">
        <v>763</v>
      </c>
      <c r="AB66" s="7" t="s">
        <v>763</v>
      </c>
      <c r="AC66" s="8" t="s">
        <v>1691</v>
      </c>
      <c r="AD66" s="8" t="s">
        <v>763</v>
      </c>
      <c r="AE66" s="8" t="s">
        <v>2024</v>
      </c>
      <c r="AF66" t="s">
        <v>763</v>
      </c>
    </row>
    <row r="67" spans="1:38" x14ac:dyDescent="0.35">
      <c r="A67" s="3">
        <v>69</v>
      </c>
      <c r="B67" t="s">
        <v>660</v>
      </c>
      <c r="C67" t="s">
        <v>1701</v>
      </c>
      <c r="D67" s="7" t="s">
        <v>751</v>
      </c>
      <c r="E67" s="7">
        <v>2017</v>
      </c>
      <c r="F67" s="3" t="s">
        <v>1700</v>
      </c>
      <c r="G67" s="7" t="s">
        <v>753</v>
      </c>
      <c r="H67" s="7" t="s">
        <v>754</v>
      </c>
      <c r="I67" s="3">
        <v>6.6833330000000002</v>
      </c>
      <c r="J67" s="3">
        <v>-1.6166670000000001</v>
      </c>
      <c r="K67" s="7" t="s">
        <v>1554</v>
      </c>
      <c r="L67" t="s">
        <v>1325</v>
      </c>
      <c r="M67" t="s">
        <v>1019</v>
      </c>
      <c r="N67" t="s">
        <v>1944</v>
      </c>
      <c r="O67" t="s">
        <v>1952</v>
      </c>
      <c r="P67" s="3" t="s">
        <v>1859</v>
      </c>
      <c r="Q67" s="3" t="s">
        <v>763</v>
      </c>
      <c r="R67" t="s">
        <v>1984</v>
      </c>
      <c r="S67" s="7" t="s">
        <v>787</v>
      </c>
      <c r="T67" s="7" t="s">
        <v>1712</v>
      </c>
      <c r="U67" s="7" t="s">
        <v>1988</v>
      </c>
      <c r="V67" s="7" t="s">
        <v>2026</v>
      </c>
      <c r="W67" s="7" t="s">
        <v>2165</v>
      </c>
      <c r="X67" s="7" t="s">
        <v>787</v>
      </c>
      <c r="Y67" s="7" t="s">
        <v>763</v>
      </c>
      <c r="Z67" s="7" t="s">
        <v>768</v>
      </c>
      <c r="AA67" s="8" t="s">
        <v>1713</v>
      </c>
      <c r="AB67" s="7" t="s">
        <v>1714</v>
      </c>
      <c r="AC67" t="s">
        <v>1708</v>
      </c>
      <c r="AD67" s="8" t="s">
        <v>763</v>
      </c>
      <c r="AE67" s="8" t="s">
        <v>763</v>
      </c>
      <c r="AF67" t="s">
        <v>2060</v>
      </c>
    </row>
    <row r="68" spans="1:38" x14ac:dyDescent="0.35">
      <c r="A68" s="3">
        <v>70</v>
      </c>
      <c r="B68" s="8" t="s">
        <v>697</v>
      </c>
      <c r="C68" s="8" t="s">
        <v>699</v>
      </c>
      <c r="D68" s="7" t="s">
        <v>751</v>
      </c>
      <c r="E68" s="7">
        <v>2020</v>
      </c>
      <c r="F68" s="7" t="s">
        <v>1909</v>
      </c>
      <c r="G68" s="7" t="s">
        <v>753</v>
      </c>
      <c r="H68" s="7" t="s">
        <v>754</v>
      </c>
      <c r="I68" s="3">
        <v>21.15</v>
      </c>
      <c r="J68" s="3">
        <v>79.099999999999994</v>
      </c>
      <c r="K68" s="7" t="s">
        <v>1715</v>
      </c>
      <c r="L68" s="8" t="s">
        <v>756</v>
      </c>
      <c r="M68" t="s">
        <v>1208</v>
      </c>
      <c r="N68" s="8" t="s">
        <v>1948</v>
      </c>
      <c r="O68" s="8" t="s">
        <v>1958</v>
      </c>
      <c r="P68" s="7" t="s">
        <v>1016</v>
      </c>
      <c r="Q68" s="8" t="s">
        <v>1337</v>
      </c>
      <c r="R68" s="8" t="s">
        <v>1985</v>
      </c>
      <c r="S68" s="7" t="s">
        <v>787</v>
      </c>
      <c r="T68" s="7" t="s">
        <v>1031</v>
      </c>
      <c r="U68" s="7" t="s">
        <v>764</v>
      </c>
      <c r="V68" s="7" t="s">
        <v>2026</v>
      </c>
      <c r="W68" s="7" t="s">
        <v>766</v>
      </c>
      <c r="X68" s="7" t="s">
        <v>787</v>
      </c>
      <c r="Y68" s="7" t="s">
        <v>763</v>
      </c>
      <c r="Z68" s="7" t="s">
        <v>768</v>
      </c>
      <c r="AA68" s="8" t="s">
        <v>1724</v>
      </c>
      <c r="AB68" s="7" t="s">
        <v>1723</v>
      </c>
      <c r="AC68" s="8" t="s">
        <v>1719</v>
      </c>
      <c r="AD68" s="8" t="s">
        <v>763</v>
      </c>
      <c r="AE68" s="8" t="s">
        <v>1725</v>
      </c>
      <c r="AF68" s="8" t="s">
        <v>2061</v>
      </c>
    </row>
    <row r="69" spans="1:38" x14ac:dyDescent="0.35">
      <c r="A69" s="3">
        <v>73</v>
      </c>
      <c r="B69" s="8" t="s">
        <v>1759</v>
      </c>
      <c r="C69" s="8" t="s">
        <v>1760</v>
      </c>
      <c r="D69" s="7" t="s">
        <v>751</v>
      </c>
      <c r="E69" s="7">
        <v>2016</v>
      </c>
      <c r="F69" s="7" t="s">
        <v>1767</v>
      </c>
      <c r="G69" s="7" t="s">
        <v>795</v>
      </c>
      <c r="H69" s="7" t="s">
        <v>776</v>
      </c>
      <c r="I69" s="3">
        <v>-6.5590339999999996</v>
      </c>
      <c r="J69" s="3">
        <v>106.725227</v>
      </c>
      <c r="K69" s="8" t="s">
        <v>1757</v>
      </c>
      <c r="L69" s="8" t="s">
        <v>832</v>
      </c>
      <c r="M69" s="7" t="s">
        <v>763</v>
      </c>
      <c r="N69" s="8" t="s">
        <v>1949</v>
      </c>
      <c r="O69" s="8" t="s">
        <v>923</v>
      </c>
      <c r="P69" s="7" t="s">
        <v>913</v>
      </c>
      <c r="Q69" s="8" t="s">
        <v>1768</v>
      </c>
      <c r="R69" t="s">
        <v>1560</v>
      </c>
      <c r="S69" s="7" t="s">
        <v>762</v>
      </c>
      <c r="T69" s="7" t="s">
        <v>865</v>
      </c>
      <c r="U69" s="7" t="s">
        <v>1987</v>
      </c>
      <c r="V69" s="8" t="s">
        <v>2037</v>
      </c>
      <c r="W69" s="7" t="s">
        <v>766</v>
      </c>
      <c r="X69" s="7" t="s">
        <v>787</v>
      </c>
      <c r="Y69" s="7" t="s">
        <v>763</v>
      </c>
      <c r="Z69" s="7" t="s">
        <v>789</v>
      </c>
      <c r="AA69" s="8" t="s">
        <v>1761</v>
      </c>
      <c r="AB69" s="7" t="s">
        <v>1762</v>
      </c>
      <c r="AC69" s="8" t="s">
        <v>1763</v>
      </c>
      <c r="AD69" s="8" t="s">
        <v>763</v>
      </c>
      <c r="AE69" s="8" t="s">
        <v>763</v>
      </c>
      <c r="AF69" s="8" t="s">
        <v>763</v>
      </c>
    </row>
    <row r="70" spans="1:38" x14ac:dyDescent="0.35">
      <c r="A70" s="32">
        <v>69</v>
      </c>
      <c r="B70" t="s">
        <v>712</v>
      </c>
      <c r="C70" t="s">
        <v>714</v>
      </c>
      <c r="D70" s="7" t="s">
        <v>751</v>
      </c>
      <c r="E70" s="7">
        <v>2025</v>
      </c>
      <c r="F70" s="7" t="s">
        <v>1742</v>
      </c>
      <c r="G70" s="7" t="s">
        <v>795</v>
      </c>
      <c r="H70" s="7" t="s">
        <v>776</v>
      </c>
      <c r="I70" s="7" t="s">
        <v>1747</v>
      </c>
      <c r="J70" s="7" t="s">
        <v>1748</v>
      </c>
      <c r="K70" s="34" t="s">
        <v>1741</v>
      </c>
      <c r="L70" s="8" t="s">
        <v>846</v>
      </c>
      <c r="M70" s="3" t="s">
        <v>763</v>
      </c>
      <c r="N70" s="3" t="s">
        <v>763</v>
      </c>
      <c r="O70" s="3" t="s">
        <v>763</v>
      </c>
      <c r="P70" s="7" t="s">
        <v>763</v>
      </c>
      <c r="Q70" s="8" t="s">
        <v>850</v>
      </c>
      <c r="R70" s="8" t="s">
        <v>1560</v>
      </c>
      <c r="S70" s="3" t="s">
        <v>914</v>
      </c>
      <c r="T70" s="3" t="s">
        <v>1031</v>
      </c>
      <c r="U70" s="7" t="s">
        <v>1745</v>
      </c>
      <c r="V70" s="7" t="s">
        <v>1744</v>
      </c>
      <c r="W70" s="3" t="s">
        <v>2165</v>
      </c>
      <c r="X70" s="7" t="s">
        <v>787</v>
      </c>
      <c r="Y70" s="8" t="s">
        <v>1844</v>
      </c>
      <c r="Z70" s="7" t="s">
        <v>768</v>
      </c>
      <c r="AA70" s="8" t="s">
        <v>2173</v>
      </c>
      <c r="AB70" s="7" t="s">
        <v>768</v>
      </c>
      <c r="AC70" s="8" t="s">
        <v>1845</v>
      </c>
      <c r="AD70" s="8"/>
      <c r="AE70" s="8"/>
      <c r="AF70" s="7" t="s">
        <v>763</v>
      </c>
      <c r="AG70" s="7"/>
      <c r="AH70" s="7"/>
      <c r="AI70" s="8" t="s">
        <v>763</v>
      </c>
      <c r="AJ70" s="8" t="s">
        <v>763</v>
      </c>
      <c r="AK70" s="8" t="s">
        <v>763</v>
      </c>
      <c r="AL70" s="8" t="s">
        <v>763</v>
      </c>
    </row>
    <row r="71" spans="1:38" x14ac:dyDescent="0.35">
      <c r="A71" s="32">
        <v>70</v>
      </c>
      <c r="B71" s="8" t="s">
        <v>163</v>
      </c>
      <c r="C71" s="8" t="s">
        <v>165</v>
      </c>
      <c r="D71" s="7" t="s">
        <v>751</v>
      </c>
      <c r="E71" s="7">
        <v>2023</v>
      </c>
      <c r="F71" s="7"/>
      <c r="G71" s="7" t="s">
        <v>753</v>
      </c>
      <c r="H71" s="7" t="s">
        <v>754</v>
      </c>
      <c r="I71" s="3">
        <v>8.5902999999999992</v>
      </c>
      <c r="J71" s="7">
        <v>124.6536</v>
      </c>
      <c r="K71" s="35" t="s">
        <v>1114</v>
      </c>
      <c r="L71" s="7" t="s">
        <v>1112</v>
      </c>
      <c r="M71" s="3" t="s">
        <v>2077</v>
      </c>
      <c r="N71" s="7" t="s">
        <v>763</v>
      </c>
      <c r="O71" s="7" t="s">
        <v>763</v>
      </c>
      <c r="P71" s="7" t="s">
        <v>763</v>
      </c>
      <c r="Q71" s="8" t="s">
        <v>1113</v>
      </c>
      <c r="R71" s="3" t="s">
        <v>2074</v>
      </c>
      <c r="S71" s="7" t="s">
        <v>914</v>
      </c>
      <c r="T71" s="7" t="s">
        <v>1235</v>
      </c>
      <c r="U71" s="7" t="s">
        <v>764</v>
      </c>
      <c r="V71" s="8" t="s">
        <v>1117</v>
      </c>
      <c r="W71" s="7" t="s">
        <v>766</v>
      </c>
      <c r="X71" s="7" t="s">
        <v>787</v>
      </c>
      <c r="Y71" s="7" t="s">
        <v>763</v>
      </c>
      <c r="Z71" s="7" t="s">
        <v>763</v>
      </c>
      <c r="AA71" s="7" t="s">
        <v>763</v>
      </c>
      <c r="AB71" s="7" t="s">
        <v>789</v>
      </c>
      <c r="AC71" s="7" t="s">
        <v>1787</v>
      </c>
      <c r="AD71" s="7"/>
      <c r="AE71" s="7"/>
      <c r="AF71" s="7" t="s">
        <v>1786</v>
      </c>
      <c r="AG71" s="7"/>
      <c r="AH71" s="7"/>
      <c r="AI71" s="7" t="s">
        <v>1784</v>
      </c>
      <c r="AJ71" s="8" t="s">
        <v>1785</v>
      </c>
      <c r="AK71" s="7" t="s">
        <v>1118</v>
      </c>
      <c r="AL71" s="7" t="s">
        <v>763</v>
      </c>
    </row>
    <row r="72" spans="1:38" x14ac:dyDescent="0.35">
      <c r="A72" s="32">
        <v>71</v>
      </c>
      <c r="B72" t="s">
        <v>639</v>
      </c>
      <c r="C72" t="s">
        <v>1642</v>
      </c>
      <c r="D72" s="7" t="s">
        <v>751</v>
      </c>
      <c r="E72" s="7">
        <v>2020</v>
      </c>
      <c r="F72" s="3" t="s">
        <v>1641</v>
      </c>
      <c r="G72" s="7" t="s">
        <v>753</v>
      </c>
      <c r="H72" s="7" t="s">
        <v>754</v>
      </c>
      <c r="I72" s="7" t="s">
        <v>1644</v>
      </c>
      <c r="J72" s="7" t="s">
        <v>1645</v>
      </c>
      <c r="K72" s="34" t="s">
        <v>1643</v>
      </c>
      <c r="L72" t="s">
        <v>823</v>
      </c>
      <c r="M72" s="8" t="s">
        <v>763</v>
      </c>
      <c r="N72" s="8" t="s">
        <v>1646</v>
      </c>
      <c r="O72" s="8" t="s">
        <v>1647</v>
      </c>
      <c r="P72" s="3" t="s">
        <v>763</v>
      </c>
      <c r="Q72" s="8" t="s">
        <v>1648</v>
      </c>
      <c r="R72" s="8" t="s">
        <v>1560</v>
      </c>
      <c r="S72" s="3" t="s">
        <v>914</v>
      </c>
      <c r="T72" s="3" t="s">
        <v>1031</v>
      </c>
      <c r="U72" s="7" t="s">
        <v>764</v>
      </c>
      <c r="V72" s="7" t="s">
        <v>1650</v>
      </c>
      <c r="W72" s="7" t="s">
        <v>766</v>
      </c>
      <c r="X72" s="7" t="s">
        <v>787</v>
      </c>
      <c r="Y72" s="7" t="s">
        <v>763</v>
      </c>
      <c r="Z72" s="7" t="s">
        <v>763</v>
      </c>
      <c r="AA72" s="7" t="s">
        <v>763</v>
      </c>
      <c r="AB72" s="7" t="s">
        <v>768</v>
      </c>
      <c r="AC72" s="8" t="s">
        <v>1651</v>
      </c>
      <c r="AD72" s="8"/>
      <c r="AE72" s="8"/>
      <c r="AF72" s="7" t="s">
        <v>1654</v>
      </c>
      <c r="AG72" s="7"/>
      <c r="AH72" s="7"/>
      <c r="AI72" s="8" t="s">
        <v>1652</v>
      </c>
      <c r="AJ72" s="8" t="s">
        <v>763</v>
      </c>
      <c r="AK72" s="8" t="s">
        <v>1655</v>
      </c>
      <c r="AL72" s="8" t="s">
        <v>1653</v>
      </c>
    </row>
    <row r="73" spans="1:38" x14ac:dyDescent="0.35">
      <c r="A73" s="32">
        <v>72</v>
      </c>
      <c r="B73" t="s">
        <v>707</v>
      </c>
      <c r="C73" t="s">
        <v>709</v>
      </c>
      <c r="D73" s="7" t="s">
        <v>751</v>
      </c>
      <c r="E73" s="7">
        <v>2019</v>
      </c>
      <c r="F73" s="3" t="s">
        <v>763</v>
      </c>
      <c r="G73" s="7" t="s">
        <v>753</v>
      </c>
      <c r="H73" s="7" t="s">
        <v>754</v>
      </c>
      <c r="I73" s="7" t="s">
        <v>1734</v>
      </c>
      <c r="J73" s="7" t="s">
        <v>1735</v>
      </c>
      <c r="K73" s="34" t="s">
        <v>1728</v>
      </c>
      <c r="L73" s="8" t="s">
        <v>1729</v>
      </c>
      <c r="M73" s="8" t="s">
        <v>2089</v>
      </c>
      <c r="N73">
        <v>340</v>
      </c>
      <c r="O73" s="3" t="s">
        <v>763</v>
      </c>
      <c r="P73" s="3" t="s">
        <v>763</v>
      </c>
      <c r="Q73" t="s">
        <v>1337</v>
      </c>
      <c r="R73" s="33" t="s">
        <v>1736</v>
      </c>
      <c r="S73" s="3" t="s">
        <v>914</v>
      </c>
      <c r="T73" s="33" t="s">
        <v>1397</v>
      </c>
      <c r="U73" s="7" t="s">
        <v>764</v>
      </c>
      <c r="V73" s="7" t="s">
        <v>1709</v>
      </c>
      <c r="W73" s="7" t="s">
        <v>766</v>
      </c>
      <c r="X73" s="7" t="s">
        <v>787</v>
      </c>
      <c r="Y73" s="7" t="s">
        <v>763</v>
      </c>
      <c r="Z73" s="7" t="s">
        <v>763</v>
      </c>
      <c r="AA73" s="7" t="s">
        <v>763</v>
      </c>
      <c r="AB73" s="7" t="s">
        <v>768</v>
      </c>
      <c r="AC73" s="8" t="s">
        <v>1737</v>
      </c>
      <c r="AD73" s="8"/>
      <c r="AE73" s="8"/>
      <c r="AF73" s="7" t="s">
        <v>1739</v>
      </c>
      <c r="AG73" s="7"/>
      <c r="AH73" s="7"/>
      <c r="AI73" s="8" t="s">
        <v>1738</v>
      </c>
      <c r="AJ73" s="8" t="s">
        <v>763</v>
      </c>
      <c r="AK73" s="8" t="s">
        <v>1740</v>
      </c>
      <c r="AL73" s="8" t="s">
        <v>1730</v>
      </c>
    </row>
  </sheetData>
  <autoFilter ref="A1:AL73" xr:uid="{AE217B50-E772-4643-8624-FE4169AE732E}"/>
  <hyperlinks>
    <hyperlink ref="C26" r:id="rId1" display="https://www.sciencedirect.com/author/57219425459/erik-velasco" xr:uid="{E55BD9B7-969E-45AF-A852-4D1D4B2A856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9C8B-44A4-4C28-8F9C-B2A27C07FFB4}">
  <dimension ref="A1:AF12"/>
  <sheetViews>
    <sheetView workbookViewId="0">
      <selection activeCell="B5" sqref="B5"/>
    </sheetView>
  </sheetViews>
  <sheetFormatPr defaultRowHeight="14.5" x14ac:dyDescent="0.35"/>
  <sheetData>
    <row r="1" spans="1:32" x14ac:dyDescent="0.35">
      <c r="A1" s="2" t="s">
        <v>721</v>
      </c>
      <c r="B1" s="2" t="s">
        <v>2070</v>
      </c>
      <c r="C1" s="2" t="s">
        <v>722</v>
      </c>
      <c r="D1" s="2" t="s">
        <v>723</v>
      </c>
      <c r="E1" s="2" t="s">
        <v>724</v>
      </c>
      <c r="F1" s="2" t="s">
        <v>725</v>
      </c>
      <c r="G1" s="2" t="s">
        <v>726</v>
      </c>
      <c r="H1" s="2" t="s">
        <v>727</v>
      </c>
      <c r="I1" s="2" t="s">
        <v>728</v>
      </c>
      <c r="J1" s="2" t="s">
        <v>729</v>
      </c>
      <c r="K1" s="2" t="s">
        <v>730</v>
      </c>
      <c r="L1" s="2" t="s">
        <v>731</v>
      </c>
      <c r="M1" s="2" t="s">
        <v>732</v>
      </c>
      <c r="N1" s="2" t="s">
        <v>733</v>
      </c>
      <c r="O1" s="2" t="s">
        <v>734</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2004</v>
      </c>
    </row>
    <row r="2" spans="1:32" s="3" customFormat="1" x14ac:dyDescent="0.35">
      <c r="A2" s="3">
        <v>4</v>
      </c>
      <c r="B2" s="3" t="s">
        <v>48</v>
      </c>
      <c r="C2" s="3" t="s">
        <v>50</v>
      </c>
      <c r="D2" s="3" t="s">
        <v>751</v>
      </c>
      <c r="E2" s="4">
        <v>2012</v>
      </c>
      <c r="F2" s="3" t="s">
        <v>806</v>
      </c>
      <c r="G2" s="3" t="s">
        <v>753</v>
      </c>
      <c r="H2" s="3" t="s">
        <v>754</v>
      </c>
      <c r="I2" s="12" t="s">
        <v>807</v>
      </c>
      <c r="J2" s="3" t="s">
        <v>808</v>
      </c>
      <c r="K2" s="3" t="s">
        <v>809</v>
      </c>
      <c r="L2" s="3" t="s">
        <v>756</v>
      </c>
      <c r="M2" s="3" t="s">
        <v>810</v>
      </c>
      <c r="N2" s="3" t="s">
        <v>811</v>
      </c>
      <c r="O2" s="15"/>
      <c r="P2" s="15"/>
      <c r="Q2" s="15"/>
      <c r="R2" s="3" t="s">
        <v>812</v>
      </c>
      <c r="S2" s="3" t="s">
        <v>787</v>
      </c>
      <c r="T2" s="3" t="s">
        <v>813</v>
      </c>
      <c r="U2" s="3" t="s">
        <v>814</v>
      </c>
      <c r="V2" s="3" t="s">
        <v>815</v>
      </c>
      <c r="W2" s="3" t="s">
        <v>766</v>
      </c>
      <c r="X2" s="3" t="s">
        <v>787</v>
      </c>
      <c r="Y2" s="3" t="s">
        <v>763</v>
      </c>
      <c r="Z2" s="3" t="s">
        <v>789</v>
      </c>
      <c r="AA2" s="3" t="s">
        <v>816</v>
      </c>
      <c r="AB2" s="3" t="s">
        <v>817</v>
      </c>
      <c r="AC2" s="3" t="s">
        <v>818</v>
      </c>
      <c r="AD2" s="3" t="s">
        <v>763</v>
      </c>
      <c r="AE2" s="3" t="s">
        <v>819</v>
      </c>
      <c r="AF2" s="3" t="s">
        <v>820</v>
      </c>
    </row>
    <row r="3" spans="1:32" s="3" customFormat="1" x14ac:dyDescent="0.35">
      <c r="A3" s="3">
        <v>14</v>
      </c>
      <c r="B3" s="3" t="s">
        <v>94</v>
      </c>
      <c r="C3" s="3" t="s">
        <v>96</v>
      </c>
      <c r="D3" s="3" t="s">
        <v>751</v>
      </c>
      <c r="E3" s="3">
        <v>2022</v>
      </c>
      <c r="F3" s="3" t="s">
        <v>943</v>
      </c>
      <c r="G3" s="3" t="s">
        <v>795</v>
      </c>
      <c r="H3" s="3" t="s">
        <v>754</v>
      </c>
      <c r="I3" s="12" t="s">
        <v>944</v>
      </c>
      <c r="J3" s="3" t="s">
        <v>945</v>
      </c>
      <c r="K3" s="3" t="s">
        <v>946</v>
      </c>
      <c r="L3" s="3" t="s">
        <v>756</v>
      </c>
      <c r="M3" s="15"/>
      <c r="N3" s="3" t="s">
        <v>947</v>
      </c>
      <c r="O3" s="3" t="s">
        <v>923</v>
      </c>
      <c r="P3" s="3" t="s">
        <v>948</v>
      </c>
      <c r="Q3" s="15"/>
      <c r="R3" s="3" t="s">
        <v>949</v>
      </c>
      <c r="S3" s="3" t="s">
        <v>762</v>
      </c>
      <c r="T3" s="3" t="s">
        <v>834</v>
      </c>
      <c r="U3" s="3" t="s">
        <v>950</v>
      </c>
      <c r="V3" s="3" t="s">
        <v>951</v>
      </c>
      <c r="W3" s="3" t="s">
        <v>766</v>
      </c>
      <c r="X3" s="3" t="s">
        <v>826</v>
      </c>
      <c r="Y3" s="3" t="s">
        <v>952</v>
      </c>
      <c r="Z3" s="3" t="s">
        <v>899</v>
      </c>
      <c r="AA3" s="3" t="s">
        <v>953</v>
      </c>
      <c r="AB3" s="3" t="s">
        <v>954</v>
      </c>
      <c r="AC3" s="3" t="s">
        <v>955</v>
      </c>
      <c r="AD3" s="3" t="s">
        <v>956</v>
      </c>
      <c r="AE3" s="3" t="s">
        <v>957</v>
      </c>
      <c r="AF3" s="3" t="s">
        <v>763</v>
      </c>
    </row>
    <row r="4" spans="1:32" s="3" customFormat="1" x14ac:dyDescent="0.35">
      <c r="A4" s="3">
        <v>16</v>
      </c>
      <c r="B4" s="3" t="s">
        <v>121</v>
      </c>
      <c r="C4" s="3" t="s">
        <v>123</v>
      </c>
      <c r="D4" s="3" t="s">
        <v>751</v>
      </c>
      <c r="E4" s="3">
        <v>2025</v>
      </c>
      <c r="F4" s="3" t="s">
        <v>970</v>
      </c>
      <c r="G4" s="3" t="s">
        <v>753</v>
      </c>
      <c r="H4" s="3" t="s">
        <v>754</v>
      </c>
      <c r="I4" s="12" t="s">
        <v>971</v>
      </c>
      <c r="J4" s="3" t="s">
        <v>972</v>
      </c>
      <c r="K4" s="3" t="s">
        <v>973</v>
      </c>
      <c r="L4" s="3" t="s">
        <v>756</v>
      </c>
      <c r="M4" s="15"/>
      <c r="N4" s="15"/>
      <c r="O4" s="3" t="s">
        <v>974</v>
      </c>
      <c r="P4" s="3" t="s">
        <v>881</v>
      </c>
      <c r="Q4" s="15"/>
      <c r="R4" s="3" t="s">
        <v>833</v>
      </c>
      <c r="S4" s="3" t="s">
        <v>787</v>
      </c>
      <c r="T4" s="15"/>
      <c r="U4" s="3" t="s">
        <v>975</v>
      </c>
      <c r="V4" s="3" t="s">
        <v>976</v>
      </c>
      <c r="W4" s="3" t="s">
        <v>977</v>
      </c>
      <c r="X4" s="3" t="s">
        <v>787</v>
      </c>
      <c r="Y4" s="3" t="s">
        <v>763</v>
      </c>
      <c r="Z4" s="3" t="s">
        <v>768</v>
      </c>
      <c r="AA4" s="3" t="s">
        <v>763</v>
      </c>
      <c r="AB4" s="3" t="s">
        <v>978</v>
      </c>
      <c r="AC4" s="3" t="s">
        <v>979</v>
      </c>
      <c r="AD4" s="3" t="s">
        <v>763</v>
      </c>
      <c r="AE4" s="3" t="s">
        <v>980</v>
      </c>
      <c r="AF4" s="3" t="s">
        <v>763</v>
      </c>
    </row>
    <row r="5" spans="1:32" s="3" customFormat="1" x14ac:dyDescent="0.35">
      <c r="A5" s="3">
        <v>17</v>
      </c>
      <c r="B5" s="3" t="s">
        <v>168</v>
      </c>
      <c r="C5" s="3" t="s">
        <v>170</v>
      </c>
      <c r="D5" s="3" t="s">
        <v>751</v>
      </c>
      <c r="E5" s="3">
        <v>2023</v>
      </c>
      <c r="F5" s="3" t="s">
        <v>981</v>
      </c>
      <c r="G5" s="3" t="s">
        <v>795</v>
      </c>
      <c r="H5" s="3" t="s">
        <v>754</v>
      </c>
      <c r="I5" s="12" t="s">
        <v>982</v>
      </c>
      <c r="J5" s="3" t="s">
        <v>983</v>
      </c>
      <c r="K5" s="3" t="s">
        <v>984</v>
      </c>
      <c r="L5" s="3" t="s">
        <v>985</v>
      </c>
      <c r="M5" s="15"/>
      <c r="N5" s="15"/>
      <c r="O5" s="15"/>
      <c r="P5" s="3" t="s">
        <v>763</v>
      </c>
      <c r="Q5" s="15"/>
      <c r="R5" s="3" t="s">
        <v>833</v>
      </c>
      <c r="S5" s="3" t="s">
        <v>986</v>
      </c>
      <c r="T5" s="3" t="s">
        <v>987</v>
      </c>
      <c r="U5" s="3" t="s">
        <v>764</v>
      </c>
      <c r="V5" s="3" t="s">
        <v>988</v>
      </c>
      <c r="W5" s="3" t="s">
        <v>766</v>
      </c>
      <c r="X5" s="3" t="s">
        <v>787</v>
      </c>
      <c r="Y5" s="3" t="s">
        <v>989</v>
      </c>
      <c r="Z5" s="3" t="s">
        <v>768</v>
      </c>
      <c r="AA5" s="3" t="s">
        <v>990</v>
      </c>
      <c r="AB5" s="3" t="s">
        <v>991</v>
      </c>
      <c r="AC5" s="3" t="s">
        <v>992</v>
      </c>
      <c r="AD5" s="3" t="s">
        <v>763</v>
      </c>
      <c r="AE5" s="3" t="s">
        <v>993</v>
      </c>
      <c r="AF5" s="3" t="s">
        <v>994</v>
      </c>
    </row>
    <row r="6" spans="1:32" s="3" customFormat="1" x14ac:dyDescent="0.35">
      <c r="A6" s="3">
        <v>18</v>
      </c>
      <c r="B6" s="3" t="s">
        <v>997</v>
      </c>
      <c r="C6" s="3" t="s">
        <v>998</v>
      </c>
      <c r="D6" s="3" t="s">
        <v>751</v>
      </c>
      <c r="E6" s="3">
        <v>2012</v>
      </c>
      <c r="F6" s="3">
        <v>2010</v>
      </c>
      <c r="G6" s="3" t="s">
        <v>753</v>
      </c>
      <c r="H6" s="3" t="s">
        <v>754</v>
      </c>
      <c r="I6" s="12" t="s">
        <v>1006</v>
      </c>
      <c r="J6" s="3" t="s">
        <v>1007</v>
      </c>
      <c r="K6" s="3" t="s">
        <v>1005</v>
      </c>
      <c r="L6" s="3" t="s">
        <v>996</v>
      </c>
      <c r="M6" s="15"/>
      <c r="N6" s="15"/>
      <c r="O6" s="15"/>
      <c r="P6" s="3" t="s">
        <v>763</v>
      </c>
      <c r="Q6" s="15"/>
      <c r="R6" s="3" t="s">
        <v>786</v>
      </c>
      <c r="S6" s="3" t="s">
        <v>914</v>
      </c>
      <c r="T6" s="3" t="s">
        <v>1004</v>
      </c>
      <c r="U6" s="3" t="s">
        <v>764</v>
      </c>
      <c r="V6" s="3" t="s">
        <v>1000</v>
      </c>
      <c r="W6" s="3" t="s">
        <v>766</v>
      </c>
      <c r="X6" s="3" t="s">
        <v>787</v>
      </c>
      <c r="Y6" s="3" t="s">
        <v>1003</v>
      </c>
      <c r="Z6" s="3" t="s">
        <v>768</v>
      </c>
      <c r="AA6" s="3" t="s">
        <v>1001</v>
      </c>
      <c r="AB6" s="3" t="s">
        <v>763</v>
      </c>
      <c r="AC6" s="3" t="s">
        <v>995</v>
      </c>
      <c r="AD6" s="3" t="s">
        <v>763</v>
      </c>
      <c r="AE6" s="3" t="s">
        <v>1002</v>
      </c>
      <c r="AF6" s="3" t="s">
        <v>999</v>
      </c>
    </row>
    <row r="7" spans="1:32" x14ac:dyDescent="0.35">
      <c r="A7" s="3">
        <v>30</v>
      </c>
      <c r="B7" t="s">
        <v>178</v>
      </c>
      <c r="C7" t="s">
        <v>180</v>
      </c>
      <c r="D7" s="3" t="s">
        <v>751</v>
      </c>
      <c r="E7" s="3">
        <v>2022</v>
      </c>
      <c r="F7">
        <v>2020</v>
      </c>
      <c r="G7" s="3" t="s">
        <v>753</v>
      </c>
      <c r="H7" s="3" t="s">
        <v>754</v>
      </c>
      <c r="I7" s="13" t="s">
        <v>1137</v>
      </c>
      <c r="J7" s="7" t="s">
        <v>1138</v>
      </c>
      <c r="K7" t="s">
        <v>1130</v>
      </c>
      <c r="L7" s="3" t="s">
        <v>756</v>
      </c>
      <c r="M7" t="s">
        <v>1129</v>
      </c>
      <c r="N7" t="s">
        <v>1132</v>
      </c>
      <c r="O7" t="s">
        <v>1131</v>
      </c>
      <c r="P7" s="3" t="s">
        <v>763</v>
      </c>
      <c r="Q7" s="15"/>
      <c r="R7" s="3" t="s">
        <v>1133</v>
      </c>
      <c r="S7" s="3" t="s">
        <v>787</v>
      </c>
      <c r="T7" s="3" t="s">
        <v>1031</v>
      </c>
      <c r="U7" s="3" t="s">
        <v>764</v>
      </c>
      <c r="V7" t="s">
        <v>1134</v>
      </c>
      <c r="W7" s="3" t="s">
        <v>766</v>
      </c>
      <c r="X7" s="3" t="s">
        <v>787</v>
      </c>
      <c r="Y7" s="3" t="s">
        <v>763</v>
      </c>
      <c r="Z7" s="3" t="s">
        <v>789</v>
      </c>
      <c r="AA7" t="s">
        <v>1141</v>
      </c>
      <c r="AB7" s="8" t="s">
        <v>1140</v>
      </c>
      <c r="AC7" s="3" t="s">
        <v>1135</v>
      </c>
      <c r="AD7" s="3" t="s">
        <v>763</v>
      </c>
      <c r="AE7" s="8" t="s">
        <v>1139</v>
      </c>
      <c r="AF7" t="s">
        <v>1136</v>
      </c>
    </row>
    <row r="8" spans="1:32" x14ac:dyDescent="0.35">
      <c r="A8" s="3">
        <v>48</v>
      </c>
      <c r="B8" t="s">
        <v>369</v>
      </c>
      <c r="C8" t="s">
        <v>371</v>
      </c>
      <c r="D8" s="7" t="s">
        <v>751</v>
      </c>
      <c r="E8" s="7">
        <v>2024</v>
      </c>
      <c r="F8" s="15"/>
      <c r="G8" s="7" t="s">
        <v>753</v>
      </c>
      <c r="H8" s="7" t="s">
        <v>776</v>
      </c>
      <c r="I8" s="13" t="s">
        <v>1346</v>
      </c>
      <c r="J8" s="7" t="s">
        <v>1347</v>
      </c>
      <c r="K8" s="8" t="s">
        <v>1339</v>
      </c>
      <c r="L8" s="7" t="s">
        <v>1338</v>
      </c>
      <c r="M8" s="15"/>
      <c r="N8" s="15"/>
      <c r="O8" s="15"/>
      <c r="P8" t="s">
        <v>1341</v>
      </c>
      <c r="Q8" t="s">
        <v>1337</v>
      </c>
      <c r="R8" s="8" t="s">
        <v>1340</v>
      </c>
      <c r="S8" s="3" t="s">
        <v>914</v>
      </c>
      <c r="T8" s="7" t="s">
        <v>1345</v>
      </c>
      <c r="U8" s="7" t="s">
        <v>1247</v>
      </c>
      <c r="V8" s="7" t="s">
        <v>1342</v>
      </c>
      <c r="W8" s="7" t="s">
        <v>1188</v>
      </c>
      <c r="X8" s="7" t="s">
        <v>787</v>
      </c>
      <c r="Y8" s="7" t="s">
        <v>763</v>
      </c>
      <c r="Z8" s="7" t="s">
        <v>789</v>
      </c>
      <c r="AA8" s="7" t="s">
        <v>1344</v>
      </c>
      <c r="AB8" s="7" t="s">
        <v>763</v>
      </c>
      <c r="AC8" t="s">
        <v>1336</v>
      </c>
      <c r="AD8" s="8" t="s">
        <v>763</v>
      </c>
      <c r="AE8" s="8" t="s">
        <v>1343</v>
      </c>
      <c r="AF8" s="8" t="s">
        <v>763</v>
      </c>
    </row>
    <row r="9" spans="1:32" x14ac:dyDescent="0.35">
      <c r="A9" s="3">
        <v>59</v>
      </c>
      <c r="B9" t="s">
        <v>495</v>
      </c>
      <c r="C9" t="s">
        <v>497</v>
      </c>
      <c r="D9" s="7" t="s">
        <v>751</v>
      </c>
      <c r="E9" s="7">
        <v>2019</v>
      </c>
      <c r="F9" s="15"/>
      <c r="G9" s="7" t="s">
        <v>753</v>
      </c>
      <c r="H9" s="7" t="s">
        <v>754</v>
      </c>
      <c r="I9" s="13" t="s">
        <v>1469</v>
      </c>
      <c r="J9" s="7" t="s">
        <v>1470</v>
      </c>
      <c r="K9" s="7" t="s">
        <v>1467</v>
      </c>
      <c r="L9" t="s">
        <v>1468</v>
      </c>
      <c r="M9" t="s">
        <v>1475</v>
      </c>
      <c r="N9" t="s">
        <v>1474</v>
      </c>
      <c r="O9" s="15"/>
      <c r="P9" s="15"/>
      <c r="Q9" t="s">
        <v>1473</v>
      </c>
      <c r="R9" s="8" t="s">
        <v>1476</v>
      </c>
      <c r="S9" s="7" t="s">
        <v>787</v>
      </c>
      <c r="T9" s="7" t="s">
        <v>1031</v>
      </c>
      <c r="U9" s="7" t="s">
        <v>1247</v>
      </c>
      <c r="V9" s="8" t="s">
        <v>1478</v>
      </c>
      <c r="W9" s="7" t="s">
        <v>766</v>
      </c>
      <c r="X9" s="7" t="s">
        <v>787</v>
      </c>
      <c r="Y9" s="7" t="s">
        <v>1477</v>
      </c>
      <c r="Z9" s="7" t="s">
        <v>768</v>
      </c>
      <c r="AA9" s="7" t="s">
        <v>763</v>
      </c>
      <c r="AB9" s="8" t="s">
        <v>763</v>
      </c>
      <c r="AC9" t="s">
        <v>1479</v>
      </c>
      <c r="AD9" s="8" t="s">
        <v>1471</v>
      </c>
      <c r="AE9" s="8" t="s">
        <v>1472</v>
      </c>
      <c r="AF9" s="8" t="s">
        <v>1480</v>
      </c>
    </row>
    <row r="10" spans="1:32" s="8" customFormat="1" x14ac:dyDescent="0.35">
      <c r="A10" s="3">
        <v>60</v>
      </c>
      <c r="B10" s="8" t="s">
        <v>505</v>
      </c>
      <c r="C10" s="8" t="s">
        <v>507</v>
      </c>
      <c r="D10" s="7" t="s">
        <v>751</v>
      </c>
      <c r="E10" s="7">
        <v>2023</v>
      </c>
      <c r="F10" s="16"/>
      <c r="G10" s="7" t="s">
        <v>753</v>
      </c>
      <c r="H10" s="7" t="s">
        <v>754</v>
      </c>
      <c r="I10" s="14" t="s">
        <v>1481</v>
      </c>
      <c r="J10" s="7" t="s">
        <v>1482</v>
      </c>
      <c r="K10" s="7" t="s">
        <v>1130</v>
      </c>
      <c r="L10" s="8" t="s">
        <v>756</v>
      </c>
      <c r="M10" s="8" t="s">
        <v>1483</v>
      </c>
      <c r="N10" s="8" t="s">
        <v>1485</v>
      </c>
      <c r="O10" s="8" t="s">
        <v>1484</v>
      </c>
      <c r="P10" s="16"/>
      <c r="Q10" s="16"/>
      <c r="R10" s="8" t="s">
        <v>833</v>
      </c>
      <c r="S10" s="7" t="s">
        <v>787</v>
      </c>
      <c r="T10" s="8" t="s">
        <v>1486</v>
      </c>
      <c r="U10" s="7" t="s">
        <v>1247</v>
      </c>
      <c r="V10" s="7" t="s">
        <v>1487</v>
      </c>
      <c r="W10" s="7" t="s">
        <v>766</v>
      </c>
      <c r="X10" s="7" t="s">
        <v>787</v>
      </c>
      <c r="Y10" s="7" t="s">
        <v>763</v>
      </c>
      <c r="Z10" s="7" t="s">
        <v>768</v>
      </c>
      <c r="AA10" s="8" t="s">
        <v>1488</v>
      </c>
      <c r="AB10" s="8" t="s">
        <v>1489</v>
      </c>
      <c r="AC10" s="8" t="s">
        <v>1490</v>
      </c>
      <c r="AD10" s="8" t="s">
        <v>763</v>
      </c>
      <c r="AE10" s="8" t="s">
        <v>1494</v>
      </c>
      <c r="AF10" s="8" t="s">
        <v>1491</v>
      </c>
    </row>
    <row r="11" spans="1:32" s="8" customFormat="1" x14ac:dyDescent="0.35">
      <c r="A11" s="3">
        <v>64</v>
      </c>
      <c r="B11" t="s">
        <v>531</v>
      </c>
      <c r="C11" t="s">
        <v>533</v>
      </c>
      <c r="D11" s="7" t="s">
        <v>751</v>
      </c>
      <c r="E11" s="7">
        <v>2009</v>
      </c>
      <c r="F11" s="8">
        <v>2008</v>
      </c>
      <c r="G11" s="7" t="s">
        <v>753</v>
      </c>
      <c r="H11" s="7" t="s">
        <v>776</v>
      </c>
      <c r="I11" s="13" t="s">
        <v>1531</v>
      </c>
      <c r="J11" s="7" t="s">
        <v>1532</v>
      </c>
      <c r="K11" s="8" t="s">
        <v>1530</v>
      </c>
      <c r="L11" s="8" t="s">
        <v>1522</v>
      </c>
      <c r="M11" s="8" t="s">
        <v>1533</v>
      </c>
      <c r="N11" s="8" t="s">
        <v>1521</v>
      </c>
      <c r="O11" s="16"/>
      <c r="P11" s="16"/>
      <c r="Q11" s="16"/>
      <c r="R11" s="8" t="s">
        <v>1133</v>
      </c>
      <c r="S11" s="7" t="s">
        <v>787</v>
      </c>
      <c r="T11" s="7" t="s">
        <v>865</v>
      </c>
      <c r="U11" s="7" t="s">
        <v>1528</v>
      </c>
      <c r="V11" s="7" t="s">
        <v>1529</v>
      </c>
      <c r="W11" s="7" t="s">
        <v>766</v>
      </c>
      <c r="X11" s="7" t="s">
        <v>787</v>
      </c>
      <c r="Y11" s="8" t="s">
        <v>1527</v>
      </c>
      <c r="Z11" s="7" t="s">
        <v>768</v>
      </c>
      <c r="AA11" s="8" t="s">
        <v>1526</v>
      </c>
      <c r="AB11" s="8" t="s">
        <v>1525</v>
      </c>
      <c r="AC11" s="8" t="s">
        <v>1523</v>
      </c>
      <c r="AD11" s="8" t="s">
        <v>763</v>
      </c>
      <c r="AE11" s="8" t="s">
        <v>763</v>
      </c>
      <c r="AF11" s="8" t="s">
        <v>1524</v>
      </c>
    </row>
    <row r="12" spans="1:32" x14ac:dyDescent="0.35">
      <c r="A12" s="3">
        <v>52</v>
      </c>
      <c r="B12" t="s">
        <v>509</v>
      </c>
      <c r="C12" s="8" t="s">
        <v>1495</v>
      </c>
      <c r="D12" s="7" t="s">
        <v>751</v>
      </c>
      <c r="E12" s="7">
        <v>2020</v>
      </c>
      <c r="F12" s="3" t="s">
        <v>1906</v>
      </c>
      <c r="G12" s="7" t="s">
        <v>753</v>
      </c>
      <c r="H12" s="7" t="s">
        <v>754</v>
      </c>
      <c r="I12" s="12">
        <v>23.586055999999999</v>
      </c>
      <c r="J12" s="3">
        <v>58.383248999999999</v>
      </c>
      <c r="K12" s="7" t="s">
        <v>1493</v>
      </c>
      <c r="L12" s="8" t="s">
        <v>1492</v>
      </c>
      <c r="M12" s="8" t="s">
        <v>1496</v>
      </c>
      <c r="N12" t="s">
        <v>1943</v>
      </c>
      <c r="O12" t="s">
        <v>1981</v>
      </c>
      <c r="P12" s="3" t="s">
        <v>1016</v>
      </c>
      <c r="Q12" t="s">
        <v>1473</v>
      </c>
      <c r="R12" s="8" t="s">
        <v>1498</v>
      </c>
      <c r="S12" s="7" t="s">
        <v>787</v>
      </c>
      <c r="T12" s="7" t="s">
        <v>1031</v>
      </c>
      <c r="U12" s="7" t="s">
        <v>2001</v>
      </c>
      <c r="V12" s="8" t="s">
        <v>2034</v>
      </c>
      <c r="W12" s="7" t="s">
        <v>1497</v>
      </c>
      <c r="X12" s="7" t="s">
        <v>787</v>
      </c>
      <c r="Y12" s="7" t="s">
        <v>763</v>
      </c>
      <c r="Z12" s="7" t="s">
        <v>768</v>
      </c>
      <c r="AA12" s="8" t="s">
        <v>1499</v>
      </c>
      <c r="AB12" s="7" t="s">
        <v>1501</v>
      </c>
      <c r="AC12" s="8" t="s">
        <v>763</v>
      </c>
      <c r="AD12" s="8" t="s">
        <v>763</v>
      </c>
      <c r="AE12" s="8" t="s">
        <v>2020</v>
      </c>
      <c r="AF12" s="8" t="s">
        <v>1500</v>
      </c>
    </row>
  </sheetData>
  <hyperlinks>
    <hyperlink ref="I6" r:id="rId1" display="https://geohack.toolforge.org/geohack.php?pagename=Taiwan&amp;params=25_04_N_121_31_E_type:city_region:TW" xr:uid="{50CD2F85-82A0-4356-94EA-7446A653CF14}"/>
    <hyperlink ref="I11" r:id="rId2" display="https://geohack.toolforge.org/geohack.php?pagename=Lake_Illawarra,_New_South_Wales&amp;params=34_32_30_S_150_51_30_E_type:city_region:AU-NSW" xr:uid="{C7916CDF-E24A-4ED2-BD2D-0CCB0BB66B9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F56B-50DF-4913-A090-1144B699BAA4}">
  <dimension ref="A1:C115"/>
  <sheetViews>
    <sheetView workbookViewId="0">
      <selection activeCell="F110" sqref="F110"/>
    </sheetView>
  </sheetViews>
  <sheetFormatPr defaultRowHeight="14.5" x14ac:dyDescent="0.35"/>
  <cols>
    <col min="2" max="2" width="50.453125" bestFit="1" customWidth="1"/>
  </cols>
  <sheetData>
    <row r="1" spans="1:3" x14ac:dyDescent="0.35">
      <c r="A1">
        <v>1</v>
      </c>
      <c r="B1" t="s">
        <v>2303</v>
      </c>
      <c r="C1" t="s">
        <v>1113</v>
      </c>
    </row>
    <row r="2" spans="1:3" x14ac:dyDescent="0.35">
      <c r="A2">
        <v>2</v>
      </c>
      <c r="B2" t="s">
        <v>2298</v>
      </c>
      <c r="C2" t="s">
        <v>2299</v>
      </c>
    </row>
    <row r="3" spans="1:3" x14ac:dyDescent="0.35">
      <c r="A3">
        <v>3</v>
      </c>
      <c r="B3" t="s">
        <v>2300</v>
      </c>
      <c r="C3" t="s">
        <v>763</v>
      </c>
    </row>
    <row r="4" spans="1:3" x14ac:dyDescent="0.35">
      <c r="A4">
        <v>4</v>
      </c>
      <c r="B4" t="s">
        <v>2300</v>
      </c>
      <c r="C4" t="s">
        <v>763</v>
      </c>
    </row>
    <row r="5" spans="1:3" x14ac:dyDescent="0.35">
      <c r="A5">
        <v>5</v>
      </c>
      <c r="B5" t="s">
        <v>2300</v>
      </c>
      <c r="C5" t="s">
        <v>2301</v>
      </c>
    </row>
    <row r="6" spans="1:3" x14ac:dyDescent="0.35">
      <c r="A6">
        <v>6</v>
      </c>
      <c r="B6" t="s">
        <v>2300</v>
      </c>
      <c r="C6" t="s">
        <v>763</v>
      </c>
    </row>
    <row r="7" spans="1:3" x14ac:dyDescent="0.35">
      <c r="A7">
        <v>7</v>
      </c>
      <c r="B7" t="s">
        <v>2300</v>
      </c>
      <c r="C7" t="s">
        <v>2302</v>
      </c>
    </row>
    <row r="8" spans="1:3" x14ac:dyDescent="0.35">
      <c r="A8">
        <v>8</v>
      </c>
      <c r="B8" t="s">
        <v>2300</v>
      </c>
      <c r="C8" t="s">
        <v>2302</v>
      </c>
    </row>
    <row r="9" spans="1:3" x14ac:dyDescent="0.35">
      <c r="A9">
        <v>9</v>
      </c>
      <c r="B9" t="s">
        <v>2300</v>
      </c>
      <c r="C9" t="s">
        <v>2302</v>
      </c>
    </row>
    <row r="10" spans="1:3" x14ac:dyDescent="0.35">
      <c r="A10">
        <v>10</v>
      </c>
      <c r="B10" t="s">
        <v>2300</v>
      </c>
      <c r="C10" t="s">
        <v>763</v>
      </c>
    </row>
    <row r="11" spans="1:3" x14ac:dyDescent="0.35">
      <c r="A11">
        <v>11</v>
      </c>
      <c r="B11" t="s">
        <v>2303</v>
      </c>
      <c r="C11" t="s">
        <v>763</v>
      </c>
    </row>
    <row r="12" spans="1:3" x14ac:dyDescent="0.35">
      <c r="A12">
        <v>12</v>
      </c>
      <c r="B12" t="s">
        <v>2304</v>
      </c>
      <c r="C12" t="s">
        <v>2305</v>
      </c>
    </row>
    <row r="13" spans="1:3" x14ac:dyDescent="0.35">
      <c r="A13">
        <v>13</v>
      </c>
      <c r="B13" t="s">
        <v>2300</v>
      </c>
      <c r="C13" t="s">
        <v>763</v>
      </c>
    </row>
    <row r="14" spans="1:3" x14ac:dyDescent="0.35">
      <c r="A14">
        <v>14</v>
      </c>
      <c r="B14" t="s">
        <v>2297</v>
      </c>
      <c r="C14" t="s">
        <v>763</v>
      </c>
    </row>
    <row r="15" spans="1:3" x14ac:dyDescent="0.35">
      <c r="A15">
        <v>15</v>
      </c>
      <c r="B15" t="s">
        <v>2300</v>
      </c>
      <c r="C15" t="s">
        <v>763</v>
      </c>
    </row>
    <row r="16" spans="1:3" x14ac:dyDescent="0.35">
      <c r="A16">
        <v>16</v>
      </c>
      <c r="B16" t="s">
        <v>2297</v>
      </c>
      <c r="C16" t="s">
        <v>763</v>
      </c>
    </row>
    <row r="17" spans="1:3" x14ac:dyDescent="0.35">
      <c r="A17">
        <v>17</v>
      </c>
      <c r="B17" t="s">
        <v>2300</v>
      </c>
      <c r="C17" t="s">
        <v>763</v>
      </c>
    </row>
    <row r="18" spans="1:3" x14ac:dyDescent="0.35">
      <c r="A18">
        <v>18</v>
      </c>
      <c r="B18" t="s">
        <v>2300</v>
      </c>
      <c r="C18" t="s">
        <v>763</v>
      </c>
    </row>
    <row r="19" spans="1:3" x14ac:dyDescent="0.35">
      <c r="A19">
        <v>19</v>
      </c>
      <c r="B19" t="s">
        <v>2300</v>
      </c>
      <c r="C19" t="s">
        <v>2302</v>
      </c>
    </row>
    <row r="20" spans="1:3" x14ac:dyDescent="0.35">
      <c r="A20">
        <v>20</v>
      </c>
      <c r="B20" t="s">
        <v>2300</v>
      </c>
      <c r="C20" t="s">
        <v>763</v>
      </c>
    </row>
    <row r="21" spans="1:3" x14ac:dyDescent="0.35">
      <c r="A21">
        <v>21</v>
      </c>
      <c r="B21" t="s">
        <v>2300</v>
      </c>
      <c r="C21" t="s">
        <v>763</v>
      </c>
    </row>
    <row r="22" spans="1:3" x14ac:dyDescent="0.35">
      <c r="A22">
        <v>22</v>
      </c>
      <c r="B22" t="s">
        <v>2300</v>
      </c>
      <c r="C22" t="s">
        <v>763</v>
      </c>
    </row>
    <row r="23" spans="1:3" x14ac:dyDescent="0.35">
      <c r="A23">
        <v>23</v>
      </c>
      <c r="B23" t="s">
        <v>2297</v>
      </c>
      <c r="C23" t="s">
        <v>763</v>
      </c>
    </row>
    <row r="24" spans="1:3" x14ac:dyDescent="0.35">
      <c r="A24">
        <v>24</v>
      </c>
      <c r="B24" t="s">
        <v>2300</v>
      </c>
      <c r="C24" t="s">
        <v>763</v>
      </c>
    </row>
    <row r="25" spans="1:3" x14ac:dyDescent="0.35">
      <c r="A25">
        <v>25</v>
      </c>
      <c r="B25" t="s">
        <v>2306</v>
      </c>
      <c r="C25" t="s">
        <v>763</v>
      </c>
    </row>
    <row r="26" spans="1:3" x14ac:dyDescent="0.35">
      <c r="A26">
        <v>26</v>
      </c>
      <c r="B26" t="s">
        <v>2306</v>
      </c>
      <c r="C26" t="s">
        <v>763</v>
      </c>
    </row>
    <row r="27" spans="1:3" x14ac:dyDescent="0.35">
      <c r="A27">
        <v>27</v>
      </c>
      <c r="B27" t="s">
        <v>2300</v>
      </c>
      <c r="C27" t="s">
        <v>763</v>
      </c>
    </row>
    <row r="28" spans="1:3" x14ac:dyDescent="0.35">
      <c r="A28">
        <v>28</v>
      </c>
      <c r="B28" t="s">
        <v>2300</v>
      </c>
      <c r="C28" t="s">
        <v>763</v>
      </c>
    </row>
    <row r="29" spans="1:3" x14ac:dyDescent="0.35">
      <c r="A29">
        <v>29</v>
      </c>
      <c r="B29" t="s">
        <v>2300</v>
      </c>
      <c r="C29" t="s">
        <v>763</v>
      </c>
    </row>
    <row r="30" spans="1:3" x14ac:dyDescent="0.35">
      <c r="A30">
        <v>30</v>
      </c>
      <c r="B30" t="s">
        <v>2300</v>
      </c>
      <c r="C30" t="s">
        <v>763</v>
      </c>
    </row>
    <row r="31" spans="1:3" x14ac:dyDescent="0.35">
      <c r="A31">
        <v>31</v>
      </c>
      <c r="B31" t="s">
        <v>2300</v>
      </c>
      <c r="C31" t="s">
        <v>763</v>
      </c>
    </row>
    <row r="32" spans="1:3" x14ac:dyDescent="0.35">
      <c r="A32">
        <v>32</v>
      </c>
      <c r="B32" t="s">
        <v>2300</v>
      </c>
      <c r="C32" t="s">
        <v>763</v>
      </c>
    </row>
    <row r="33" spans="1:3" x14ac:dyDescent="0.35">
      <c r="A33">
        <v>33</v>
      </c>
      <c r="B33" t="s">
        <v>2306</v>
      </c>
      <c r="C33" t="s">
        <v>763</v>
      </c>
    </row>
    <row r="34" spans="1:3" x14ac:dyDescent="0.35">
      <c r="A34">
        <v>34</v>
      </c>
      <c r="B34" t="s">
        <v>2306</v>
      </c>
      <c r="C34" t="s">
        <v>763</v>
      </c>
    </row>
    <row r="35" spans="1:3" x14ac:dyDescent="0.35">
      <c r="A35">
        <v>35</v>
      </c>
      <c r="B35" t="s">
        <v>2306</v>
      </c>
      <c r="C35" t="s">
        <v>763</v>
      </c>
    </row>
    <row r="36" spans="1:3" x14ac:dyDescent="0.35">
      <c r="A36">
        <v>36</v>
      </c>
      <c r="B36" t="s">
        <v>2303</v>
      </c>
      <c r="C36" t="s">
        <v>1113</v>
      </c>
    </row>
    <row r="37" spans="1:3" x14ac:dyDescent="0.35">
      <c r="A37">
        <v>37</v>
      </c>
      <c r="B37" t="s">
        <v>2300</v>
      </c>
      <c r="C37" t="s">
        <v>763</v>
      </c>
    </row>
    <row r="38" spans="1:3" x14ac:dyDescent="0.35">
      <c r="A38">
        <v>38</v>
      </c>
      <c r="B38" t="s">
        <v>2303</v>
      </c>
      <c r="C38" t="s">
        <v>1113</v>
      </c>
    </row>
    <row r="39" spans="1:3" x14ac:dyDescent="0.35">
      <c r="A39">
        <v>39</v>
      </c>
      <c r="B39" t="s">
        <v>2297</v>
      </c>
      <c r="C39" t="s">
        <v>763</v>
      </c>
    </row>
    <row r="40" spans="1:3" x14ac:dyDescent="0.35">
      <c r="A40">
        <v>40</v>
      </c>
      <c r="B40" t="s">
        <v>2304</v>
      </c>
      <c r="C40" t="s">
        <v>763</v>
      </c>
    </row>
    <row r="41" spans="1:3" x14ac:dyDescent="0.35">
      <c r="A41">
        <v>41</v>
      </c>
      <c r="B41" t="s">
        <v>2300</v>
      </c>
      <c r="C41" t="s">
        <v>763</v>
      </c>
    </row>
    <row r="42" spans="1:3" x14ac:dyDescent="0.35">
      <c r="A42">
        <v>42</v>
      </c>
      <c r="B42" t="s">
        <v>2306</v>
      </c>
      <c r="C42" t="s">
        <v>763</v>
      </c>
    </row>
    <row r="43" spans="1:3" x14ac:dyDescent="0.35">
      <c r="A43">
        <v>43</v>
      </c>
      <c r="B43" t="s">
        <v>2298</v>
      </c>
      <c r="C43" t="s">
        <v>2307</v>
      </c>
    </row>
    <row r="44" spans="1:3" x14ac:dyDescent="0.35">
      <c r="A44">
        <v>44</v>
      </c>
      <c r="B44" t="s">
        <v>2298</v>
      </c>
      <c r="C44" t="s">
        <v>2307</v>
      </c>
    </row>
    <row r="45" spans="1:3" x14ac:dyDescent="0.35">
      <c r="A45">
        <v>45</v>
      </c>
      <c r="B45" t="s">
        <v>2304</v>
      </c>
      <c r="C45" t="s">
        <v>763</v>
      </c>
    </row>
    <row r="46" spans="1:3" x14ac:dyDescent="0.35">
      <c r="A46">
        <v>46</v>
      </c>
      <c r="B46" t="s">
        <v>2308</v>
      </c>
      <c r="C46" t="s">
        <v>1306</v>
      </c>
    </row>
    <row r="47" spans="1:3" x14ac:dyDescent="0.35">
      <c r="A47">
        <v>47</v>
      </c>
      <c r="B47" t="s">
        <v>2308</v>
      </c>
      <c r="C47" t="s">
        <v>1306</v>
      </c>
    </row>
    <row r="48" spans="1:3" x14ac:dyDescent="0.35">
      <c r="A48">
        <v>48</v>
      </c>
      <c r="B48" t="s">
        <v>2300</v>
      </c>
      <c r="C48" t="s">
        <v>2309</v>
      </c>
    </row>
    <row r="49" spans="1:3" x14ac:dyDescent="0.35">
      <c r="A49">
        <v>49</v>
      </c>
      <c r="B49" t="s">
        <v>2298</v>
      </c>
      <c r="C49" t="s">
        <v>763</v>
      </c>
    </row>
    <row r="50" spans="1:3" x14ac:dyDescent="0.35">
      <c r="A50">
        <v>50</v>
      </c>
      <c r="B50" t="s">
        <v>2300</v>
      </c>
      <c r="C50" t="s">
        <v>2302</v>
      </c>
    </row>
    <row r="51" spans="1:3" x14ac:dyDescent="0.35">
      <c r="A51">
        <v>51</v>
      </c>
      <c r="B51" t="s">
        <v>2300</v>
      </c>
      <c r="C51" t="s">
        <v>763</v>
      </c>
    </row>
    <row r="52" spans="1:3" x14ac:dyDescent="0.35">
      <c r="A52">
        <v>52</v>
      </c>
      <c r="B52" t="s">
        <v>2298</v>
      </c>
      <c r="C52" t="s">
        <v>1337</v>
      </c>
    </row>
    <row r="53" spans="1:3" x14ac:dyDescent="0.35">
      <c r="A53">
        <v>53</v>
      </c>
      <c r="B53" t="s">
        <v>2298</v>
      </c>
      <c r="C53" t="s">
        <v>1337</v>
      </c>
    </row>
    <row r="54" spans="1:3" x14ac:dyDescent="0.35">
      <c r="A54">
        <v>54</v>
      </c>
      <c r="B54" t="s">
        <v>2300</v>
      </c>
      <c r="C54" t="s">
        <v>763</v>
      </c>
    </row>
    <row r="55" spans="1:3" x14ac:dyDescent="0.35">
      <c r="A55">
        <v>55</v>
      </c>
      <c r="B55" t="s">
        <v>2300</v>
      </c>
      <c r="C55" t="s">
        <v>2310</v>
      </c>
    </row>
    <row r="56" spans="1:3" x14ac:dyDescent="0.35">
      <c r="A56">
        <v>56</v>
      </c>
      <c r="B56" t="s">
        <v>2300</v>
      </c>
      <c r="C56" t="s">
        <v>2310</v>
      </c>
    </row>
    <row r="57" spans="1:3" x14ac:dyDescent="0.35">
      <c r="A57">
        <v>57</v>
      </c>
      <c r="B57" t="s">
        <v>2306</v>
      </c>
      <c r="C57" t="s">
        <v>763</v>
      </c>
    </row>
    <row r="58" spans="1:3" x14ac:dyDescent="0.35">
      <c r="A58">
        <v>58</v>
      </c>
      <c r="B58" t="s">
        <v>2306</v>
      </c>
      <c r="C58" t="s">
        <v>763</v>
      </c>
    </row>
    <row r="59" spans="1:3" x14ac:dyDescent="0.35">
      <c r="A59">
        <v>59</v>
      </c>
      <c r="B59" t="s">
        <v>2306</v>
      </c>
      <c r="C59" t="s">
        <v>763</v>
      </c>
    </row>
    <row r="60" spans="1:3" x14ac:dyDescent="0.35">
      <c r="A60">
        <v>60</v>
      </c>
      <c r="B60" t="s">
        <v>2300</v>
      </c>
      <c r="C60" t="s">
        <v>2311</v>
      </c>
    </row>
    <row r="61" spans="1:3" x14ac:dyDescent="0.35">
      <c r="A61">
        <v>61</v>
      </c>
      <c r="B61" t="s">
        <v>2300</v>
      </c>
      <c r="C61" t="s">
        <v>2311</v>
      </c>
    </row>
    <row r="62" spans="1:3" x14ac:dyDescent="0.35">
      <c r="A62">
        <v>62</v>
      </c>
      <c r="B62" t="s">
        <v>2300</v>
      </c>
      <c r="C62" t="s">
        <v>2311</v>
      </c>
    </row>
    <row r="63" spans="1:3" x14ac:dyDescent="0.35">
      <c r="A63">
        <v>63</v>
      </c>
      <c r="B63" t="s">
        <v>2297</v>
      </c>
      <c r="C63" t="s">
        <v>763</v>
      </c>
    </row>
    <row r="64" spans="1:3" x14ac:dyDescent="0.35">
      <c r="A64">
        <v>64</v>
      </c>
      <c r="B64" t="s">
        <v>2300</v>
      </c>
      <c r="C64" t="s">
        <v>763</v>
      </c>
    </row>
    <row r="65" spans="1:3" x14ac:dyDescent="0.35">
      <c r="A65">
        <v>65</v>
      </c>
      <c r="B65" t="s">
        <v>2300</v>
      </c>
      <c r="C65" t="s">
        <v>2312</v>
      </c>
    </row>
    <row r="66" spans="1:3" x14ac:dyDescent="0.35">
      <c r="A66">
        <v>66</v>
      </c>
      <c r="B66" t="s">
        <v>2303</v>
      </c>
      <c r="C66" t="s">
        <v>2303</v>
      </c>
    </row>
    <row r="67" spans="1:3" x14ac:dyDescent="0.35">
      <c r="A67">
        <v>67</v>
      </c>
      <c r="B67" t="s">
        <v>2300</v>
      </c>
      <c r="C67" t="s">
        <v>2313</v>
      </c>
    </row>
    <row r="68" spans="1:3" x14ac:dyDescent="0.35">
      <c r="A68">
        <v>68</v>
      </c>
      <c r="B68" t="s">
        <v>2300</v>
      </c>
      <c r="C68" t="s">
        <v>763</v>
      </c>
    </row>
    <row r="69" spans="1:3" x14ac:dyDescent="0.35">
      <c r="A69">
        <v>69</v>
      </c>
      <c r="B69" t="s">
        <v>2300</v>
      </c>
      <c r="C69" t="s">
        <v>763</v>
      </c>
    </row>
    <row r="70" spans="1:3" x14ac:dyDescent="0.35">
      <c r="A70">
        <v>70</v>
      </c>
      <c r="B70" t="s">
        <v>2300</v>
      </c>
      <c r="C70" t="s">
        <v>763</v>
      </c>
    </row>
    <row r="71" spans="1:3" x14ac:dyDescent="0.35">
      <c r="A71">
        <v>71</v>
      </c>
      <c r="B71" t="s">
        <v>2300</v>
      </c>
      <c r="C71" t="s">
        <v>763</v>
      </c>
    </row>
    <row r="72" spans="1:3" x14ac:dyDescent="0.35">
      <c r="A72">
        <v>72</v>
      </c>
      <c r="B72" t="s">
        <v>2300</v>
      </c>
      <c r="C72" t="s">
        <v>2313</v>
      </c>
    </row>
    <row r="73" spans="1:3" x14ac:dyDescent="0.35">
      <c r="A73">
        <v>73</v>
      </c>
      <c r="B73" t="s">
        <v>2303</v>
      </c>
      <c r="C73" t="s">
        <v>2314</v>
      </c>
    </row>
    <row r="74" spans="1:3" x14ac:dyDescent="0.35">
      <c r="A74">
        <v>74</v>
      </c>
      <c r="B74" t="s">
        <v>2300</v>
      </c>
      <c r="C74" t="s">
        <v>763</v>
      </c>
    </row>
    <row r="75" spans="1:3" x14ac:dyDescent="0.35">
      <c r="A75">
        <v>75</v>
      </c>
      <c r="B75" t="s">
        <v>2298</v>
      </c>
      <c r="C75" t="s">
        <v>2315</v>
      </c>
    </row>
    <row r="76" spans="1:3" x14ac:dyDescent="0.35">
      <c r="A76">
        <v>76</v>
      </c>
      <c r="B76" t="s">
        <v>2300</v>
      </c>
      <c r="C76" t="s">
        <v>2313</v>
      </c>
    </row>
    <row r="77" spans="1:3" x14ac:dyDescent="0.35">
      <c r="A77">
        <v>77</v>
      </c>
      <c r="B77" t="s">
        <v>2300</v>
      </c>
      <c r="C77" t="s">
        <v>2301</v>
      </c>
    </row>
    <row r="78" spans="1:3" x14ac:dyDescent="0.35">
      <c r="A78">
        <v>78</v>
      </c>
      <c r="B78" t="s">
        <v>2300</v>
      </c>
      <c r="C78" t="s">
        <v>2316</v>
      </c>
    </row>
    <row r="79" spans="1:3" x14ac:dyDescent="0.35">
      <c r="A79">
        <v>79</v>
      </c>
      <c r="B79" t="s">
        <v>2300</v>
      </c>
      <c r="C79" t="s">
        <v>763</v>
      </c>
    </row>
    <row r="80" spans="1:3" x14ac:dyDescent="0.35">
      <c r="A80">
        <v>80</v>
      </c>
      <c r="B80" t="s">
        <v>2300</v>
      </c>
      <c r="C80" t="s">
        <v>763</v>
      </c>
    </row>
    <row r="81" spans="1:3" x14ac:dyDescent="0.35">
      <c r="A81">
        <v>81</v>
      </c>
      <c r="B81" t="s">
        <v>2300</v>
      </c>
      <c r="C81" t="s">
        <v>763</v>
      </c>
    </row>
    <row r="82" spans="1:3" x14ac:dyDescent="0.35">
      <c r="A82">
        <v>82</v>
      </c>
      <c r="B82" t="s">
        <v>2300</v>
      </c>
      <c r="C82" t="s">
        <v>763</v>
      </c>
    </row>
    <row r="83" spans="1:3" x14ac:dyDescent="0.35">
      <c r="A83">
        <v>83</v>
      </c>
      <c r="B83" t="s">
        <v>2308</v>
      </c>
      <c r="C83" t="s">
        <v>2317</v>
      </c>
    </row>
    <row r="84" spans="1:3" x14ac:dyDescent="0.35">
      <c r="A84">
        <v>84</v>
      </c>
      <c r="B84" t="s">
        <v>2300</v>
      </c>
      <c r="C84" t="s">
        <v>763</v>
      </c>
    </row>
    <row r="85" spans="1:3" x14ac:dyDescent="0.35">
      <c r="A85">
        <v>85</v>
      </c>
      <c r="B85" t="s">
        <v>2300</v>
      </c>
      <c r="C85" t="s">
        <v>763</v>
      </c>
    </row>
    <row r="86" spans="1:3" x14ac:dyDescent="0.35">
      <c r="A86">
        <v>86</v>
      </c>
      <c r="B86" t="s">
        <v>2300</v>
      </c>
      <c r="C86" t="s">
        <v>763</v>
      </c>
    </row>
    <row r="87" spans="1:3" x14ac:dyDescent="0.35">
      <c r="A87">
        <v>87</v>
      </c>
      <c r="B87" t="s">
        <v>2300</v>
      </c>
      <c r="C87" t="s">
        <v>763</v>
      </c>
    </row>
    <row r="88" spans="1:3" x14ac:dyDescent="0.35">
      <c r="A88">
        <v>88</v>
      </c>
      <c r="B88" t="s">
        <v>2297</v>
      </c>
      <c r="C88" t="s">
        <v>1337</v>
      </c>
    </row>
    <row r="89" spans="1:3" x14ac:dyDescent="0.35">
      <c r="A89">
        <v>89</v>
      </c>
      <c r="B89" t="s">
        <v>2297</v>
      </c>
      <c r="C89" t="s">
        <v>1337</v>
      </c>
    </row>
    <row r="90" spans="1:3" x14ac:dyDescent="0.35">
      <c r="A90">
        <v>90</v>
      </c>
      <c r="B90" t="s">
        <v>2297</v>
      </c>
      <c r="C90" t="s">
        <v>1337</v>
      </c>
    </row>
    <row r="91" spans="1:3" x14ac:dyDescent="0.35">
      <c r="A91">
        <v>91</v>
      </c>
      <c r="B91" t="s">
        <v>2300</v>
      </c>
      <c r="C91" t="s">
        <v>2318</v>
      </c>
    </row>
    <row r="92" spans="1:3" x14ac:dyDescent="0.35">
      <c r="A92">
        <v>92</v>
      </c>
      <c r="B92" t="s">
        <v>2303</v>
      </c>
      <c r="C92" t="s">
        <v>1113</v>
      </c>
    </row>
    <row r="93" spans="1:3" x14ac:dyDescent="0.35">
      <c r="A93">
        <v>93</v>
      </c>
      <c r="B93" t="s">
        <v>2303</v>
      </c>
      <c r="C93" t="s">
        <v>1113</v>
      </c>
    </row>
    <row r="94" spans="1:3" x14ac:dyDescent="0.35">
      <c r="A94">
        <v>94</v>
      </c>
      <c r="B94" t="s">
        <v>2303</v>
      </c>
      <c r="C94" t="s">
        <v>1113</v>
      </c>
    </row>
    <row r="95" spans="1:3" x14ac:dyDescent="0.35">
      <c r="A95">
        <v>95</v>
      </c>
      <c r="B95" t="s">
        <v>2300</v>
      </c>
      <c r="C95" t="s">
        <v>2301</v>
      </c>
    </row>
    <row r="96" spans="1:3" x14ac:dyDescent="0.35">
      <c r="A96">
        <v>96</v>
      </c>
      <c r="B96" t="s">
        <v>2298</v>
      </c>
      <c r="C96" t="s">
        <v>2319</v>
      </c>
    </row>
    <row r="97" spans="1:3" x14ac:dyDescent="0.35">
      <c r="A97">
        <v>97</v>
      </c>
      <c r="B97" t="s">
        <v>2298</v>
      </c>
      <c r="C97" t="s">
        <v>1337</v>
      </c>
    </row>
    <row r="98" spans="1:3" x14ac:dyDescent="0.35">
      <c r="A98">
        <v>98</v>
      </c>
      <c r="B98" t="s">
        <v>2298</v>
      </c>
      <c r="C98" t="s">
        <v>1337</v>
      </c>
    </row>
    <row r="99" spans="1:3" x14ac:dyDescent="0.35">
      <c r="A99">
        <v>99</v>
      </c>
      <c r="B99" t="s">
        <v>2298</v>
      </c>
      <c r="C99" t="s">
        <v>1337</v>
      </c>
    </row>
    <row r="100" spans="1:3" x14ac:dyDescent="0.35">
      <c r="A100">
        <v>100</v>
      </c>
      <c r="B100" t="s">
        <v>2298</v>
      </c>
      <c r="C100" t="s">
        <v>1337</v>
      </c>
    </row>
    <row r="101" spans="1:3" x14ac:dyDescent="0.35">
      <c r="A101">
        <v>101</v>
      </c>
      <c r="B101" t="s">
        <v>2303</v>
      </c>
      <c r="C101" t="s">
        <v>2302</v>
      </c>
    </row>
    <row r="102" spans="1:3" x14ac:dyDescent="0.35">
      <c r="A102">
        <v>102</v>
      </c>
      <c r="B102" t="s">
        <v>2300</v>
      </c>
      <c r="C102" t="s">
        <v>2302</v>
      </c>
    </row>
    <row r="103" spans="1:3" x14ac:dyDescent="0.35">
      <c r="A103">
        <v>103</v>
      </c>
      <c r="B103" t="s">
        <v>2300</v>
      </c>
      <c r="C103" t="s">
        <v>2302</v>
      </c>
    </row>
    <row r="104" spans="1:3" x14ac:dyDescent="0.35">
      <c r="A104">
        <v>104</v>
      </c>
      <c r="B104" t="s">
        <v>2300</v>
      </c>
      <c r="C104" t="s">
        <v>2302</v>
      </c>
    </row>
    <row r="105" spans="1:3" x14ac:dyDescent="0.35">
      <c r="A105">
        <v>105</v>
      </c>
      <c r="B105" t="s">
        <v>2300</v>
      </c>
      <c r="C105" t="s">
        <v>2302</v>
      </c>
    </row>
    <row r="106" spans="1:3" x14ac:dyDescent="0.35">
      <c r="A106">
        <v>106</v>
      </c>
      <c r="B106" t="s">
        <v>2300</v>
      </c>
      <c r="C106" t="s">
        <v>2302</v>
      </c>
    </row>
    <row r="107" spans="1:3" x14ac:dyDescent="0.35">
      <c r="A107">
        <v>107</v>
      </c>
      <c r="B107" t="s">
        <v>2300</v>
      </c>
      <c r="C107" t="s">
        <v>2302</v>
      </c>
    </row>
    <row r="108" spans="1:3" x14ac:dyDescent="0.35">
      <c r="A108">
        <v>108</v>
      </c>
      <c r="B108" t="s">
        <v>2300</v>
      </c>
      <c r="C108" t="s">
        <v>2302</v>
      </c>
    </row>
    <row r="109" spans="1:3" x14ac:dyDescent="0.35">
      <c r="A109">
        <v>109</v>
      </c>
      <c r="B109" t="s">
        <v>2300</v>
      </c>
      <c r="C109" t="s">
        <v>2302</v>
      </c>
    </row>
    <row r="110" spans="1:3" x14ac:dyDescent="0.35">
      <c r="A110">
        <v>110</v>
      </c>
      <c r="B110" t="s">
        <v>2300</v>
      </c>
      <c r="C110" t="s">
        <v>2302</v>
      </c>
    </row>
    <row r="111" spans="1:3" x14ac:dyDescent="0.35">
      <c r="A111">
        <v>111</v>
      </c>
      <c r="B111" t="s">
        <v>2303</v>
      </c>
      <c r="C111" t="s">
        <v>2302</v>
      </c>
    </row>
    <row r="112" spans="1:3" x14ac:dyDescent="0.35">
      <c r="A112">
        <v>112</v>
      </c>
      <c r="B112" t="s">
        <v>2303</v>
      </c>
      <c r="C112" t="s">
        <v>2302</v>
      </c>
    </row>
    <row r="113" spans="1:3" x14ac:dyDescent="0.35">
      <c r="A113">
        <v>113</v>
      </c>
      <c r="B113" t="s">
        <v>2300</v>
      </c>
      <c r="C113" t="s">
        <v>2302</v>
      </c>
    </row>
    <row r="114" spans="1:3" x14ac:dyDescent="0.35">
      <c r="A114">
        <v>114</v>
      </c>
      <c r="B114" t="s">
        <v>2300</v>
      </c>
      <c r="C114" t="s">
        <v>2302</v>
      </c>
    </row>
    <row r="115" spans="1:3" x14ac:dyDescent="0.35">
      <c r="A115">
        <v>115</v>
      </c>
      <c r="B115" t="s">
        <v>2300</v>
      </c>
      <c r="C115" t="s">
        <v>2302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papers</vt:lpstr>
      <vt:lpstr>raw_data</vt:lpstr>
      <vt:lpstr>one_city</vt:lpstr>
      <vt:lpstr>multi-city</vt:lpstr>
      <vt:lpstr>organized_data_city</vt:lpstr>
      <vt:lpstr>organized_data_paper</vt:lpstr>
      <vt:lpstr>all_data_organized</vt:lpstr>
      <vt:lpstr>preview_paper</vt:lpstr>
      <vt:lpstr>preview_city</vt:lpstr>
      <vt:lpstr>preview</vt:lpstr>
      <vt:lpstr>non-tropical(23,5N.S)</vt:lpstr>
      <vt:lpstr>biome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Wanda da Silva</cp:lastModifiedBy>
  <dcterms:created xsi:type="dcterms:W3CDTF">2025-08-12T14:47:52Z</dcterms:created>
  <dcterms:modified xsi:type="dcterms:W3CDTF">2026-03-17T08:42:04Z</dcterms:modified>
</cp:coreProperties>
</file>